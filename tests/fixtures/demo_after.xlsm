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emf" ContentType="image/x-emf"/>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omments/comment1.xml" ContentType="application/vnd.openxmlformats-officedocument.spreadsheetml.comments+xml"/>
  <Override PartName="/xl/worksheets/sheet4.xml" ContentType="application/vnd.openxmlformats-officedocument.spreadsheetml.worksheet+xml"/>
  <Override PartName="/xl/comments/comment2.xml" ContentType="application/vnd.openxmlformats-officedocument.spreadsheetml.comments+xml"/>
  <Override PartName="/xl/worksheets/sheet5.xml" ContentType="application/vnd.openxmlformats-officedocument.spreadsheetml.worksheet+xml"/>
  <Override PartName="/xl/comments/comment3.xml" ContentType="application/vnd.openxmlformats-officedocument.spreadsheetml.comments+xml"/>
  <Override PartName="/xl/worksheets/sheet6.xml" ContentType="application/vnd.openxmlformats-officedocument.spreadsheetml.worksheet+xml"/>
  <Override PartName="/xl/comments/comment4.xml" ContentType="application/vnd.openxmlformats-officedocument.spreadsheetml.comments+xml"/>
  <Override PartName="/xl/worksheets/sheet7.xml" ContentType="application/vnd.openxmlformats-officedocument.spreadsheetml.worksheet+xml"/>
  <Override PartName="/xl/comments/comment5.xml" ContentType="application/vnd.openxmlformats-officedocument.spreadsheetml.comments+xml"/>
  <Override PartName="/xl/worksheets/sheet8.xml" ContentType="application/vnd.openxmlformats-officedocument.spreadsheetml.worksheet+xml"/>
  <Override PartName="/xl/comments/comment6.xml" ContentType="application/vnd.openxmlformats-officedocument.spreadsheetml.comments+xml"/>
  <Override PartName="/xl/worksheets/sheet9.xml" ContentType="application/vnd.openxmlformats-officedocument.spreadsheetml.worksheet+xml"/>
  <Override PartName="/xl/comments/comment7.xml" ContentType="application/vnd.openxmlformats-officedocument.spreadsheetml.comments+xml"/>
  <Override PartName="/xl/worksheets/sheet10.xml" ContentType="application/vnd.openxmlformats-officedocument.spreadsheetml.worksheet+xml"/>
  <Override PartName="/xl/comments/comment8.xml" ContentType="application/vnd.openxmlformats-officedocument.spreadsheetml.comments+xml"/>
  <Override PartName="/xl/worksheets/sheet11.xml" ContentType="application/vnd.openxmlformats-officedocument.spreadsheetml.worksheet+xml"/>
  <Override PartName="/xl/comments/comment9.xml" ContentType="application/vnd.openxmlformats-officedocument.spreadsheetml.comments+xml"/>
  <Override PartName="/xl/worksheets/sheet12.xml" ContentType="application/vnd.openxmlformats-officedocument.spreadsheetml.worksheet+xml"/>
  <Override PartName="/xl/comments/comment10.xml" ContentType="application/vnd.openxmlformats-officedocument.spreadsheetml.comments+xml"/>
  <Override PartName="/xl/worksheets/sheet13.xml" ContentType="application/vnd.openxmlformats-officedocument.spreadsheetml.worksheet+xml"/>
  <Override PartName="/xl/worksheets/sheet14.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500" windowWidth="38000" windowHeight="19620" tabRatio="568" firstSheet="0" activeTab="10" autoFilterDateGrouping="1"/>
  </bookViews>
  <sheets>
    <sheet name="Macro Instructions" sheetId="1" state="visible" r:id="rId1"/>
    <sheet name="TIO Flow Chart" sheetId="2" state="visible" r:id="rId2"/>
    <sheet name="A-Project Info" sheetId="3" state="visible" r:id="rId3"/>
    <sheet name="B-Tests" sheetId="4" state="visible" r:id="rId4"/>
    <sheet name="C-On-Site Special Inspections" sheetId="5" state="visible" r:id="rId5"/>
    <sheet name="D-Off-Site Special Inspections" sheetId="6" state="visible" r:id="rId6"/>
    <sheet name="F-Cons Verif" sheetId="7" state="visible" r:id="rId7"/>
    <sheet name="G-IOR" sheetId="8" state="visible" r:id="rId8"/>
    <sheet name="E-Required Compliance Forms" sheetId="9" state="visible" r:id="rId9"/>
    <sheet name="H-Plan Review" sheetId="10" state="visible" r:id="rId10"/>
    <sheet name="I-TIO Program Approval" sheetId="11" state="visible" r:id="rId11"/>
    <sheet name="J-Changes" sheetId="12" state="visible" r:id="rId12"/>
    <sheet name="Revison History" sheetId="13" state="visible" r:id="rId13"/>
    <sheet name="Inputs" sheetId="14" state="veryHidden" r:id="rId14"/>
  </sheets>
  <definedNames>
    <definedName name="_xleta.N" hidden="1" xlm="1">#NAME?</definedName>
    <definedName name="BSubTest1" hidden="1">'B-Tests'!$B$7</definedName>
    <definedName name="BSubTest2" hidden="1">'B-Tests'!$B$16</definedName>
    <definedName name="BSubTest3" hidden="1">'B-Tests'!$B$34</definedName>
    <definedName name="BSubTest4" hidden="1">'B-Tests'!$B$45</definedName>
    <definedName name="BSubTest5" hidden="1">'B-Tests'!$B$54</definedName>
    <definedName name="BSubTest6" hidden="1">'B-Tests'!$B$59</definedName>
    <definedName name="BSubTest7" hidden="1">'B-Tests'!$B$66</definedName>
    <definedName name="BTest1" hidden="1">'B-Tests'!$A$6</definedName>
    <definedName name="BTest2" hidden="1">'B-Tests'!$A$71</definedName>
    <definedName name="BTest3" hidden="1">'B-Tests'!$A$95</definedName>
    <definedName name="BTest4" hidden="1">'B-Tests'!$A$112</definedName>
    <definedName name="BTest5" hidden="1">'B-Tests'!$A$132</definedName>
    <definedName name="BTest6" hidden="1">'B-Tests'!$A$159</definedName>
    <definedName name="City" hidden="1">Inputs!$H$6:$H$1586</definedName>
    <definedName name="County" hidden="1">Inputs!$I$6:$I$1586</definedName>
    <definedName name="CSubTest1" hidden="1">'C-On-Site Special Inspections'!$B$7</definedName>
    <definedName name="CSubTest2" hidden="1">'C-On-Site Special Inspections'!$B$17</definedName>
    <definedName name="CSubTest3" hidden="1">'C-On-Site Special Inspections'!$B$37</definedName>
    <definedName name="CSubTest4" hidden="1">'C-On-Site Special Inspections'!$B$44</definedName>
    <definedName name="CSubTest5" hidden="1">'C-On-Site Special Inspections'!$B$53</definedName>
    <definedName name="CSubTest6" hidden="1">'C-On-Site Special Inspections'!$B$60</definedName>
    <definedName name="CSubTest7" hidden="1">'C-On-Site Special Inspections'!$B$65</definedName>
    <definedName name="CSubTest8" hidden="1">'C-On-Site Special Inspections'!$B$70</definedName>
    <definedName name="CTest1" hidden="1">'C-On-Site Special Inspections'!$A$6</definedName>
    <definedName name="CTest2" hidden="1">'C-On-Site Special Inspections'!$A$79</definedName>
    <definedName name="CTest3" hidden="1">'C-On-Site Special Inspections'!$A$83</definedName>
    <definedName name="CTest4" hidden="1">'C-On-Site Special Inspections'!$A$86</definedName>
    <definedName name="CTest5" hidden="1">'C-On-Site Special Inspections'!$A$89</definedName>
    <definedName name="CTest6" hidden="1">'C-On-Site Special Inspections'!$A$99</definedName>
    <definedName name="DropDownList" hidden="1">Inputs!$C$6:INDEX(Inputs!$C$6:$C$1750,MAX(Inputs!$B$6:$B$1750),1)</definedName>
    <definedName name="DSubTest1" hidden="1">'D-Off-Site Special Inspections'!$B$7</definedName>
    <definedName name="DSubTest2" hidden="1">'D-Off-Site Special Inspections'!$B$24</definedName>
    <definedName name="DSubTest3" hidden="1">'D-Off-Site Special Inspections'!$B$28</definedName>
    <definedName name="DSubTest4" hidden="1">'D-Off-Site Special Inspections'!$B$37</definedName>
    <definedName name="DSubTest5" hidden="1">'D-Off-Site Special Inspections'!$B$44</definedName>
    <definedName name="DSubTest6" hidden="1">'D-Off-Site Special Inspections'!$B$48</definedName>
    <definedName name="DSubTest7" hidden="1">'D-Off-Site Special Inspections'!$B$53</definedName>
    <definedName name="DSubTest8" hidden="1">'D-Off-Site Special Inspections'!$B$53</definedName>
    <definedName name="DTest1" hidden="1">'D-Off-Site Special Inspections'!$A$6</definedName>
    <definedName name="DTest2" hidden="1">'D-Off-Site Special Inspections'!$A$62</definedName>
    <definedName name="DTest3" hidden="1">'D-Off-Site Special Inspections'!$A$65</definedName>
    <definedName name="DTest4" hidden="1">'D-Off-Site Special Inspections'!$A$68</definedName>
    <definedName name="DTest5" hidden="1">'D-Off-Site Special Inspections'!$A$78</definedName>
    <definedName name="ESubTest1" hidden="1">'E-Required Compliance Forms'!$B$7</definedName>
    <definedName name="ESubTest2" hidden="1">'E-Required Compliance Forms'!$B$26</definedName>
    <definedName name="ETest1" hidden="1">'E-Required Compliance Forms'!$A$6</definedName>
    <definedName name="Facility" hidden="1">Inputs!$C$5</definedName>
    <definedName name="FacilityName" hidden="1">Inputs!$D$6:$D$1586</definedName>
    <definedName name="FacilityNbr" hidden="1">Inputs!$E$6:$E$1586</definedName>
    <definedName name="Stage" hidden="1">Inputs!$C$1</definedName>
    <definedName name="StrAddress" hidden="1">Inputs!$G$6:$G$1586</definedName>
    <definedName name="SubTest1" hidden="1">'B-Tests'!$B$7</definedName>
    <definedName name="SubTest2" hidden="1">'B-Tests'!$B$16</definedName>
    <definedName name="SubTest3" hidden="1">'B-Tests'!$B$34</definedName>
    <definedName name="SubTest4" hidden="1">'B-Tests'!$B$45</definedName>
    <definedName name="SubTest5" hidden="1">'B-Tests'!$B$54</definedName>
    <definedName name="SubTest6" hidden="1">'B-Tests'!$B$59</definedName>
    <definedName name="SubTest7" hidden="1">'B-Tests'!$B$66</definedName>
    <definedName name="Test1" hidden="1">'B-Tests'!$A$6</definedName>
    <definedName name="Test2" hidden="1">'B-Tests'!$A$71</definedName>
    <definedName name="Test3" hidden="1">'B-Tests'!$A$95</definedName>
    <definedName name="Test4" hidden="1">'B-Tests'!$A$112</definedName>
    <definedName name="Test5" hidden="1">'B-Tests'!$A$132</definedName>
    <definedName name="Test6" hidden="1">'B-Tests'!$A$159</definedName>
    <definedName name="url" hidden="1">Inputs!$E$1</definedName>
    <definedName name="Version" hidden="1">Inputs!$D$1</definedName>
    <definedName name="_xlnm.Print_Area" localSheetId="2">'A-Project Info'!$D$9:$L$74</definedName>
    <definedName name="_xlnm.Print_Titles" localSheetId="3">'B-Tests'!$1:$5</definedName>
    <definedName name="_xlnm.Print_Area" localSheetId="3">'B-Tests'!$B$1:$AZ$170</definedName>
    <definedName name="_xlnm.Print_Titles" localSheetId="4">'C-On-Site Special Inspections'!$1:$5</definedName>
    <definedName name="_xlnm.Print_Area" localSheetId="4">'C-On-Site Special Inspections'!$B$1:$AZ$105</definedName>
    <definedName name="_xlnm.Print_Titles" localSheetId="5">'D-Off-Site Special Inspections'!$1:$5</definedName>
    <definedName name="_xlnm.Print_Area" localSheetId="5">'D-Off-Site Special Inspections'!$B$1:$AZ$84</definedName>
    <definedName name="_xlnm.Print_Titles" localSheetId="6">'F-Cons Verif'!$1:$6</definedName>
    <definedName name="_xlnm.Print_Area" localSheetId="6">'F-Cons Verif'!$D$1:$Q$93</definedName>
    <definedName name="_xlnm.Print_Titles" localSheetId="7">'G-IOR'!$1:$5</definedName>
    <definedName name="_xlnm.Print_Area" localSheetId="7">'G-IOR'!$D$1:$G$13</definedName>
    <definedName name="_xlnm.Print_Titles" localSheetId="8">'E-Required Compliance Forms'!$1:$5</definedName>
    <definedName name="_xlnm.Print_Area" localSheetId="8">'E-Required Compliance Forms'!$B$1:$J$27</definedName>
    <definedName name="_xlnm.Print_Area" localSheetId="9">'H-Plan Review'!$D$1:$H$15</definedName>
    <definedName name="_xlnm.Print_Area" localSheetId="10">'I-TIO Program Approval'!$D$1:$H$25</definedName>
    <definedName name="_xlnm.Print_Titles" localSheetId="11">'J-Changes'!$1:$6</definedName>
    <definedName name="_xlnm.Print_Area" localSheetId="11">'J-Changes'!$D$1:$I$33</definedName>
  </definedNames>
  <calcPr calcId="191028" fullCalcOnLoad="1"/>
</workbook>
</file>

<file path=xl/styles.xml><?xml version="1.0" encoding="utf-8"?>
<styleSheet xmlns="http://schemas.openxmlformats.org/spreadsheetml/2006/main">
  <numFmts count="0"/>
  <fonts count="70">
    <font>
      <name val="Calibri"/>
      <family val="2"/>
      <color theme="1"/>
      <sz val="11"/>
      <scheme val="minor"/>
    </font>
    <font>
      <name val="Arial"/>
      <family val="2"/>
      <b val="1"/>
      <color theme="1"/>
      <sz val="8"/>
    </font>
    <font>
      <name val="Arial"/>
      <family val="2"/>
      <color theme="1"/>
      <sz val="8"/>
    </font>
    <font>
      <name val="Arial"/>
      <family val="2"/>
      <b val="1"/>
      <color theme="1"/>
      <sz val="18"/>
    </font>
    <font>
      <name val="Times New Roman"/>
      <family val="1"/>
      <color theme="1"/>
      <sz val="8"/>
    </font>
    <font>
      <name val="Arial"/>
      <family val="2"/>
      <b val="1"/>
      <color rgb="FF000000"/>
      <sz val="8"/>
    </font>
    <font>
      <name val="Arial"/>
      <family val="2"/>
      <color rgb="FF000000"/>
      <sz val="8"/>
    </font>
    <font>
      <name val="Arial"/>
      <family val="2"/>
      <color theme="1"/>
      <sz val="9"/>
    </font>
    <font>
      <name val="Calibri"/>
      <family val="2"/>
      <b val="1"/>
      <color theme="1"/>
      <sz val="14"/>
      <scheme val="minor"/>
    </font>
    <font>
      <name val="Calibri"/>
      <family val="2"/>
      <b val="1"/>
      <color theme="1"/>
      <sz val="11"/>
      <scheme val="minor"/>
    </font>
    <font>
      <name val="Arial"/>
      <family val="2"/>
      <b val="1"/>
      <color theme="1"/>
      <sz val="7"/>
    </font>
    <font>
      <name val="Calibri"/>
      <family val="2"/>
      <color theme="1" tint="0.499984740745262"/>
      <sz val="11"/>
      <scheme val="minor"/>
    </font>
    <font>
      <name val="Arial"/>
      <family val="2"/>
      <b val="1"/>
      <color theme="1" tint="0.499984740745262"/>
      <sz val="14"/>
    </font>
    <font>
      <name val="Arial"/>
      <family val="2"/>
      <color theme="1" tint="0.499984740745262"/>
      <sz val="12"/>
    </font>
    <font>
      <name val="Calibri"/>
      <family val="2"/>
      <color theme="1"/>
      <sz val="15.4"/>
      <scheme val="minor"/>
    </font>
    <font>
      <name val="Arial"/>
      <family val="2"/>
      <color theme="1"/>
      <sz val="7"/>
    </font>
    <font>
      <name val="Arial"/>
      <family val="2"/>
      <b val="1"/>
      <color theme="1"/>
      <sz val="9"/>
    </font>
    <font>
      <name val="Arial"/>
      <family val="2"/>
      <b val="1"/>
      <color theme="1"/>
      <sz val="12"/>
    </font>
    <font>
      <name val="Calibri"/>
      <family val="2"/>
      <color theme="0"/>
      <sz val="11"/>
      <scheme val="minor"/>
    </font>
    <font>
      <name val="Arial"/>
      <family val="2"/>
      <b val="1"/>
      <color theme="1"/>
      <sz val="14"/>
    </font>
    <font>
      <name val="Arial"/>
      <family val="2"/>
      <b val="1"/>
      <color theme="1"/>
      <sz val="10"/>
    </font>
    <font>
      <name val="Arial"/>
      <family val="2"/>
      <color theme="1"/>
      <sz val="10"/>
    </font>
    <font>
      <name val="Arial"/>
      <family val="2"/>
      <color theme="1"/>
      <sz val="11"/>
    </font>
    <font>
      <name val="Arial"/>
      <family val="2"/>
      <b val="1"/>
      <color theme="1"/>
      <sz val="11"/>
    </font>
    <font>
      <name val="Arial"/>
      <family val="2"/>
      <sz val="8"/>
    </font>
    <font>
      <name val="Arial"/>
      <family val="2"/>
      <b val="1"/>
      <sz val="8"/>
    </font>
    <font>
      <name val="Calibri"/>
      <family val="2"/>
      <b val="1"/>
      <sz val="11"/>
      <scheme val="minor"/>
    </font>
    <font>
      <name val="Arial"/>
      <family val="2"/>
      <sz val="10"/>
    </font>
    <font>
      <name val="Arial"/>
      <family val="2"/>
      <b val="1"/>
      <color theme="1"/>
      <sz val="13"/>
    </font>
    <font>
      <name val="Calibri"/>
      <family val="2"/>
      <color theme="1"/>
      <sz val="13"/>
      <scheme val="minor"/>
    </font>
    <font>
      <name val="Tahoma"/>
      <family val="2"/>
      <b val="1"/>
      <color indexed="81"/>
      <sz val="9"/>
    </font>
    <font>
      <name val="Tahoma"/>
      <family val="2"/>
      <color indexed="81"/>
      <sz val="9"/>
    </font>
    <font>
      <name val="Arial"/>
      <family val="2"/>
      <color theme="1"/>
      <sz val="12"/>
    </font>
    <font>
      <name val="Arial"/>
      <family val="2"/>
      <b val="1"/>
      <strike val="1"/>
      <color rgb="FF000000"/>
      <sz val="8"/>
    </font>
    <font>
      <name val="Calibri"/>
      <family val="2"/>
      <b val="1"/>
      <color rgb="FFFF0000"/>
      <sz val="14"/>
      <scheme val="minor"/>
    </font>
    <font>
      <name val="Calibri"/>
      <family val="2"/>
      <b val="1"/>
      <color theme="1"/>
      <sz val="20"/>
      <scheme val="minor"/>
    </font>
    <font>
      <name val="Arial"/>
      <family val="2"/>
      <b val="1"/>
      <color rgb="FFFF0000"/>
      <sz val="8"/>
    </font>
    <font>
      <name val="Arial"/>
      <family val="2"/>
      <b val="1"/>
      <color rgb="FFCC0000"/>
      <sz val="8"/>
    </font>
    <font>
      <name val="Arial"/>
      <family val="2"/>
      <b val="1"/>
      <color rgb="FFCC0000"/>
      <sz val="12"/>
    </font>
    <font>
      <name val="Calibri"/>
      <family val="2"/>
      <b val="1"/>
      <i val="1"/>
      <color theme="1"/>
      <sz val="11"/>
      <scheme val="minor"/>
    </font>
    <font>
      <name val="Arial"/>
      <family val="2"/>
      <b val="1"/>
      <color theme="1"/>
      <sz val="16"/>
    </font>
    <font>
      <name val="Arial"/>
      <family val="2"/>
      <b val="1"/>
      <i val="1"/>
      <color theme="1"/>
      <sz val="9"/>
    </font>
    <font>
      <name val="Arial"/>
      <family val="2"/>
      <i val="1"/>
      <color theme="1"/>
      <sz val="9"/>
    </font>
    <font>
      <name val="Calibri"/>
      <family val="2"/>
      <b val="1"/>
      <color theme="0"/>
      <sz val="11"/>
      <scheme val="minor"/>
    </font>
    <font>
      <name val="Calibri"/>
      <family val="2"/>
      <color theme="0"/>
      <sz val="13"/>
      <scheme val="minor"/>
    </font>
    <font>
      <name val="Calibri"/>
      <family val="2"/>
      <b val="1"/>
      <color theme="0"/>
      <sz val="14"/>
      <scheme val="minor"/>
    </font>
    <font>
      <name val="Calibri"/>
      <family val="2"/>
      <b val="1"/>
      <sz val="14"/>
      <scheme val="minor"/>
    </font>
    <font>
      <name val="Calibri"/>
      <family val="2"/>
      <color theme="1"/>
      <sz val="8"/>
      <scheme val="minor"/>
    </font>
    <font>
      <name val="Calibri"/>
      <family val="2"/>
      <sz val="8"/>
      <scheme val="minor"/>
    </font>
    <font>
      <name val="Arial"/>
      <family val="2"/>
      <b val="1"/>
      <i val="1"/>
      <color theme="1"/>
      <sz val="9"/>
      <u val="single"/>
    </font>
    <font>
      <name val="Calibri"/>
      <family val="2"/>
      <b val="1"/>
      <i val="1"/>
      <color theme="1"/>
      <sz val="9"/>
      <scheme val="minor"/>
    </font>
    <font>
      <name val="Calibri"/>
      <family val="2"/>
      <b val="1"/>
      <i val="1"/>
      <color theme="1"/>
      <sz val="14"/>
      <u val="single"/>
      <scheme val="minor"/>
    </font>
    <font>
      <name val="Arial"/>
      <family val="2"/>
      <i val="1"/>
      <color theme="1"/>
      <sz val="9"/>
      <u val="single"/>
    </font>
    <font>
      <name val="Calibri"/>
      <family val="2"/>
      <b val="1"/>
      <color theme="1"/>
      <sz val="18"/>
      <scheme val="minor"/>
    </font>
    <font>
      <name val="Calibri"/>
      <family val="2"/>
      <color theme="1"/>
      <sz val="15"/>
      <scheme val="minor"/>
    </font>
    <font>
      <name val="Calibri"/>
      <family val="2"/>
      <color rgb="FF000000"/>
      <sz val="11"/>
      <scheme val="minor"/>
    </font>
    <font>
      <name val="Arial"/>
      <family val="2"/>
      <i val="1"/>
      <color theme="1"/>
      <sz val="8"/>
    </font>
    <font>
      <name val="Calibri"/>
      <family val="2"/>
      <color theme="0" tint="-0.3499862666707358"/>
      <sz val="11"/>
      <scheme val="minor"/>
    </font>
    <font>
      <name val="Arial"/>
      <family val="2"/>
      <sz val="11"/>
    </font>
    <font>
      <name val="Calibri"/>
      <family val="2"/>
      <color theme="10"/>
      <sz val="11"/>
      <u val="single"/>
      <scheme val="minor"/>
    </font>
    <font>
      <name val="Calibri"/>
      <family val="2"/>
      <b val="1"/>
      <color theme="1"/>
      <sz val="10"/>
      <scheme val="minor"/>
    </font>
    <font>
      <name val="Arial"/>
      <family val="2"/>
      <color rgb="FF000000"/>
      <sz val="7"/>
    </font>
    <font>
      <name val="Calibri"/>
      <family val="2"/>
      <color theme="1"/>
      <sz val="11"/>
      <scheme val="minor"/>
    </font>
    <font>
      <name val="Calibri"/>
      <family val="2"/>
      <b val="1"/>
      <color theme="1"/>
      <sz val="12"/>
      <scheme val="minor"/>
    </font>
    <font>
      <name val="Calibri"/>
      <family val="2"/>
      <b val="1"/>
      <sz val="12"/>
      <scheme val="minor"/>
    </font>
    <font>
      <name val="Calibri"/>
      <family val="2"/>
      <b val="1"/>
      <color theme="0"/>
      <sz val="12"/>
      <scheme val="minor"/>
    </font>
    <font>
      <name val="Calibri"/>
      <family val="2"/>
      <b val="1"/>
      <color theme="9" tint="-0.499984740745262"/>
      <sz val="12"/>
      <scheme val="minor"/>
    </font>
    <font>
      <name val="Calibri"/>
      <family val="2"/>
      <b val="1"/>
      <color rgb="FFFF0000"/>
      <sz val="12"/>
      <scheme val="minor"/>
    </font>
    <font>
      <name val="Calibri"/>
      <family val="2"/>
      <color theme="11"/>
      <sz val="11"/>
      <u val="single"/>
      <scheme val="minor"/>
    </font>
    <font>
      <name val="Tahoma"/>
      <family val="2"/>
      <b val="1"/>
      <color rgb="FF000000"/>
      <sz val="9"/>
    </font>
  </fonts>
  <fills count="21">
    <fill>
      <patternFill/>
    </fill>
    <fill>
      <patternFill patternType="gray125"/>
    </fill>
    <fill>
      <patternFill patternType="solid">
        <fgColor rgb="FFD9D9D9"/>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theme="7" tint="0.7999816888943144"/>
        <bgColor indexed="64"/>
      </patternFill>
    </fill>
    <fill>
      <patternFill patternType="solid">
        <fgColor theme="0"/>
        <bgColor indexed="64"/>
      </patternFill>
    </fill>
    <fill>
      <patternFill patternType="solid">
        <fgColor theme="2" tint="-0.09997863704336681"/>
        <bgColor indexed="64"/>
      </patternFill>
    </fill>
    <fill>
      <patternFill patternType="solid">
        <fgColor rgb="FFFFFF00"/>
        <bgColor indexed="64"/>
      </patternFill>
    </fill>
    <fill>
      <patternFill patternType="solid">
        <fgColor rgb="FFFF0000"/>
        <bgColor indexed="64"/>
      </patternFill>
    </fill>
    <fill>
      <patternFill patternType="solid">
        <fgColor theme="5"/>
        <bgColor indexed="64"/>
      </patternFill>
    </fill>
    <fill>
      <patternFill patternType="solid">
        <fgColor rgb="FF009900"/>
        <bgColor indexed="64"/>
      </patternFill>
    </fill>
    <fill>
      <patternFill patternType="solid">
        <fgColor rgb="FFFFD1D1"/>
        <bgColor indexed="64"/>
      </patternFill>
    </fill>
    <fill>
      <patternFill patternType="solid">
        <fgColor rgb="FFC0D9F2"/>
        <bgColor indexed="64"/>
      </patternFill>
    </fill>
    <fill>
      <patternFill patternType="solid">
        <fgColor theme="3" tint="0.09997863704336681"/>
        <bgColor indexed="64"/>
      </patternFill>
    </fill>
    <fill>
      <patternFill patternType="solid">
        <fgColor theme="9" tint="0.7999816888943144"/>
        <bgColor indexed="64"/>
      </patternFill>
    </fill>
    <fill>
      <patternFill patternType="solid">
        <fgColor theme="9" tint="0.5999938962981048"/>
        <bgColor indexed="64"/>
      </patternFill>
    </fill>
    <fill>
      <patternFill patternType="solid">
        <fgColor rgb="FFFCDAD4"/>
        <bgColor indexed="64"/>
      </patternFill>
    </fill>
    <fill>
      <patternFill patternType="solid">
        <fgColor theme="2"/>
        <bgColor indexed="64"/>
      </patternFill>
    </fill>
    <fill>
      <patternFill patternType="solid">
        <fgColor rgb="FF00B050"/>
        <bgColor rgb="FF00B050"/>
      </patternFill>
    </fill>
    <fill>
      <patternFill patternType="solid">
        <fgColor rgb="FFFF0000"/>
        <bgColor rgb="FFFF0000"/>
      </patternFill>
    </fill>
  </fills>
  <borders count="154">
    <border>
      <left/>
      <right/>
      <top/>
      <bottom/>
      <diagonal/>
    </border>
    <border>
      <left/>
      <right/>
      <top style="thick">
        <color indexed="64"/>
      </top>
      <bottom/>
      <diagonal/>
    </border>
    <border>
      <left/>
      <right/>
      <top/>
      <bottom style="medium">
        <color indexed="64"/>
      </bottom>
      <diagonal/>
    </border>
    <border>
      <left/>
      <right style="medium">
        <color indexed="64"/>
      </right>
      <top/>
      <bottom style="medium">
        <color indexed="64"/>
      </bottom>
      <diagonal/>
    </border>
    <border>
      <left/>
      <right style="medium">
        <color indexed="64"/>
      </right>
      <top/>
      <bottom/>
      <diagonal/>
    </border>
    <border>
      <left style="medium">
        <color indexed="64"/>
      </left>
      <right/>
      <top style="medium">
        <color indexed="64"/>
      </top>
      <bottom/>
      <diagonal/>
    </border>
    <border>
      <left style="medium">
        <color indexed="64"/>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style="medium">
        <color indexed="64"/>
      </bottom>
      <diagonal/>
    </border>
    <border>
      <left style="thin">
        <color indexed="64"/>
      </left>
      <right style="thin">
        <color indexed="64"/>
      </right>
      <top style="thin">
        <color indexed="64"/>
      </top>
      <bottom/>
      <diagonal/>
    </border>
    <border>
      <left/>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thin">
        <color indexed="64"/>
      </bottom>
      <diagonal/>
    </border>
    <border>
      <left style="medium">
        <color indexed="64"/>
      </left>
      <right/>
      <top/>
      <bottom/>
      <diagonal/>
    </border>
    <border>
      <left/>
      <right/>
      <top style="thin">
        <color indexed="64"/>
      </top>
      <bottom/>
      <diagonal/>
    </border>
    <border>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style="thick">
        <color indexed="64"/>
      </right>
      <top style="medium">
        <color indexed="64"/>
      </top>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style="medium">
        <color indexed="64"/>
      </bottom>
      <diagonal/>
    </border>
    <border>
      <left style="medium">
        <color indexed="64"/>
      </left>
      <right style="medium">
        <color indexed="64"/>
      </right>
      <top/>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ck">
        <color indexed="64"/>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medium">
        <color indexed="64"/>
      </right>
      <top style="thin">
        <color indexed="64"/>
      </top>
      <bottom/>
      <diagonal/>
    </border>
    <border>
      <left/>
      <right style="thick">
        <color indexed="64"/>
      </right>
      <top style="medium">
        <color indexed="64"/>
      </top>
      <bottom style="medium">
        <color indexed="64"/>
      </bottom>
      <diagonal/>
    </border>
    <border>
      <left style="thick">
        <color indexed="64"/>
      </left>
      <right/>
      <top style="medium">
        <color indexed="64"/>
      </top>
      <bottom style="medium">
        <color indexed="64"/>
      </bottom>
      <diagonal/>
    </border>
    <border>
      <left style="thin">
        <color theme="0" tint="-0.1499984740745262"/>
      </left>
      <right/>
      <top style="medium">
        <color indexed="64"/>
      </top>
      <bottom style="medium">
        <color indexed="64"/>
      </bottom>
      <diagonal/>
    </border>
    <border>
      <left style="medium">
        <color indexed="64"/>
      </left>
      <right/>
      <top style="medium">
        <color indexed="64"/>
      </top>
      <bottom style="thin">
        <color auto="1"/>
      </bottom>
      <diagonal/>
    </border>
    <border>
      <left style="thin">
        <color auto="1"/>
      </left>
      <right style="thin">
        <color indexed="64"/>
      </right>
      <top style="thin">
        <color auto="1"/>
      </top>
      <bottom style="thin">
        <color auto="1"/>
      </bottom>
      <diagonal/>
    </border>
    <border>
      <left/>
      <right style="thin">
        <color auto="1"/>
      </right>
      <top style="thin">
        <color auto="1"/>
      </top>
      <bottom style="medium">
        <color auto="1"/>
      </bottom>
      <diagonal/>
    </border>
    <border>
      <left/>
      <right style="thin">
        <color auto="1"/>
      </right>
      <top style="medium">
        <color indexed="64"/>
      </top>
      <bottom style="thin">
        <color auto="1"/>
      </bottom>
      <diagonal/>
    </border>
    <border>
      <left/>
      <right/>
      <top style="medium">
        <color auto="1"/>
      </top>
      <bottom style="medium">
        <color indexed="64"/>
      </bottom>
      <diagonal/>
    </border>
    <border>
      <left style="thin">
        <color auto="1"/>
      </left>
      <right style="medium">
        <color indexed="64"/>
      </right>
      <top style="medium">
        <color indexed="64"/>
      </top>
      <bottom style="medium">
        <color indexed="64"/>
      </bottom>
      <diagonal/>
    </border>
    <border>
      <left style="thin">
        <color auto="1"/>
      </left>
      <right style="thin">
        <color auto="1"/>
      </right>
      <top style="thin">
        <color auto="1"/>
      </top>
      <bottom style="thin">
        <color auto="1"/>
      </bottom>
      <diagonal/>
    </border>
    <border>
      <left style="thin">
        <color indexed="64"/>
      </left>
      <right style="thin">
        <color indexed="64"/>
      </right>
      <top/>
      <bottom style="thin">
        <color indexed="64"/>
      </bottom>
      <diagonal/>
    </border>
    <border>
      <left style="thin">
        <color auto="1"/>
      </left>
      <right style="thin">
        <color auto="1"/>
      </right>
      <top style="thin">
        <color indexed="64"/>
      </top>
      <bottom style="thin">
        <color indexed="64"/>
      </bottom>
      <diagonal/>
    </border>
    <border>
      <left style="thin">
        <color auto="1"/>
      </left>
      <right style="thin">
        <color auto="1"/>
      </right>
      <top style="thin">
        <color indexed="64"/>
      </top>
      <bottom style="thin">
        <color indexed="64"/>
      </bottom>
      <diagonal/>
    </border>
    <border>
      <left style="thin">
        <color auto="1"/>
      </left>
      <right style="thin">
        <color auto="1"/>
      </right>
      <top style="thin">
        <color indexed="64"/>
      </top>
      <bottom style="thin">
        <color indexed="64"/>
      </bottom>
      <diagonal/>
    </border>
    <border>
      <left style="thin">
        <color auto="1"/>
      </left>
      <right style="thin">
        <color auto="1"/>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thin">
        <color auto="1"/>
      </right>
      <top/>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top style="thin">
        <color auto="1"/>
      </top>
      <bottom style="thin">
        <color auto="1"/>
      </bottom>
      <diagonal/>
    </border>
    <border>
      <left style="thin">
        <color auto="1"/>
      </left>
      <right style="thin">
        <color auto="1"/>
      </right>
      <top style="thin">
        <color indexed="64"/>
      </top>
      <bottom style="thin">
        <color indexed="64"/>
      </bottom>
      <diagonal/>
    </border>
    <border>
      <left style="medium">
        <color indexed="64"/>
      </left>
      <right/>
      <top style="thin">
        <color auto="1"/>
      </top>
      <bottom style="thin">
        <color indexed="64"/>
      </bottom>
      <diagonal/>
    </border>
    <border>
      <left/>
      <right/>
      <top style="thin">
        <color auto="1"/>
      </top>
      <bottom style="thin">
        <color indexed="64"/>
      </bottom>
      <diagonal/>
    </border>
    <border>
      <left/>
      <right style="medium">
        <color indexed="64"/>
      </right>
      <top style="thin">
        <color auto="1"/>
      </top>
      <bottom style="thin">
        <color indexed="64"/>
      </bottom>
      <diagonal/>
    </border>
    <border>
      <left style="medium">
        <color indexed="64"/>
      </left>
      <right style="thin">
        <color auto="1"/>
      </right>
      <top style="medium">
        <color indexed="64"/>
      </top>
      <bottom style="thin">
        <color auto="1"/>
      </bottom>
      <diagonal/>
    </border>
    <border>
      <left style="thin">
        <color auto="1"/>
      </left>
      <right style="thin">
        <color auto="1"/>
      </right>
      <top style="thin">
        <color indexed="64"/>
      </top>
      <bottom style="medium">
        <color auto="1"/>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thin">
        <color auto="1"/>
      </left>
      <right style="thin">
        <color auto="1"/>
      </right>
      <top style="medium">
        <color indexed="64"/>
      </top>
      <bottom style="thin">
        <color indexed="64"/>
      </bottom>
      <diagonal/>
    </border>
    <border>
      <left style="medium">
        <color indexed="64"/>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indexed="64"/>
      </right>
      <top style="thin">
        <color auto="1"/>
      </top>
      <bottom style="medium">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indexed="64"/>
      </right>
      <top style="thin">
        <color auto="1"/>
      </top>
      <bottom style="medium">
        <color auto="1"/>
      </bottom>
      <diagonal/>
    </border>
    <border>
      <left style="thin">
        <color auto="1"/>
      </left>
      <right style="thin">
        <color auto="1"/>
      </right>
      <top style="medium">
        <color indexed="64"/>
      </top>
      <bottom style="thin">
        <color indexed="64"/>
      </bottom>
      <diagonal/>
    </border>
    <border>
      <left style="thin">
        <color auto="1"/>
      </left>
      <right style="thin">
        <color auto="1"/>
      </right>
      <top style="thin">
        <color indexed="64"/>
      </top>
      <bottom style="medium">
        <color indexed="64"/>
      </bottom>
      <diagonal/>
    </border>
    <border>
      <left style="medium">
        <color indexed="64"/>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indexed="64"/>
      </right>
      <top style="thin">
        <color auto="1"/>
      </top>
      <bottom style="medium">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top/>
      <bottom style="medium">
        <color indexed="64"/>
      </bottom>
      <diagonal/>
    </border>
    <border>
      <left style="medium">
        <color indexed="64"/>
      </left>
      <right style="thin">
        <color auto="1"/>
      </right>
      <top/>
      <bottom style="medium">
        <color indexed="64"/>
      </bottom>
      <diagonal/>
    </border>
    <border>
      <left style="thin">
        <color auto="1"/>
      </left>
      <right style="medium">
        <color indexed="64"/>
      </right>
      <top style="medium">
        <color indexed="64"/>
      </top>
      <bottom/>
      <diagonal/>
    </border>
    <border>
      <left style="medium">
        <color indexed="64"/>
      </left>
      <right style="thin">
        <color auto="1"/>
      </right>
      <top style="medium">
        <color indexed="64"/>
      </top>
      <bottom/>
      <diagonal/>
    </border>
    <border>
      <left style="thin">
        <color auto="1"/>
      </left>
      <right style="medium">
        <color indexed="64"/>
      </right>
      <top style="thin">
        <color auto="1"/>
      </top>
      <bottom/>
      <diagonal/>
    </border>
    <border>
      <left style="thin">
        <color auto="1"/>
      </left>
      <right style="medium">
        <color indexed="64"/>
      </right>
      <top/>
      <bottom style="medium">
        <color indexed="64"/>
      </bottom>
      <diagonal/>
    </border>
    <border>
      <left/>
      <right style="thin">
        <color indexed="64"/>
      </right>
      <top style="medium">
        <color indexed="64"/>
      </top>
      <bottom style="medium">
        <color indexed="64"/>
      </bottom>
      <diagonal/>
    </border>
    <border>
      <left/>
      <right/>
      <top style="thin">
        <color auto="1"/>
      </top>
      <bottom/>
      <diagonal/>
    </border>
    <border>
      <left/>
      <right style="medium">
        <color indexed="64"/>
      </right>
      <top style="thin">
        <color auto="1"/>
      </top>
      <bottom/>
      <diagonal/>
    </border>
    <border>
      <left style="medium">
        <color indexed="64"/>
      </left>
      <right style="thick">
        <color indexed="64"/>
      </right>
      <top style="medium">
        <color indexed="64"/>
      </top>
      <bottom/>
      <diagonal/>
    </border>
    <border>
      <left style="thick">
        <color indexed="64"/>
      </left>
      <right style="medium">
        <color indexed="64"/>
      </right>
      <top style="medium">
        <color indexed="64"/>
      </top>
      <bottom/>
      <diagonal/>
    </border>
    <border>
      <left/>
      <right style="medium">
        <color indexed="64"/>
      </right>
      <top style="thin">
        <color indexed="64"/>
      </top>
      <bottom/>
      <diagonal/>
    </border>
    <border>
      <left/>
      <right style="thin">
        <color indexed="64"/>
      </right>
      <top style="thin">
        <color indexed="64"/>
      </top>
      <bottom/>
      <diagonal/>
    </border>
    <border>
      <left style="thin">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auto="1"/>
      </right>
      <top style="medium">
        <color indexed="64"/>
      </top>
      <bottom/>
      <diagonal/>
    </border>
    <border>
      <left style="medium">
        <color indexed="64"/>
      </left>
      <right style="medium">
        <color indexed="64"/>
      </right>
      <top style="thick">
        <color indexed="64"/>
      </top>
      <bottom/>
      <diagonal/>
    </border>
    <border>
      <left style="medium">
        <color indexed="64"/>
      </left>
      <right style="medium">
        <color indexed="64"/>
      </right>
      <top style="medium">
        <color indexed="64"/>
      </top>
      <bottom style="thin">
        <color auto="1"/>
      </bottom>
      <diagonal/>
    </border>
    <border>
      <left style="medium">
        <color indexed="64"/>
      </left>
      <right style="thin">
        <color auto="1"/>
      </right>
      <top style="thin">
        <color indexed="64"/>
      </top>
      <bottom style="medium">
        <color indexed="64"/>
      </bottom>
      <diagonal/>
    </border>
    <border>
      <left/>
      <right style="thin">
        <color auto="1"/>
      </right>
      <top style="thin">
        <color indexed="64"/>
      </top>
      <bottom/>
      <diagonal/>
    </border>
    <border>
      <left/>
      <right style="thin">
        <color auto="1"/>
      </right>
      <top style="thin">
        <color indexed="64"/>
      </top>
      <bottom style="medium">
        <color indexed="64"/>
      </bottom>
      <diagonal/>
    </border>
    <border>
      <left style="medium">
        <color indexed="64"/>
      </left>
      <right style="thick">
        <color indexed="64"/>
      </right>
      <top style="medium">
        <color indexed="64"/>
      </top>
      <bottom style="medium">
        <color indexed="64"/>
      </bottom>
      <diagonal/>
    </border>
    <border>
      <left style="medium">
        <color indexed="64"/>
      </left>
      <right style="thin">
        <color indexed="64"/>
      </right>
      <top style="thin">
        <color auto="1"/>
      </top>
      <bottom style="thin">
        <color auto="1"/>
      </bottom>
      <diagonal/>
    </border>
    <border>
      <left/>
      <right style="thin">
        <color indexed="64"/>
      </right>
      <top style="thin">
        <color auto="1"/>
      </top>
      <bottom/>
      <diagonal/>
    </border>
    <border>
      <left/>
      <right style="thin">
        <color indexed="64"/>
      </right>
      <top style="thin">
        <color auto="1"/>
      </top>
      <bottom style="thin">
        <color auto="1"/>
      </bottom>
      <diagonal/>
    </border>
    <border>
      <left/>
      <right style="thin">
        <color auto="1"/>
      </right>
      <top style="thin">
        <color auto="1"/>
      </top>
      <bottom/>
      <diagonal/>
    </border>
    <border>
      <left/>
      <right style="thin">
        <color auto="1"/>
      </right>
      <top style="thin">
        <color auto="1"/>
      </top>
      <bottom style="thin">
        <color auto="1"/>
      </bottom>
      <diagonal/>
    </border>
    <border>
      <left/>
      <right style="thin">
        <color auto="1"/>
      </right>
      <top style="medium">
        <color indexed="64"/>
      </top>
      <bottom style="medium">
        <color indexed="64"/>
      </bottom>
      <diagonal/>
    </border>
    <border>
      <left/>
      <right style="thin">
        <color auto="1"/>
      </right>
      <top style="medium">
        <color indexed="64"/>
      </top>
      <bottom style="thin">
        <color indexed="64"/>
      </bottom>
      <diagonal/>
    </border>
  </borders>
  <cellStyleXfs count="4">
    <xf numFmtId="0" fontId="62" fillId="0" borderId="0"/>
    <xf numFmtId="0" fontId="59" fillId="0" borderId="0"/>
    <xf numFmtId="9" fontId="62" fillId="0" borderId="0"/>
    <xf numFmtId="0" fontId="68" fillId="0" borderId="0"/>
  </cellStyleXfs>
  <cellXfs count="854">
    <xf numFmtId="0" fontId="0" fillId="0" borderId="0" pivotButton="0" quotePrefix="0" xfId="0"/>
    <xf numFmtId="0" fontId="18" fillId="0" borderId="0" pivotButton="0" quotePrefix="0" xfId="0"/>
    <xf numFmtId="0" fontId="0" fillId="0" borderId="0" applyProtection="1" pivotButton="0" quotePrefix="0" xfId="0">
      <protection locked="0" hidden="0"/>
    </xf>
    <xf numFmtId="0" fontId="18" fillId="0" borderId="0" applyProtection="1" pivotButton="0" quotePrefix="0" xfId="0">
      <protection locked="0" hidden="0"/>
    </xf>
    <xf numFmtId="0" fontId="2" fillId="3" borderId="13" applyAlignment="1" applyProtection="1" pivotButton="0" quotePrefix="0" xfId="0">
      <alignment vertical="top" wrapText="1"/>
      <protection locked="0" hidden="0"/>
    </xf>
    <xf numFmtId="0" fontId="14" fillId="0" borderId="0" applyProtection="1" pivotButton="0" quotePrefix="0" xfId="0">
      <protection locked="0" hidden="0"/>
    </xf>
    <xf numFmtId="0" fontId="2" fillId="3" borderId="12" applyAlignment="1" applyProtection="1" pivotButton="0" quotePrefix="0" xfId="0">
      <alignment vertical="top" wrapText="1"/>
      <protection locked="0" hidden="0"/>
    </xf>
    <xf numFmtId="0" fontId="4" fillId="0" borderId="0" applyAlignment="1" applyProtection="1" pivotButton="0" quotePrefix="0" xfId="0">
      <alignment vertical="center"/>
      <protection locked="0" hidden="0"/>
    </xf>
    <xf numFmtId="0" fontId="11" fillId="0" borderId="0" pivotButton="0" quotePrefix="0" xfId="0"/>
    <xf numFmtId="0" fontId="12" fillId="0" borderId="0" applyAlignment="1" pivotButton="0" quotePrefix="0" xfId="0">
      <alignment vertical="center"/>
    </xf>
    <xf numFmtId="0" fontId="13" fillId="0" borderId="0" applyAlignment="1" pivotButton="0" quotePrefix="0" xfId="0">
      <alignment vertical="center"/>
    </xf>
    <xf numFmtId="0" fontId="3" fillId="3" borderId="13" applyAlignment="1" pivotButton="0" quotePrefix="0" xfId="0">
      <alignment horizontal="center" vertical="center" wrapText="1"/>
    </xf>
    <xf numFmtId="0" fontId="2" fillId="0" borderId="15" applyAlignment="1" applyProtection="1" pivotButton="0" quotePrefix="0" xfId="0">
      <alignment horizontal="center" vertical="center" wrapText="1"/>
      <protection locked="0" hidden="0"/>
    </xf>
    <xf numFmtId="0" fontId="2" fillId="0" borderId="0" applyAlignment="1" applyProtection="1" pivotButton="0" quotePrefix="0" xfId="0">
      <alignment vertical="center"/>
      <protection locked="0" hidden="0"/>
    </xf>
    <xf numFmtId="0" fontId="2" fillId="0" borderId="0" applyProtection="1" pivotButton="0" quotePrefix="0" xfId="0">
      <protection locked="0" hidden="0"/>
    </xf>
    <xf numFmtId="0" fontId="22" fillId="0" borderId="28" applyAlignment="1" applyProtection="1" pivotButton="0" quotePrefix="0" xfId="0">
      <alignment vertical="center" wrapText="1"/>
      <protection locked="0" hidden="0"/>
    </xf>
    <xf numFmtId="0" fontId="3" fillId="2" borderId="12" applyAlignment="1" pivotButton="0" quotePrefix="0" xfId="0">
      <alignment vertical="center" wrapText="1"/>
    </xf>
    <xf numFmtId="0" fontId="8" fillId="4" borderId="7" applyAlignment="1" pivotButton="0" quotePrefix="0" xfId="0">
      <alignment vertical="center"/>
    </xf>
    <xf numFmtId="0" fontId="8" fillId="4" borderId="8" applyAlignment="1" pivotButton="0" quotePrefix="0" xfId="0">
      <alignment vertical="center"/>
    </xf>
    <xf numFmtId="0" fontId="9" fillId="4" borderId="9" applyAlignment="1" applyProtection="1" pivotButton="0" quotePrefix="0" xfId="0">
      <alignment vertical="center"/>
      <protection locked="0" hidden="0"/>
    </xf>
    <xf numFmtId="0" fontId="9" fillId="4" borderId="7" applyAlignment="1" applyProtection="1" pivotButton="0" quotePrefix="0" xfId="0">
      <alignment vertical="center"/>
      <protection locked="0" hidden="0"/>
    </xf>
    <xf numFmtId="0" fontId="9" fillId="4" borderId="2" applyAlignment="1" applyProtection="1" pivotButton="0" quotePrefix="0" xfId="0">
      <alignment vertical="center"/>
      <protection locked="0" hidden="0"/>
    </xf>
    <xf numFmtId="0" fontId="9" fillId="4" borderId="8" applyAlignment="1" applyProtection="1" pivotButton="0" quotePrefix="0" xfId="0">
      <alignment vertical="center"/>
      <protection locked="0" hidden="0"/>
    </xf>
    <xf numFmtId="0" fontId="8" fillId="4" borderId="9" applyAlignment="1" applyProtection="1" pivotButton="0" quotePrefix="0" xfId="0">
      <alignment vertical="center"/>
      <protection locked="0" hidden="0"/>
    </xf>
    <xf numFmtId="0" fontId="8" fillId="4" borderId="7" applyAlignment="1" applyProtection="1" pivotButton="0" quotePrefix="0" xfId="0">
      <alignment vertical="center"/>
      <protection locked="0" hidden="0"/>
    </xf>
    <xf numFmtId="0" fontId="8" fillId="4" borderId="8" applyAlignment="1" applyProtection="1" pivotButton="0" quotePrefix="0" xfId="0">
      <alignment vertical="center"/>
      <protection locked="0" hidden="0"/>
    </xf>
    <xf numFmtId="0" fontId="8" fillId="4" borderId="9" applyProtection="1" pivotButton="0" quotePrefix="0" xfId="0">
      <protection locked="0" hidden="0"/>
    </xf>
    <xf numFmtId="0" fontId="8" fillId="4" borderId="7" applyProtection="1" pivotButton="0" quotePrefix="0" xfId="0">
      <protection locked="0" hidden="0"/>
    </xf>
    <xf numFmtId="0" fontId="8" fillId="4" borderId="8" applyProtection="1" pivotButton="0" quotePrefix="0" xfId="0">
      <protection locked="0" hidden="0"/>
    </xf>
    <xf numFmtId="0" fontId="26" fillId="4" borderId="6" applyAlignment="1" applyProtection="1" pivotButton="0" quotePrefix="0" xfId="0">
      <alignment vertical="center"/>
      <protection locked="0" hidden="0"/>
    </xf>
    <xf numFmtId="0" fontId="26" fillId="4" borderId="2" applyAlignment="1" applyProtection="1" pivotButton="0" quotePrefix="0" xfId="0">
      <alignment vertical="center"/>
      <protection locked="0" hidden="0"/>
    </xf>
    <xf numFmtId="0" fontId="26" fillId="4" borderId="3" applyAlignment="1" applyProtection="1" pivotButton="0" quotePrefix="0" xfId="0">
      <alignment vertical="center"/>
      <protection locked="0" hidden="0"/>
    </xf>
    <xf numFmtId="0" fontId="29" fillId="0" borderId="0" pivotButton="0" quotePrefix="0" xfId="0"/>
    <xf numFmtId="0" fontId="1" fillId="3" borderId="13" applyAlignment="1" pivotButton="0" quotePrefix="0" xfId="0">
      <alignment horizontal="center" vertical="center" wrapText="1"/>
    </xf>
    <xf numFmtId="0" fontId="1" fillId="3" borderId="52" applyAlignment="1" pivotButton="0" quotePrefix="0" xfId="0">
      <alignment horizontal="center" vertical="center" wrapText="1"/>
    </xf>
    <xf numFmtId="0" fontId="10" fillId="4" borderId="25" applyAlignment="1" pivotButton="0" quotePrefix="0" xfId="0">
      <alignment horizontal="center" vertical="center"/>
    </xf>
    <xf numFmtId="0" fontId="2" fillId="4" borderId="29" applyAlignment="1" pivotButton="0" quotePrefix="0" xfId="0">
      <alignment horizontal="center" vertical="center"/>
    </xf>
    <xf numFmtId="0" fontId="20" fillId="4" borderId="15" applyAlignment="1" pivotButton="0" quotePrefix="0" xfId="0">
      <alignment horizontal="left" vertical="center"/>
    </xf>
    <xf numFmtId="0" fontId="8" fillId="4" borderId="9" applyAlignment="1" pivotButton="0" quotePrefix="0" xfId="0">
      <alignment vertical="center"/>
    </xf>
    <xf numFmtId="0" fontId="32" fillId="5" borderId="0" applyAlignment="1" applyProtection="1" pivotButton="0" quotePrefix="0" xfId="0">
      <alignment horizontal="left" vertical="center" wrapText="1"/>
      <protection locked="0" hidden="0"/>
    </xf>
    <xf numFmtId="0" fontId="2" fillId="0" borderId="0" pivotButton="0" quotePrefix="0" xfId="0"/>
    <xf numFmtId="0" fontId="2" fillId="0" borderId="4" pivotButton="0" quotePrefix="0" xfId="0"/>
    <xf numFmtId="0" fontId="2" fillId="0" borderId="2" pivotButton="0" quotePrefix="0" xfId="0"/>
    <xf numFmtId="0" fontId="2" fillId="0" borderId="3" pivotButton="0" quotePrefix="0" xfId="0"/>
    <xf numFmtId="0" fontId="22" fillId="0" borderId="28" applyAlignment="1" applyProtection="1" pivotButton="0" quotePrefix="0" xfId="0">
      <alignment horizontal="center" vertical="center" wrapText="1"/>
      <protection locked="0" hidden="0"/>
    </xf>
    <xf numFmtId="0" fontId="22" fillId="0" borderId="29" applyAlignment="1" applyProtection="1" pivotButton="0" quotePrefix="0" xfId="0">
      <alignment horizontal="center" vertical="center" wrapText="1"/>
      <protection locked="0" hidden="0"/>
    </xf>
    <xf numFmtId="0" fontId="22" fillId="0" borderId="44" applyAlignment="1" applyProtection="1" pivotButton="0" quotePrefix="0" xfId="0">
      <alignment horizontal="center" vertical="center" wrapText="1"/>
      <protection locked="0" hidden="0"/>
    </xf>
    <xf numFmtId="0" fontId="22" fillId="0" borderId="45" applyAlignment="1" applyProtection="1" pivotButton="0" quotePrefix="0" xfId="0">
      <alignment horizontal="center" vertical="center" wrapText="1"/>
      <protection locked="0" hidden="0"/>
    </xf>
    <xf numFmtId="0" fontId="8" fillId="4" borderId="7" applyAlignment="1" pivotButton="0" quotePrefix="0" xfId="0">
      <alignment horizontal="center" vertical="center"/>
    </xf>
    <xf numFmtId="0" fontId="9" fillId="4" borderId="7" applyAlignment="1" applyProtection="1" pivotButton="0" quotePrefix="0" xfId="0">
      <alignment horizontal="center" vertical="center"/>
      <protection locked="0" hidden="0"/>
    </xf>
    <xf numFmtId="0" fontId="8" fillId="4" borderId="7" applyAlignment="1" applyProtection="1" pivotButton="0" quotePrefix="0" xfId="0">
      <alignment horizontal="center" vertical="center"/>
      <protection locked="0" hidden="0"/>
    </xf>
    <xf numFmtId="0" fontId="8" fillId="4" borderId="7" applyAlignment="1" applyProtection="1" pivotButton="0" quotePrefix="0" xfId="0">
      <alignment horizontal="center"/>
      <protection locked="0" hidden="0"/>
    </xf>
    <xf numFmtId="0" fontId="0" fillId="0" borderId="0" applyAlignment="1" applyProtection="1" pivotButton="0" quotePrefix="0" xfId="0">
      <alignment horizontal="center"/>
      <protection locked="0" hidden="0"/>
    </xf>
    <xf numFmtId="0" fontId="0" fillId="0" borderId="0" applyAlignment="1" applyProtection="1" pivotButton="0" quotePrefix="0" xfId="0">
      <alignment horizontal="left" vertical="distributed" indent="4" readingOrder="1"/>
      <protection locked="0" hidden="0"/>
    </xf>
    <xf numFmtId="0" fontId="18" fillId="3" borderId="0" applyProtection="1" pivotButton="0" quotePrefix="0" xfId="0">
      <protection locked="0" hidden="0"/>
    </xf>
    <xf numFmtId="0" fontId="0" fillId="3" borderId="0" applyProtection="1" pivotButton="0" quotePrefix="0" xfId="0">
      <protection locked="0" hidden="0"/>
    </xf>
    <xf numFmtId="0" fontId="10" fillId="4" borderId="27" applyAlignment="1" pivotButton="0" quotePrefix="0" xfId="0">
      <alignment horizontal="center" vertical="center"/>
    </xf>
    <xf numFmtId="0" fontId="1" fillId="3" borderId="13" applyAlignment="1" pivotButton="0" quotePrefix="0" xfId="0">
      <alignment horizontal="center" vertical="center" textRotation="90" wrapText="1"/>
    </xf>
    <xf numFmtId="0" fontId="10" fillId="4" borderId="39" applyAlignment="1" pivotButton="0" quotePrefix="0" xfId="0">
      <alignment horizontal="center" vertical="center"/>
    </xf>
    <xf numFmtId="0" fontId="22" fillId="0" borderId="31" applyAlignment="1" applyProtection="1" pivotButton="0" quotePrefix="0" xfId="0">
      <alignment horizontal="center" vertical="center" wrapText="1"/>
      <protection locked="0" hidden="0"/>
    </xf>
    <xf numFmtId="0" fontId="34" fillId="4" borderId="7" applyAlignment="1" applyProtection="1" pivotButton="0" quotePrefix="0" xfId="0">
      <alignment vertical="center"/>
      <protection locked="0" hidden="0"/>
    </xf>
    <xf numFmtId="0" fontId="32" fillId="5" borderId="0" applyProtection="1" pivotButton="0" quotePrefix="0" xfId="0">
      <protection locked="0" hidden="0"/>
    </xf>
    <xf numFmtId="0" fontId="2" fillId="0" borderId="34" pivotButton="0" quotePrefix="0" xfId="0"/>
    <xf numFmtId="0" fontId="32" fillId="5" borderId="0" applyAlignment="1" applyProtection="1" pivotButton="0" quotePrefix="0" xfId="0">
      <alignment horizontal="left" wrapText="1"/>
      <protection locked="0" hidden="0"/>
    </xf>
    <xf numFmtId="0" fontId="35" fillId="0" borderId="0" pivotButton="0" quotePrefix="0" xfId="0"/>
    <xf numFmtId="0" fontId="39" fillId="0" borderId="15" pivotButton="0" quotePrefix="0" xfId="0"/>
    <xf numFmtId="0" fontId="38" fillId="0" borderId="0" applyAlignment="1" pivotButton="0" quotePrefix="0" xfId="0">
      <alignment vertical="center"/>
    </xf>
    <xf numFmtId="0" fontId="2" fillId="3" borderId="14" applyAlignment="1" applyProtection="1" pivotButton="0" quotePrefix="0" xfId="0">
      <alignment vertical="top" wrapText="1"/>
      <protection locked="0" hidden="0"/>
    </xf>
    <xf numFmtId="14" fontId="2" fillId="4" borderId="29" applyAlignment="1" pivotButton="0" quotePrefix="0" xfId="0">
      <alignment horizontal="center" vertical="center"/>
    </xf>
    <xf numFmtId="0" fontId="9" fillId="4" borderId="13" applyAlignment="1" applyProtection="1" pivotButton="0" quotePrefix="0" xfId="0">
      <alignment vertical="center"/>
      <protection locked="0" hidden="0"/>
    </xf>
    <xf numFmtId="0" fontId="1" fillId="3" borderId="12" applyAlignment="1" pivotButton="0" quotePrefix="0" xfId="0">
      <alignment horizontal="center" vertical="center" textRotation="90" wrapText="1"/>
    </xf>
    <xf numFmtId="0" fontId="1" fillId="3" borderId="12" applyAlignment="1" pivotButton="0" quotePrefix="0" xfId="0">
      <alignment horizontal="center" vertical="center" wrapText="1"/>
    </xf>
    <xf numFmtId="0" fontId="2" fillId="3" borderId="48" applyAlignment="1" applyProtection="1" pivotButton="0" quotePrefix="0" xfId="0">
      <alignment vertical="top" wrapText="1"/>
      <protection locked="0" hidden="0"/>
    </xf>
    <xf numFmtId="0" fontId="37" fillId="0" borderId="0" applyAlignment="1" pivotButton="0" quotePrefix="0" xfId="0">
      <alignment vertical="center" wrapText="1"/>
    </xf>
    <xf numFmtId="0" fontId="22" fillId="0" borderId="32" applyAlignment="1" applyProtection="1" pivotButton="0" quotePrefix="0" xfId="0">
      <alignment horizontal="center" vertical="center" wrapText="1"/>
      <protection locked="0" hidden="0"/>
    </xf>
    <xf numFmtId="0" fontId="1" fillId="2" borderId="34" applyAlignment="1" pivotButton="0" quotePrefix="0" xfId="0">
      <alignment horizontal="left" vertical="center" wrapText="1"/>
    </xf>
    <xf numFmtId="0" fontId="1" fillId="2" borderId="0" applyAlignment="1" pivotButton="0" quotePrefix="0" xfId="0">
      <alignment horizontal="left" vertical="center" wrapText="1"/>
    </xf>
    <xf numFmtId="0" fontId="1" fillId="2" borderId="4" applyAlignment="1" pivotButton="0" quotePrefix="0" xfId="0">
      <alignment horizontal="left" vertical="center" wrapText="1"/>
    </xf>
    <xf numFmtId="0" fontId="0" fillId="0" borderId="0" applyAlignment="1" pivotButton="0" quotePrefix="0" xfId="0">
      <alignment vertical="top"/>
    </xf>
    <xf numFmtId="0" fontId="0" fillId="0" borderId="34" applyProtection="1" pivotButton="0" quotePrefix="0" xfId="0">
      <protection locked="0" hidden="0"/>
    </xf>
    <xf numFmtId="0" fontId="22" fillId="0" borderId="46" applyAlignment="1" applyProtection="1" pivotButton="0" quotePrefix="0" xfId="0">
      <alignment horizontal="center" vertical="center" wrapText="1"/>
      <protection locked="0" hidden="0"/>
    </xf>
    <xf numFmtId="0" fontId="26" fillId="4" borderId="7" applyAlignment="1" applyProtection="1" pivotButton="0" quotePrefix="0" xfId="0">
      <alignment horizontal="center" vertical="center"/>
      <protection locked="0" hidden="0"/>
    </xf>
    <xf numFmtId="0" fontId="26" fillId="4" borderId="7" applyAlignment="1" applyProtection="1" pivotButton="0" quotePrefix="0" xfId="0">
      <alignment vertical="center"/>
      <protection locked="0" hidden="0"/>
    </xf>
    <xf numFmtId="0" fontId="9" fillId="4" borderId="58" applyAlignment="1" applyProtection="1" pivotButton="0" quotePrefix="0" xfId="0">
      <alignment vertical="center"/>
      <protection locked="0" hidden="0"/>
    </xf>
    <xf numFmtId="0" fontId="9" fillId="4" borderId="2" applyAlignment="1" applyProtection="1" pivotButton="0" quotePrefix="0" xfId="0">
      <alignment horizontal="center" vertical="center"/>
      <protection locked="0" hidden="0"/>
    </xf>
    <xf numFmtId="0" fontId="8" fillId="4" borderId="2" applyAlignment="1" applyProtection="1" pivotButton="0" quotePrefix="0" xfId="0">
      <alignment vertical="center"/>
      <protection locked="0" hidden="0"/>
    </xf>
    <xf numFmtId="0" fontId="0" fillId="0" borderId="0" applyAlignment="1" applyProtection="1" pivotButton="0" quotePrefix="0" xfId="0">
      <alignment vertical="center"/>
      <protection locked="0" hidden="0"/>
    </xf>
    <xf numFmtId="0" fontId="14" fillId="0" borderId="0" applyAlignment="1" applyProtection="1" pivotButton="0" quotePrefix="0" xfId="0">
      <alignment vertical="center"/>
      <protection locked="0" hidden="0"/>
    </xf>
    <xf numFmtId="0" fontId="1" fillId="0" borderId="32" applyAlignment="1" applyProtection="1" pivotButton="0" quotePrefix="0" xfId="0">
      <alignment horizontal="center" vertical="center" textRotation="90" wrapText="1"/>
      <protection locked="0" hidden="0"/>
    </xf>
    <xf numFmtId="0" fontId="1" fillId="0" borderId="54" applyAlignment="1" applyProtection="1" pivotButton="0" quotePrefix="0" xfId="0">
      <alignment horizontal="center" vertical="center" textRotation="90" wrapText="1"/>
      <protection locked="0" hidden="0"/>
    </xf>
    <xf numFmtId="0" fontId="1" fillId="0" borderId="28" applyAlignment="1" applyProtection="1" pivotButton="0" quotePrefix="0" xfId="0">
      <alignment horizontal="center" vertical="center" textRotation="90" wrapText="1"/>
      <protection locked="0" hidden="0"/>
    </xf>
    <xf numFmtId="14" fontId="32" fillId="5" borderId="4" applyAlignment="1" applyProtection="1" pivotButton="0" quotePrefix="0" xfId="0">
      <alignment horizontal="left" vertical="top" wrapText="1"/>
      <protection locked="0" hidden="0"/>
    </xf>
    <xf numFmtId="0" fontId="9" fillId="0" borderId="0" applyAlignment="1" applyProtection="1" pivotButton="0" quotePrefix="0" xfId="0">
      <alignment horizontal="left"/>
      <protection locked="0" hidden="0"/>
    </xf>
    <xf numFmtId="0" fontId="8" fillId="0" borderId="4" applyAlignment="1" applyProtection="1" pivotButton="0" quotePrefix="0" xfId="0">
      <alignment vertical="center"/>
      <protection locked="0" hidden="0"/>
    </xf>
    <xf numFmtId="0" fontId="44" fillId="0" borderId="0" pivotButton="0" quotePrefix="0" xfId="0"/>
    <xf numFmtId="0" fontId="18" fillId="0" borderId="5" pivotButton="0" quotePrefix="0" xfId="0"/>
    <xf numFmtId="0" fontId="18" fillId="0" borderId="34" applyProtection="1" pivotButton="0" quotePrefix="0" xfId="0">
      <protection locked="0" hidden="0"/>
    </xf>
    <xf numFmtId="0" fontId="45" fillId="0" borderId="0" applyAlignment="1" applyProtection="1" pivotButton="0" quotePrefix="0" xfId="0">
      <alignment vertical="center"/>
      <protection locked="0" hidden="0"/>
    </xf>
    <xf numFmtId="0" fontId="18" fillId="4" borderId="0" applyProtection="1" pivotButton="0" quotePrefix="0" xfId="0">
      <protection locked="0" hidden="0"/>
    </xf>
    <xf numFmtId="0" fontId="46" fillId="4" borderId="9" applyAlignment="1" applyProtection="1" pivotButton="0" quotePrefix="0" xfId="0">
      <alignment vertical="center"/>
      <protection locked="0" hidden="0"/>
    </xf>
    <xf numFmtId="0" fontId="46" fillId="4" borderId="9" applyProtection="1" pivotButton="0" quotePrefix="0" xfId="0">
      <protection locked="0" hidden="0"/>
    </xf>
    <xf numFmtId="0" fontId="43" fillId="0" borderId="0" applyAlignment="1" applyProtection="1" pivotButton="0" quotePrefix="0" xfId="0">
      <alignment vertical="center"/>
      <protection locked="0" hidden="0"/>
    </xf>
    <xf numFmtId="0" fontId="45" fillId="0" borderId="4" applyAlignment="1" applyProtection="1" pivotButton="0" quotePrefix="0" xfId="0">
      <alignment vertical="center"/>
      <protection locked="0" hidden="0"/>
    </xf>
    <xf numFmtId="0" fontId="46" fillId="4" borderId="7" applyProtection="1" pivotButton="0" quotePrefix="0" xfId="0">
      <protection locked="0" hidden="0"/>
    </xf>
    <xf numFmtId="0" fontId="18" fillId="0" borderId="6" applyProtection="1" pivotButton="0" quotePrefix="0" xfId="0">
      <protection locked="0" hidden="0"/>
    </xf>
    <xf numFmtId="0" fontId="18" fillId="0" borderId="2" applyProtection="1" pivotButton="0" quotePrefix="0" xfId="0">
      <protection locked="0" hidden="0"/>
    </xf>
    <xf numFmtId="0" fontId="18" fillId="0" borderId="0" applyAlignment="1" applyProtection="1" pivotButton="0" quotePrefix="0" xfId="0">
      <alignment vertical="center"/>
      <protection locked="0" hidden="0"/>
    </xf>
    <xf numFmtId="0" fontId="18" fillId="0" borderId="9" applyProtection="1" pivotButton="0" quotePrefix="0" xfId="0">
      <protection locked="0" hidden="0"/>
    </xf>
    <xf numFmtId="0" fontId="18" fillId="0" borderId="7" applyProtection="1" pivotButton="0" quotePrefix="0" xfId="0">
      <protection locked="0" hidden="0"/>
    </xf>
    <xf numFmtId="0" fontId="47" fillId="0" borderId="0" applyProtection="1" pivotButton="0" quotePrefix="0" xfId="0">
      <protection locked="0" hidden="0"/>
    </xf>
    <xf numFmtId="0" fontId="46" fillId="4" borderId="7" applyAlignment="1" applyProtection="1" pivotButton="0" quotePrefix="0" xfId="0">
      <alignment vertical="center"/>
      <protection locked="0" hidden="0"/>
    </xf>
    <xf numFmtId="0" fontId="1" fillId="3" borderId="6" applyAlignment="1" pivotButton="0" quotePrefix="0" xfId="0">
      <alignment vertical="center" wrapText="1"/>
    </xf>
    <xf numFmtId="0" fontId="1" fillId="3" borderId="3" applyAlignment="1" pivotButton="0" quotePrefix="0" xfId="0">
      <alignment vertical="center" wrapText="1"/>
    </xf>
    <xf numFmtId="0" fontId="1" fillId="3" borderId="14" applyAlignment="1" pivotButton="0" quotePrefix="0" xfId="0">
      <alignment vertical="center" wrapText="1"/>
    </xf>
    <xf numFmtId="0" fontId="1" fillId="3" borderId="12" applyAlignment="1" pivotButton="0" quotePrefix="0" xfId="0">
      <alignment horizontal="center" wrapText="1"/>
    </xf>
    <xf numFmtId="0" fontId="1" fillId="0" borderId="34" applyAlignment="1" applyProtection="1" pivotButton="0" quotePrefix="0" xfId="0">
      <alignment vertical="center"/>
      <protection locked="0" hidden="0"/>
    </xf>
    <xf numFmtId="0" fontId="1" fillId="3" borderId="5" applyAlignment="1" pivotButton="0" quotePrefix="0" xfId="0">
      <alignment horizontal="center" vertical="center" wrapText="1"/>
    </xf>
    <xf numFmtId="0" fontId="1" fillId="3" borderId="0" applyAlignment="1" pivotButton="0" quotePrefix="0" xfId="0">
      <alignment horizontal="center" vertical="center" wrapText="1"/>
    </xf>
    <xf numFmtId="0" fontId="1" fillId="3" borderId="5" applyAlignment="1" applyProtection="1" pivotButton="0" quotePrefix="0" xfId="0">
      <alignment horizontal="center" vertical="center" wrapText="1"/>
      <protection locked="0" hidden="0"/>
    </xf>
    <xf numFmtId="0" fontId="1" fillId="3" borderId="12" applyAlignment="1" applyProtection="1" pivotButton="0" quotePrefix="0" xfId="0">
      <alignment horizontal="center" vertical="center" wrapText="1"/>
      <protection locked="0" hidden="0"/>
    </xf>
    <xf numFmtId="0" fontId="2" fillId="0" borderId="2" applyProtection="1" pivotButton="0" quotePrefix="0" xfId="0">
      <protection locked="0" hidden="0"/>
    </xf>
    <xf numFmtId="0" fontId="2" fillId="0" borderId="2" applyAlignment="1" applyProtection="1" pivotButton="0" quotePrefix="0" xfId="0">
      <alignment vertical="center"/>
      <protection locked="0" hidden="0"/>
    </xf>
    <xf numFmtId="0" fontId="0" fillId="0" borderId="6" applyProtection="1" pivotButton="0" quotePrefix="0" xfId="0">
      <protection locked="0" hidden="0"/>
    </xf>
    <xf numFmtId="0" fontId="0" fillId="0" borderId="2" applyProtection="1" pivotButton="0" quotePrefix="0" xfId="0">
      <protection locked="0" hidden="0"/>
    </xf>
    <xf numFmtId="0" fontId="1" fillId="3" borderId="11" applyAlignment="1" pivotButton="0" quotePrefix="0" xfId="0">
      <alignment horizontal="center" vertical="center" wrapText="1"/>
    </xf>
    <xf numFmtId="0" fontId="1" fillId="0" borderId="0" applyProtection="1" pivotButton="0" quotePrefix="0" xfId="0">
      <protection locked="0" hidden="0"/>
    </xf>
    <xf numFmtId="0" fontId="1" fillId="0" borderId="0" pivotButton="0" quotePrefix="0" xfId="0"/>
    <xf numFmtId="0" fontId="8" fillId="4" borderId="7" applyAlignment="1" applyProtection="1" pivotButton="0" quotePrefix="0" xfId="0">
      <alignment horizontal="left"/>
      <protection locked="0" hidden="0"/>
    </xf>
    <xf numFmtId="0" fontId="2" fillId="0" borderId="0" applyAlignment="1" applyProtection="1" pivotButton="0" quotePrefix="0" xfId="0">
      <alignment wrapText="1"/>
      <protection locked="0" hidden="0"/>
    </xf>
    <xf numFmtId="0" fontId="1" fillId="0" borderId="0" applyAlignment="1" pivotButton="0" quotePrefix="0" xfId="0">
      <alignment wrapText="1"/>
    </xf>
    <xf numFmtId="0" fontId="54" fillId="0" borderId="0" applyProtection="1" pivotButton="0" quotePrefix="0" xfId="0">
      <protection locked="0" hidden="0"/>
    </xf>
    <xf numFmtId="0" fontId="8" fillId="0" borderId="7" applyProtection="1" pivotButton="0" quotePrefix="0" xfId="0">
      <protection locked="0" hidden="0"/>
    </xf>
    <xf numFmtId="0" fontId="8" fillId="0" borderId="7" applyAlignment="1" applyProtection="1" pivotButton="0" quotePrefix="0" xfId="0">
      <alignment horizontal="center"/>
      <protection locked="0" hidden="0"/>
    </xf>
    <xf numFmtId="0" fontId="8" fillId="0" borderId="8" applyProtection="1" pivotButton="0" quotePrefix="0" xfId="0">
      <protection locked="0" hidden="0"/>
    </xf>
    <xf numFmtId="0" fontId="46" fillId="0" borderId="9" applyProtection="1" pivotButton="0" quotePrefix="0" xfId="0">
      <protection locked="0" hidden="0"/>
    </xf>
    <xf numFmtId="0" fontId="46" fillId="0" borderId="7" applyProtection="1" pivotButton="0" quotePrefix="0" xfId="0">
      <protection locked="0" hidden="0"/>
    </xf>
    <xf numFmtId="0" fontId="1" fillId="0" borderId="13" applyAlignment="1" applyProtection="1" pivotButton="0" quotePrefix="0" xfId="0">
      <alignment vertical="center" textRotation="90"/>
      <protection locked="0" hidden="0"/>
    </xf>
    <xf numFmtId="0" fontId="1" fillId="3" borderId="13" applyAlignment="1" pivotButton="0" quotePrefix="0" xfId="0">
      <alignment horizontal="center" vertical="center" textRotation="90"/>
    </xf>
    <xf numFmtId="0" fontId="1" fillId="0" borderId="25" applyAlignment="1" applyProtection="1" pivotButton="0" quotePrefix="0" xfId="0">
      <alignment vertical="center" textRotation="90"/>
      <protection locked="0" hidden="0"/>
    </xf>
    <xf numFmtId="0" fontId="1" fillId="0" borderId="28" applyAlignment="1" applyProtection="1" pivotButton="0" quotePrefix="0" xfId="0">
      <alignment vertical="center" textRotation="90"/>
      <protection locked="0" hidden="0"/>
    </xf>
    <xf numFmtId="0" fontId="55" fillId="0" borderId="15" applyAlignment="1" pivotButton="0" quotePrefix="0" xfId="0">
      <alignment horizontal="right" vertical="top"/>
    </xf>
    <xf numFmtId="0" fontId="2" fillId="4" borderId="53" applyAlignment="1" pivotButton="0" quotePrefix="0" xfId="0">
      <alignment horizontal="center" vertical="center"/>
    </xf>
    <xf numFmtId="0" fontId="1" fillId="3" borderId="9" applyAlignment="1" pivotButton="0" quotePrefix="0" xfId="0">
      <alignment horizontal="center" vertical="center" wrapText="1"/>
    </xf>
    <xf numFmtId="0" fontId="10" fillId="4" borderId="49" applyAlignment="1" pivotButton="0" quotePrefix="0" xfId="0">
      <alignment horizontal="center" vertical="center"/>
    </xf>
    <xf numFmtId="14" fontId="2" fillId="4" borderId="24" applyAlignment="1" pivotButton="0" quotePrefix="0" xfId="0">
      <alignment horizontal="center" vertical="center"/>
    </xf>
    <xf numFmtId="0" fontId="32" fillId="5" borderId="34" applyAlignment="1" applyProtection="1" pivotButton="0" quotePrefix="0" xfId="0">
      <alignment horizontal="left"/>
      <protection locked="0" hidden="0"/>
    </xf>
    <xf numFmtId="0" fontId="32" fillId="5" borderId="0" applyAlignment="1" applyProtection="1" pivotButton="0" quotePrefix="0" xfId="0">
      <alignment horizontal="left"/>
      <protection locked="0" hidden="0"/>
    </xf>
    <xf numFmtId="0" fontId="1" fillId="3" borderId="8" applyAlignment="1" pivotButton="0" quotePrefix="0" xfId="0">
      <alignment horizontal="center" vertical="center" textRotation="90" wrapText="1"/>
    </xf>
    <xf numFmtId="14" fontId="2" fillId="4" borderId="30" applyAlignment="1" pivotButton="0" quotePrefix="0" xfId="0">
      <alignment horizontal="center" vertical="center"/>
    </xf>
    <xf numFmtId="0" fontId="9" fillId="0" borderId="0" applyAlignment="1" pivotButton="0" quotePrefix="0" xfId="0">
      <alignment horizontal="center" vertical="center"/>
    </xf>
    <xf numFmtId="0" fontId="26" fillId="4" borderId="2" applyAlignment="1" applyProtection="1" pivotButton="0" quotePrefix="0" xfId="0">
      <alignment horizontal="center" vertical="center"/>
      <protection locked="0" hidden="0"/>
    </xf>
    <xf numFmtId="0" fontId="0" fillId="0" borderId="60" pivotButton="0" quotePrefix="0" xfId="0"/>
    <xf numFmtId="14" fontId="0" fillId="0" borderId="60" pivotButton="0" quotePrefix="0" xfId="0"/>
    <xf numFmtId="0" fontId="55" fillId="0" borderId="60" applyAlignment="1" pivotButton="0" quotePrefix="0" xfId="0">
      <alignment vertical="top" wrapText="1"/>
    </xf>
    <xf numFmtId="0" fontId="0" fillId="0" borderId="34" pivotButton="0" quotePrefix="0" xfId="0"/>
    <xf numFmtId="0" fontId="0" fillId="0" borderId="4" pivotButton="0" quotePrefix="0" xfId="0"/>
    <xf numFmtId="0" fontId="9" fillId="0" borderId="0" pivotButton="0" quotePrefix="0" xfId="0"/>
    <xf numFmtId="0" fontId="0" fillId="0" borderId="5" pivotButton="0" quotePrefix="0" xfId="0"/>
    <xf numFmtId="0" fontId="0" fillId="0" borderId="10" pivotButton="0" quotePrefix="0" xfId="0"/>
    <xf numFmtId="0" fontId="0" fillId="0" borderId="11" pivotButton="0" quotePrefix="0" xfId="0"/>
    <xf numFmtId="0" fontId="53" fillId="0" borderId="0" pivotButton="0" quotePrefix="0" xfId="0"/>
    <xf numFmtId="0" fontId="54" fillId="0" borderId="0" pivotButton="0" quotePrefix="0" xfId="0"/>
    <xf numFmtId="0" fontId="26" fillId="4" borderId="9" applyAlignment="1" applyProtection="1" pivotButton="0" quotePrefix="0" xfId="0">
      <alignment vertical="center"/>
      <protection locked="0" hidden="0"/>
    </xf>
    <xf numFmtId="0" fontId="9" fillId="4" borderId="63" applyAlignment="1" applyProtection="1" pivotButton="0" quotePrefix="0" xfId="0">
      <alignment vertical="center"/>
      <protection locked="0" hidden="0"/>
    </xf>
    <xf numFmtId="0" fontId="8" fillId="4" borderId="63" applyAlignment="1" applyProtection="1" pivotButton="0" quotePrefix="0" xfId="0">
      <alignment vertical="center"/>
      <protection locked="0" hidden="0"/>
    </xf>
    <xf numFmtId="0" fontId="26" fillId="4" borderId="63" applyAlignment="1" applyProtection="1" pivotButton="0" quotePrefix="0" xfId="0">
      <alignment vertical="center"/>
      <protection locked="0" hidden="0"/>
    </xf>
    <xf numFmtId="0" fontId="8" fillId="4" borderId="63" applyProtection="1" pivotButton="0" quotePrefix="0" xfId="0">
      <protection locked="0" hidden="0"/>
    </xf>
    <xf numFmtId="0" fontId="8" fillId="4" borderId="63" applyAlignment="1" applyProtection="1" pivotButton="0" quotePrefix="0" xfId="0">
      <alignment horizontal="center"/>
      <protection locked="0" hidden="0"/>
    </xf>
    <xf numFmtId="0" fontId="2" fillId="3" borderId="64" applyAlignment="1" applyProtection="1" pivotButton="0" quotePrefix="0" xfId="0">
      <alignment vertical="top" wrapText="1"/>
      <protection locked="0" hidden="0"/>
    </xf>
    <xf numFmtId="0" fontId="38" fillId="0" borderId="0" applyAlignment="1" pivotButton="0" quotePrefix="0" xfId="0">
      <alignment vertical="center" wrapText="1"/>
    </xf>
    <xf numFmtId="0" fontId="22" fillId="0" borderId="64" applyAlignment="1" applyProtection="1" pivotButton="0" quotePrefix="0" xfId="0">
      <alignment horizontal="center" vertical="center" wrapText="1"/>
      <protection locked="0" hidden="0"/>
    </xf>
    <xf numFmtId="0" fontId="0" fillId="0" borderId="65" pivotButton="0" quotePrefix="0" xfId="0"/>
    <xf numFmtId="0" fontId="55" fillId="0" borderId="65" applyAlignment="1" pivotButton="0" quotePrefix="0" xfId="0">
      <alignment vertical="top" wrapText="1"/>
    </xf>
    <xf numFmtId="14" fontId="0" fillId="0" borderId="65" pivotButton="0" quotePrefix="0" xfId="0"/>
    <xf numFmtId="0" fontId="0" fillId="0" borderId="67" pivotButton="0" quotePrefix="0" xfId="0"/>
    <xf numFmtId="14" fontId="0" fillId="0" borderId="67" pivotButton="0" quotePrefix="0" xfId="0"/>
    <xf numFmtId="0" fontId="55" fillId="0" borderId="67" applyAlignment="1" pivotButton="0" quotePrefix="0" xfId="0">
      <alignment vertical="top" wrapText="1"/>
    </xf>
    <xf numFmtId="0" fontId="39" fillId="0" borderId="34" applyAlignment="1" pivotButton="0" quotePrefix="0" xfId="0">
      <alignment horizontal="left" vertical="top" wrapText="1"/>
    </xf>
    <xf numFmtId="0" fontId="39" fillId="0" borderId="0" applyAlignment="1" pivotButton="0" quotePrefix="0" xfId="0">
      <alignment horizontal="left" vertical="top" wrapText="1"/>
    </xf>
    <xf numFmtId="0" fontId="39" fillId="0" borderId="4" applyAlignment="1" pivotButton="0" quotePrefix="0" xfId="0">
      <alignment horizontal="left" vertical="top" wrapText="1"/>
    </xf>
    <xf numFmtId="0" fontId="9" fillId="4" borderId="7" applyAlignment="1" pivotButton="0" quotePrefix="0" xfId="0">
      <alignment horizontal="center"/>
    </xf>
    <xf numFmtId="0" fontId="57" fillId="0" borderId="0" pivotButton="0" quotePrefix="0" xfId="0"/>
    <xf numFmtId="0" fontId="0" fillId="0" borderId="68" pivotButton="0" quotePrefix="0" xfId="0"/>
    <xf numFmtId="14" fontId="0" fillId="0" borderId="68" pivotButton="0" quotePrefix="0" xfId="0"/>
    <xf numFmtId="0" fontId="55" fillId="0" borderId="68" applyAlignment="1" pivotButton="0" quotePrefix="0" xfId="0">
      <alignment vertical="top" wrapText="1"/>
    </xf>
    <xf numFmtId="0" fontId="55" fillId="0" borderId="68" applyAlignment="1" pivotButton="0" quotePrefix="0" xfId="0">
      <alignment horizontal="right" vertical="top"/>
    </xf>
    <xf numFmtId="0" fontId="26" fillId="0" borderId="0" applyAlignment="1" applyProtection="1" pivotButton="0" quotePrefix="0" xfId="0">
      <alignment horizontal="center" vertical="center"/>
      <protection locked="0" hidden="0"/>
    </xf>
    <xf numFmtId="0" fontId="26" fillId="0" borderId="0" applyAlignment="1" pivotButton="0" quotePrefix="0" xfId="0">
      <alignment wrapText="1"/>
    </xf>
    <xf numFmtId="0" fontId="21" fillId="0" borderId="17" applyAlignment="1" pivotButton="0" quotePrefix="0" xfId="0">
      <alignment horizontal="left" vertical="center" wrapText="1"/>
    </xf>
    <xf numFmtId="0" fontId="0" fillId="0" borderId="69" pivotButton="0" quotePrefix="0" xfId="0"/>
    <xf numFmtId="14" fontId="0" fillId="0" borderId="69" pivotButton="0" quotePrefix="0" xfId="0"/>
    <xf numFmtId="0" fontId="55" fillId="0" borderId="69" applyAlignment="1" pivotButton="0" quotePrefix="0" xfId="0">
      <alignment vertical="top" wrapText="1"/>
    </xf>
    <xf numFmtId="0" fontId="55" fillId="0" borderId="69" applyAlignment="1" pivotButton="0" quotePrefix="0" xfId="0">
      <alignment horizontal="right" vertical="top"/>
    </xf>
    <xf numFmtId="14" fontId="32" fillId="5" borderId="4" applyAlignment="1" applyProtection="1" pivotButton="0" quotePrefix="0" xfId="0">
      <alignment horizontal="left" wrapText="1"/>
      <protection locked="0" hidden="0"/>
    </xf>
    <xf numFmtId="0" fontId="8" fillId="4" borderId="7" applyAlignment="1" pivotButton="0" quotePrefix="0" xfId="0">
      <alignment horizontal="left" vertical="center"/>
    </xf>
    <xf numFmtId="0" fontId="26" fillId="4" borderId="2" applyAlignment="1" applyProtection="1" pivotButton="0" quotePrefix="0" xfId="0">
      <alignment horizontal="left" vertical="center"/>
      <protection locked="0" hidden="0"/>
    </xf>
    <xf numFmtId="0" fontId="9" fillId="4" borderId="7" applyAlignment="1" applyProtection="1" pivotButton="0" quotePrefix="0" xfId="0">
      <alignment horizontal="left" vertical="center"/>
      <protection locked="0" hidden="0"/>
    </xf>
    <xf numFmtId="14" fontId="0" fillId="0" borderId="17" pivotButton="0" quotePrefix="0" xfId="0"/>
    <xf numFmtId="0" fontId="16" fillId="4" borderId="7" applyAlignment="1" applyProtection="1" pivotButton="0" quotePrefix="0" xfId="0">
      <alignment horizontal="left" vertical="center"/>
      <protection locked="0" hidden="0"/>
    </xf>
    <xf numFmtId="0" fontId="16" fillId="4" borderId="7" applyAlignment="1" applyProtection="1" pivotButton="0" quotePrefix="0" xfId="0">
      <alignment horizontal="center" vertical="center"/>
      <protection locked="0" hidden="0"/>
    </xf>
    <xf numFmtId="0" fontId="16" fillId="4" borderId="7" applyAlignment="1" applyProtection="1" pivotButton="0" quotePrefix="0" xfId="0">
      <alignment horizontal="left"/>
      <protection locked="0" hidden="0"/>
    </xf>
    <xf numFmtId="0" fontId="16" fillId="4" borderId="7" applyAlignment="1" applyProtection="1" pivotButton="0" quotePrefix="0" xfId="0">
      <alignment vertical="center"/>
      <protection locked="0" hidden="0"/>
    </xf>
    <xf numFmtId="0" fontId="16" fillId="4" borderId="7" applyAlignment="1" applyProtection="1" pivotButton="0" quotePrefix="0" xfId="0">
      <alignment horizontal="center"/>
      <protection locked="0" hidden="0"/>
    </xf>
    <xf numFmtId="14" fontId="7" fillId="0" borderId="16" applyAlignment="1" applyProtection="1" pivotButton="0" quotePrefix="0" xfId="0">
      <alignment horizontal="center" vertical="center" wrapText="1"/>
      <protection locked="0" hidden="0"/>
    </xf>
    <xf numFmtId="0" fontId="0" fillId="0" borderId="70" pivotButton="0" quotePrefix="0" xfId="0"/>
    <xf numFmtId="14" fontId="0" fillId="0" borderId="70" pivotButton="0" quotePrefix="0" xfId="0"/>
    <xf numFmtId="0" fontId="55" fillId="0" borderId="70" applyAlignment="1" pivotButton="0" quotePrefix="0" xfId="0">
      <alignment vertical="top" wrapText="1"/>
    </xf>
    <xf numFmtId="0" fontId="59" fillId="0" borderId="0" pivotButton="0" quotePrefix="0" xfId="1"/>
    <xf numFmtId="0" fontId="9" fillId="0" borderId="63" applyAlignment="1" applyProtection="1" pivotButton="0" quotePrefix="0" xfId="0">
      <alignment vertical="center"/>
      <protection locked="0" hidden="0"/>
    </xf>
    <xf numFmtId="0" fontId="1" fillId="0" borderId="71" applyAlignment="1" applyProtection="1" pivotButton="0" quotePrefix="0" xfId="0">
      <alignment horizontal="center" vertical="center" textRotation="90" wrapText="1"/>
      <protection locked="0" hidden="0"/>
    </xf>
    <xf numFmtId="0" fontId="1" fillId="0" borderId="71" applyAlignment="1" pivotButton="0" quotePrefix="0" xfId="0">
      <alignment vertical="center" wrapText="1"/>
    </xf>
    <xf numFmtId="0" fontId="7" fillId="0" borderId="72" applyAlignment="1" applyProtection="1" pivotButton="0" quotePrefix="0" xfId="0">
      <alignment horizontal="center" vertical="center" wrapText="1"/>
      <protection locked="0" hidden="0"/>
    </xf>
    <xf numFmtId="0" fontId="55" fillId="0" borderId="73" applyAlignment="1" pivotButton="0" quotePrefix="0" xfId="0">
      <alignment vertical="top" wrapText="1"/>
    </xf>
    <xf numFmtId="0" fontId="0" fillId="0" borderId="21" pivotButton="0" quotePrefix="0" xfId="0"/>
    <xf numFmtId="14" fontId="0" fillId="0" borderId="35" pivotButton="0" quotePrefix="0" xfId="0"/>
    <xf numFmtId="0" fontId="55" fillId="0" borderId="21" applyAlignment="1" pivotButton="0" quotePrefix="0" xfId="0">
      <alignment vertical="top" wrapText="1"/>
    </xf>
    <xf numFmtId="0" fontId="55" fillId="0" borderId="66" applyAlignment="1" pivotButton="0" quotePrefix="0" xfId="0">
      <alignment vertical="top" wrapText="1"/>
    </xf>
    <xf numFmtId="0" fontId="0" fillId="0" borderId="73" pivotButton="0" quotePrefix="0" xfId="0"/>
    <xf numFmtId="0" fontId="0" fillId="0" borderId="66" pivotButton="0" quotePrefix="0" xfId="0"/>
    <xf numFmtId="0" fontId="55" fillId="0" borderId="70" applyAlignment="1" pivotButton="0" quotePrefix="0" xfId="0">
      <alignment horizontal="right" vertical="top"/>
    </xf>
    <xf numFmtId="0" fontId="2" fillId="3" borderId="45" applyAlignment="1" applyProtection="1" pivotButton="0" quotePrefix="0" xfId="0">
      <alignment horizontal="center" vertical="center" wrapText="1"/>
      <protection locked="0" hidden="0"/>
    </xf>
    <xf numFmtId="0" fontId="0" fillId="0" borderId="78" pivotButton="0" quotePrefix="0" xfId="0"/>
    <xf numFmtId="14" fontId="0" fillId="0" borderId="78" pivotButton="0" quotePrefix="0" xfId="0"/>
    <xf numFmtId="0" fontId="55" fillId="0" borderId="78" applyAlignment="1" pivotButton="0" quotePrefix="0" xfId="0">
      <alignment vertical="top" wrapText="1"/>
    </xf>
    <xf numFmtId="0" fontId="2" fillId="3" borderId="46" applyAlignment="1" applyProtection="1" pivotButton="0" quotePrefix="0" xfId="0">
      <alignment horizontal="center" vertical="top" wrapText="1"/>
      <protection locked="0" hidden="0"/>
    </xf>
    <xf numFmtId="0" fontId="55" fillId="0" borderId="78" applyAlignment="1" pivotButton="0" quotePrefix="0" xfId="0">
      <alignment horizontal="right" vertical="top"/>
    </xf>
    <xf numFmtId="0" fontId="9" fillId="8" borderId="0" pivotButton="0" quotePrefix="0" xfId="0"/>
    <xf numFmtId="0" fontId="8" fillId="4" borderId="63" applyAlignment="1" pivotButton="0" quotePrefix="0" xfId="0">
      <alignment vertical="center"/>
    </xf>
    <xf numFmtId="0" fontId="22" fillId="0" borderId="82" applyAlignment="1" applyProtection="1" pivotButton="0" quotePrefix="0" xfId="0">
      <alignment horizontal="center" vertical="center" wrapText="1"/>
      <protection locked="0" hidden="0"/>
    </xf>
    <xf numFmtId="0" fontId="22" fillId="0" borderId="54" applyAlignment="1" applyProtection="1" pivotButton="0" quotePrefix="0" xfId="0">
      <alignment horizontal="center" vertical="center" wrapText="1"/>
      <protection locked="0" hidden="0"/>
    </xf>
    <xf numFmtId="14" fontId="6" fillId="0" borderId="15" applyAlignment="1" applyProtection="1" pivotButton="0" quotePrefix="0" xfId="0">
      <alignment horizontal="center" vertical="center" wrapText="1"/>
      <protection locked="0" hidden="0"/>
    </xf>
    <xf numFmtId="14" fontId="2" fillId="0" borderId="15" applyAlignment="1" applyProtection="1" pivotButton="0" quotePrefix="0" xfId="0">
      <alignment horizontal="center" vertical="center" wrapText="1"/>
      <protection locked="0" hidden="0"/>
    </xf>
    <xf numFmtId="0" fontId="6" fillId="0" borderId="15" applyAlignment="1" applyProtection="1" pivotButton="0" quotePrefix="0" xfId="0">
      <alignment vertical="center" wrapText="1"/>
      <protection locked="0" hidden="0"/>
    </xf>
    <xf numFmtId="0" fontId="22" fillId="0" borderId="85" applyAlignment="1" applyProtection="1" pivotButton="0" quotePrefix="0" xfId="0">
      <alignment horizontal="center" vertical="center" wrapText="1"/>
      <protection locked="0" hidden="0"/>
    </xf>
    <xf numFmtId="0" fontId="22" fillId="0" borderId="88" applyAlignment="1" applyProtection="1" pivotButton="0" quotePrefix="0" xfId="0">
      <alignment horizontal="center" vertical="center" wrapText="1"/>
      <protection locked="0" hidden="0"/>
    </xf>
    <xf numFmtId="0" fontId="22" fillId="0" borderId="92" applyAlignment="1" applyProtection="1" pivotButton="0" quotePrefix="0" xfId="0">
      <alignment horizontal="center" vertical="center" wrapText="1"/>
      <protection locked="0" hidden="0"/>
    </xf>
    <xf numFmtId="0" fontId="5" fillId="0" borderId="17" applyAlignment="1" applyProtection="1" pivotButton="0" quotePrefix="0" xfId="0">
      <alignment vertical="center" wrapText="1"/>
      <protection locked="0" hidden="0"/>
    </xf>
    <xf numFmtId="0" fontId="2" fillId="0" borderId="26" applyAlignment="1" applyProtection="1" pivotButton="0" quotePrefix="0" xfId="0">
      <alignment horizontal="center" vertical="center" wrapText="1"/>
      <protection locked="0" hidden="0"/>
    </xf>
    <xf numFmtId="0" fontId="7" fillId="0" borderId="26" applyAlignment="1" applyProtection="1" pivotButton="0" quotePrefix="0" xfId="0">
      <alignment horizontal="center" vertical="center" wrapText="1"/>
      <protection locked="0" hidden="0"/>
    </xf>
    <xf numFmtId="0" fontId="23" fillId="0" borderId="77" applyAlignment="1" applyProtection="1" pivotButton="0" quotePrefix="0" xfId="0">
      <alignment horizontal="center" vertical="center" wrapText="1"/>
      <protection locked="0" hidden="0"/>
    </xf>
    <xf numFmtId="0" fontId="23" fillId="0" borderId="18" applyAlignment="1" applyProtection="1" pivotButton="0" quotePrefix="0" xfId="0">
      <alignment horizontal="center" vertical="center" wrapText="1"/>
      <protection locked="0" hidden="0"/>
    </xf>
    <xf numFmtId="0" fontId="60" fillId="0" borderId="17" applyAlignment="1" applyProtection="1" pivotButton="0" quotePrefix="0" xfId="0">
      <alignment horizontal="left" vertical="center" wrapText="1"/>
      <protection locked="0" hidden="0"/>
    </xf>
    <xf numFmtId="0" fontId="2" fillId="0" borderId="66" applyAlignment="1" applyProtection="1" pivotButton="0" quotePrefix="0" xfId="0">
      <alignment horizontal="center" vertical="center" wrapText="1"/>
      <protection locked="0" hidden="0"/>
    </xf>
    <xf numFmtId="0" fontId="7" fillId="0" borderId="66" applyAlignment="1" applyProtection="1" pivotButton="0" quotePrefix="0" xfId="0">
      <alignment horizontal="center" vertical="center" wrapText="1"/>
      <protection locked="0" hidden="0"/>
    </xf>
    <xf numFmtId="0" fontId="60" fillId="0" borderId="17" applyAlignment="1" applyProtection="1" pivotButton="0" quotePrefix="0" xfId="0">
      <alignment horizontal="left" vertical="center"/>
      <protection locked="0" hidden="0"/>
    </xf>
    <xf numFmtId="0" fontId="7" fillId="0" borderId="15" applyAlignment="1" applyProtection="1" pivotButton="0" quotePrefix="0" xfId="0">
      <alignment horizontal="center" vertical="center" wrapText="1"/>
      <protection locked="0" hidden="0"/>
    </xf>
    <xf numFmtId="0" fontId="2" fillId="0" borderId="78" applyAlignment="1" applyProtection="1" pivotButton="0" quotePrefix="0" xfId="0">
      <alignment horizontal="center" vertical="center" wrapText="1"/>
      <protection locked="0" hidden="0"/>
    </xf>
    <xf numFmtId="0" fontId="7" fillId="0" borderId="78" applyAlignment="1" applyProtection="1" pivotButton="0" quotePrefix="0" xfId="0">
      <alignment horizontal="center" vertical="center" wrapText="1"/>
      <protection locked="0" hidden="0"/>
    </xf>
    <xf numFmtId="0" fontId="23" fillId="0" borderId="53" applyAlignment="1" applyProtection="1" pivotButton="0" quotePrefix="0" xfId="0">
      <alignment horizontal="center" vertical="center" wrapText="1"/>
      <protection locked="0" hidden="0"/>
    </xf>
    <xf numFmtId="0" fontId="23" fillId="0" borderId="61" applyAlignment="1" applyProtection="1" pivotButton="0" quotePrefix="0" xfId="0">
      <alignment horizontal="center" vertical="center" wrapText="1"/>
      <protection locked="0" hidden="0"/>
    </xf>
    <xf numFmtId="0" fontId="0" fillId="0" borderId="16" applyProtection="1" pivotButton="0" quotePrefix="0" xfId="0">
      <protection locked="0" hidden="0"/>
    </xf>
    <xf numFmtId="0" fontId="0" fillId="0" borderId="80" applyProtection="1" pivotButton="0" quotePrefix="0" xfId="0">
      <protection locked="0" hidden="0"/>
    </xf>
    <xf numFmtId="0" fontId="0" fillId="0" borderId="18" applyProtection="1" pivotButton="0" quotePrefix="0" xfId="0">
      <protection locked="0" hidden="0"/>
    </xf>
    <xf numFmtId="0" fontId="7" fillId="0" borderId="70" applyAlignment="1" applyProtection="1" pivotButton="0" quotePrefix="0" xfId="0">
      <alignment horizontal="center" vertical="center" wrapText="1"/>
      <protection locked="0" hidden="0"/>
    </xf>
    <xf numFmtId="0" fontId="60" fillId="0" borderId="24" applyAlignment="1" applyProtection="1" pivotButton="0" quotePrefix="0" xfId="0">
      <alignment horizontal="left" vertical="center" wrapText="1"/>
      <protection locked="0" hidden="0"/>
    </xf>
    <xf numFmtId="0" fontId="2" fillId="0" borderId="83" applyAlignment="1" applyProtection="1" pivotButton="0" quotePrefix="0" xfId="0">
      <alignment horizontal="center" vertical="center" wrapText="1"/>
      <protection locked="0" hidden="0"/>
    </xf>
    <xf numFmtId="0" fontId="7" fillId="0" borderId="83" applyAlignment="1" applyProtection="1" pivotButton="0" quotePrefix="0" xfId="0">
      <alignment horizontal="center" vertical="center" wrapText="1"/>
      <protection locked="0" hidden="0"/>
    </xf>
    <xf numFmtId="0" fontId="7" fillId="0" borderId="23" applyAlignment="1" applyProtection="1" pivotButton="0" quotePrefix="0" xfId="0">
      <alignment horizontal="center" vertical="center" wrapText="1"/>
      <protection locked="0" hidden="0"/>
    </xf>
    <xf numFmtId="14" fontId="5" fillId="0" borderId="15" applyAlignment="1" applyProtection="1" pivotButton="0" quotePrefix="0" xfId="0">
      <alignment horizontal="center" vertical="center" wrapText="1"/>
      <protection locked="0" hidden="0"/>
    </xf>
    <xf numFmtId="0" fontId="7" fillId="0" borderId="89" applyAlignment="1" applyProtection="1" pivotButton="0" quotePrefix="0" xfId="0">
      <alignment horizontal="left" vertical="center"/>
      <protection locked="0" hidden="0"/>
    </xf>
    <xf numFmtId="0" fontId="7" fillId="0" borderId="89" applyAlignment="1" applyProtection="1" pivotButton="0" quotePrefix="0" xfId="0">
      <alignment horizontal="center" vertical="center" wrapText="1"/>
      <protection locked="0" hidden="0"/>
    </xf>
    <xf numFmtId="0" fontId="7" fillId="0" borderId="87" applyAlignment="1" applyProtection="1" pivotButton="0" quotePrefix="0" xfId="0">
      <alignment horizontal="left" vertical="center"/>
      <protection locked="0" hidden="0"/>
    </xf>
    <xf numFmtId="0" fontId="7" fillId="0" borderId="87" applyAlignment="1" applyProtection="1" pivotButton="0" quotePrefix="0" xfId="0">
      <alignment horizontal="center" vertical="center" wrapText="1"/>
      <protection locked="0" hidden="0"/>
    </xf>
    <xf numFmtId="0" fontId="7" fillId="0" borderId="89" applyAlignment="1" applyProtection="1" pivotButton="0" quotePrefix="0" xfId="0">
      <alignment horizontal="left" vertical="center" wrapText="1"/>
      <protection locked="0" hidden="0"/>
    </xf>
    <xf numFmtId="0" fontId="7" fillId="0" borderId="87" applyAlignment="1" applyProtection="1" pivotButton="0" quotePrefix="0" xfId="0">
      <alignment horizontal="left" vertical="center" wrapText="1"/>
      <protection locked="0" hidden="0"/>
    </xf>
    <xf numFmtId="0" fontId="61" fillId="0" borderId="15" applyAlignment="1" applyProtection="1" pivotButton="0" quotePrefix="0" xfId="0">
      <alignment vertical="center" wrapText="1"/>
      <protection locked="0" hidden="0"/>
    </xf>
    <xf numFmtId="14" fontId="2" fillId="0" borderId="16" applyAlignment="1" applyProtection="1" pivotButton="0" quotePrefix="0" xfId="0">
      <alignment horizontal="center" vertical="center" wrapText="1"/>
      <protection locked="0" hidden="0"/>
    </xf>
    <xf numFmtId="0" fontId="6" fillId="0" borderId="21" applyAlignment="1" applyProtection="1" pivotButton="0" quotePrefix="0" xfId="0">
      <alignment vertical="center" wrapText="1"/>
      <protection locked="0" hidden="0"/>
    </xf>
    <xf numFmtId="14" fontId="2" fillId="0" borderId="21" applyAlignment="1" applyProtection="1" pivotButton="0" quotePrefix="0" xfId="0">
      <alignment horizontal="center" vertical="center" wrapText="1"/>
      <protection locked="0" hidden="0"/>
    </xf>
    <xf numFmtId="14" fontId="7" fillId="0" borderId="19" applyAlignment="1" applyProtection="1" pivotButton="0" quotePrefix="0" xfId="0">
      <alignment horizontal="center" vertical="center" wrapText="1"/>
      <protection locked="0" hidden="0"/>
    </xf>
    <xf numFmtId="14" fontId="6" fillId="0" borderId="21" applyAlignment="1" applyProtection="1" pivotButton="0" quotePrefix="0" xfId="0">
      <alignment horizontal="center" vertical="center" wrapText="1"/>
      <protection locked="0" hidden="0"/>
    </xf>
    <xf numFmtId="0" fontId="2" fillId="3" borderId="31" applyAlignment="1" applyProtection="1" pivotButton="0" quotePrefix="0" xfId="0">
      <alignment horizontal="center" vertical="center" wrapText="1"/>
      <protection locked="0" hidden="0"/>
    </xf>
    <xf numFmtId="0" fontId="2" fillId="3" borderId="55" applyAlignment="1" applyProtection="1" pivotButton="0" quotePrefix="0" xfId="0">
      <alignment horizontal="center" vertical="center" wrapText="1"/>
      <protection locked="0" hidden="0"/>
    </xf>
    <xf numFmtId="0" fontId="60" fillId="0" borderId="75" applyAlignment="1" applyProtection="1" pivotButton="0" quotePrefix="0" xfId="0">
      <alignment horizontal="center" vertical="center"/>
      <protection locked="0" hidden="0"/>
    </xf>
    <xf numFmtId="0" fontId="60" fillId="0" borderId="80" applyAlignment="1" applyProtection="1" pivotButton="0" quotePrefix="0" xfId="0">
      <alignment horizontal="center" vertical="center"/>
      <protection locked="0" hidden="0"/>
    </xf>
    <xf numFmtId="0" fontId="60" fillId="0" borderId="80" applyAlignment="1" applyProtection="1" pivotButton="0" quotePrefix="0" xfId="0">
      <alignment horizontal="center" vertical="center" wrapText="1"/>
      <protection locked="0" hidden="0"/>
    </xf>
    <xf numFmtId="0" fontId="22" fillId="0" borderId="93" applyAlignment="1" applyProtection="1" pivotButton="0" quotePrefix="0" xfId="0">
      <alignment horizontal="center" vertical="center"/>
      <protection locked="0" hidden="0"/>
    </xf>
    <xf numFmtId="0" fontId="22" fillId="0" borderId="94" applyAlignment="1" applyProtection="1" pivotButton="0" quotePrefix="0" xfId="0">
      <alignment horizontal="center" vertical="center"/>
      <protection locked="0" hidden="0"/>
    </xf>
    <xf numFmtId="0" fontId="22" fillId="0" borderId="95" applyAlignment="1" applyProtection="1" pivotButton="0" quotePrefix="0" xfId="0">
      <alignment horizontal="center" vertical="center"/>
      <protection locked="0" hidden="0"/>
    </xf>
    <xf numFmtId="0" fontId="22" fillId="0" borderId="96" applyAlignment="1" applyProtection="1" pivotButton="0" quotePrefix="0" xfId="0">
      <alignment horizontal="center" vertical="center"/>
      <protection locked="0" hidden="0"/>
    </xf>
    <xf numFmtId="0" fontId="22" fillId="0" borderId="97" applyAlignment="1" applyProtection="1" pivotButton="0" quotePrefix="0" xfId="0">
      <alignment horizontal="center" vertical="center"/>
      <protection locked="0" hidden="0"/>
    </xf>
    <xf numFmtId="0" fontId="22" fillId="0" borderId="98" applyAlignment="1" applyProtection="1" pivotButton="0" quotePrefix="0" xfId="0">
      <alignment horizontal="center" vertical="center"/>
      <protection locked="0" hidden="0"/>
    </xf>
    <xf numFmtId="0" fontId="22" fillId="0" borderId="99" applyAlignment="1" applyProtection="1" pivotButton="0" quotePrefix="0" xfId="0">
      <alignment horizontal="center" vertical="center"/>
      <protection locked="0" hidden="0"/>
    </xf>
    <xf numFmtId="0" fontId="22" fillId="0" borderId="100" applyAlignment="1" applyProtection="1" pivotButton="0" quotePrefix="0" xfId="0">
      <alignment horizontal="center" vertical="center"/>
      <protection locked="0" hidden="0"/>
    </xf>
    <xf numFmtId="0" fontId="22" fillId="0" borderId="101" applyAlignment="1" applyProtection="1" pivotButton="0" quotePrefix="0" xfId="0">
      <alignment horizontal="center" vertical="center"/>
      <protection locked="0" hidden="0"/>
    </xf>
    <xf numFmtId="0" fontId="5" fillId="0" borderId="84" applyAlignment="1" applyProtection="1" pivotButton="0" quotePrefix="0" xfId="0">
      <alignment vertical="center" wrapText="1"/>
      <protection locked="0" hidden="0"/>
    </xf>
    <xf numFmtId="0" fontId="7" fillId="0" borderId="85" applyAlignment="1" applyProtection="1" pivotButton="0" quotePrefix="0" xfId="0">
      <alignment horizontal="center" vertical="center" wrapText="1"/>
      <protection locked="0" hidden="0"/>
    </xf>
    <xf numFmtId="0" fontId="5" fillId="0" borderId="86" applyAlignment="1" applyProtection="1" pivotButton="0" quotePrefix="0" xfId="0">
      <alignment vertical="center" wrapText="1"/>
      <protection locked="0" hidden="0"/>
    </xf>
    <xf numFmtId="0" fontId="7" fillId="0" borderId="88" applyAlignment="1" applyProtection="1" pivotButton="0" quotePrefix="0" xfId="0">
      <alignment horizontal="center" vertical="center" wrapText="1"/>
      <protection locked="0" hidden="0"/>
    </xf>
    <xf numFmtId="0" fontId="25" fillId="0" borderId="86" applyAlignment="1" applyProtection="1" pivotButton="0" quotePrefix="0" xfId="0">
      <alignment vertical="center" wrapText="1"/>
      <protection locked="0" hidden="0"/>
    </xf>
    <xf numFmtId="0" fontId="2" fillId="0" borderId="87" applyAlignment="1" applyProtection="1" pivotButton="0" quotePrefix="0" xfId="0">
      <alignment horizontal="left" vertical="center" wrapText="1"/>
      <protection locked="0" hidden="0"/>
    </xf>
    <xf numFmtId="0" fontId="5" fillId="0" borderId="90" applyAlignment="1" applyProtection="1" pivotButton="0" quotePrefix="0" xfId="0">
      <alignment vertical="center" wrapText="1"/>
      <protection locked="0" hidden="0"/>
    </xf>
    <xf numFmtId="0" fontId="7" fillId="0" borderId="91" applyAlignment="1" applyProtection="1" pivotButton="0" quotePrefix="0" xfId="0">
      <alignment horizontal="center" vertical="center" wrapText="1"/>
      <protection locked="0" hidden="0"/>
    </xf>
    <xf numFmtId="0" fontId="2" fillId="0" borderId="91" applyAlignment="1" applyProtection="1" pivotButton="0" quotePrefix="0" xfId="0">
      <alignment horizontal="left" vertical="center" wrapText="1"/>
      <protection locked="0" hidden="0"/>
    </xf>
    <xf numFmtId="0" fontId="7" fillId="0" borderId="92" applyAlignment="1" applyProtection="1" pivotButton="0" quotePrefix="0" xfId="0">
      <alignment horizontal="center" vertical="center" wrapText="1"/>
      <protection locked="0" hidden="0"/>
    </xf>
    <xf numFmtId="0" fontId="7" fillId="0" borderId="91" applyAlignment="1" applyProtection="1" pivotButton="0" quotePrefix="0" xfId="0">
      <alignment horizontal="left" vertical="center" wrapText="1"/>
      <protection locked="0" hidden="0"/>
    </xf>
    <xf numFmtId="0" fontId="5" fillId="0" borderId="102" applyAlignment="1" applyProtection="1" pivotButton="0" quotePrefix="0" xfId="0">
      <alignment vertical="center" wrapText="1"/>
      <protection locked="0" hidden="0"/>
    </xf>
    <xf numFmtId="0" fontId="7" fillId="0" borderId="103" applyAlignment="1" applyProtection="1" pivotButton="0" quotePrefix="0" xfId="0">
      <alignment horizontal="center" vertical="center" wrapText="1"/>
      <protection locked="0" hidden="0"/>
    </xf>
    <xf numFmtId="0" fontId="7" fillId="0" borderId="103" applyAlignment="1" applyProtection="1" pivotButton="0" quotePrefix="0" xfId="0">
      <alignment horizontal="left" vertical="center"/>
      <protection locked="0" hidden="0"/>
    </xf>
    <xf numFmtId="0" fontId="7" fillId="0" borderId="104" applyAlignment="1" applyProtection="1" pivotButton="0" quotePrefix="0" xfId="0">
      <alignment horizontal="center" vertical="center" wrapText="1"/>
      <protection locked="0" hidden="0"/>
    </xf>
    <xf numFmtId="0" fontId="5" fillId="0" borderId="105" applyAlignment="1" applyProtection="1" pivotButton="0" quotePrefix="0" xfId="0">
      <alignment vertical="center" wrapText="1"/>
      <protection locked="0" hidden="0"/>
    </xf>
    <xf numFmtId="0" fontId="7" fillId="0" borderId="106" applyAlignment="1" applyProtection="1" pivotButton="0" quotePrefix="0" xfId="0">
      <alignment horizontal="center" vertical="center" wrapText="1"/>
      <protection locked="0" hidden="0"/>
    </xf>
    <xf numFmtId="0" fontId="7" fillId="0" borderId="106" applyAlignment="1" applyProtection="1" pivotButton="0" quotePrefix="0" xfId="0">
      <alignment horizontal="left" vertical="center"/>
      <protection locked="0" hidden="0"/>
    </xf>
    <xf numFmtId="0" fontId="7" fillId="0" borderId="107" applyAlignment="1" applyProtection="1" pivotButton="0" quotePrefix="0" xfId="0">
      <alignment horizontal="center" vertical="center" wrapText="1"/>
      <protection locked="0" hidden="0"/>
    </xf>
    <xf numFmtId="0" fontId="7" fillId="0" borderId="106" applyAlignment="1" applyProtection="1" pivotButton="0" quotePrefix="0" xfId="0">
      <alignment horizontal="left" vertical="center" wrapText="1"/>
      <protection locked="0" hidden="0"/>
    </xf>
    <xf numFmtId="0" fontId="5" fillId="0" borderId="108" applyAlignment="1" applyProtection="1" pivotButton="0" quotePrefix="0" xfId="0">
      <alignment vertical="center" wrapText="1"/>
      <protection locked="0" hidden="0"/>
    </xf>
    <xf numFmtId="0" fontId="7" fillId="0" borderId="109" applyAlignment="1" applyProtection="1" pivotButton="0" quotePrefix="0" xfId="0">
      <alignment horizontal="center" vertical="center" wrapText="1"/>
      <protection locked="0" hidden="0"/>
    </xf>
    <xf numFmtId="0" fontId="7" fillId="0" borderId="109" applyAlignment="1" applyProtection="1" pivotButton="0" quotePrefix="0" xfId="0">
      <alignment horizontal="left" vertical="center" wrapText="1"/>
      <protection locked="0" hidden="0"/>
    </xf>
    <xf numFmtId="0" fontId="7" fillId="0" borderId="110" applyAlignment="1" applyProtection="1" pivotButton="0" quotePrefix="0" xfId="0">
      <alignment horizontal="center" vertical="center" wrapText="1"/>
      <protection locked="0" hidden="0"/>
    </xf>
    <xf numFmtId="0" fontId="1" fillId="0" borderId="86" applyAlignment="1" applyProtection="1" pivotButton="0" quotePrefix="0" xfId="0">
      <alignment vertical="center" wrapText="1"/>
      <protection locked="0" hidden="0"/>
    </xf>
    <xf numFmtId="0" fontId="36" fillId="0" borderId="90" applyAlignment="1" applyProtection="1" pivotButton="0" quotePrefix="0" xfId="0">
      <alignment vertical="center" wrapText="1"/>
      <protection locked="0" hidden="0"/>
    </xf>
    <xf numFmtId="0" fontId="25" fillId="0" borderId="84" applyAlignment="1" applyProtection="1" pivotButton="0" quotePrefix="0" xfId="0">
      <alignment vertical="center" wrapText="1"/>
      <protection locked="0" hidden="0"/>
    </xf>
    <xf numFmtId="0" fontId="5" fillId="0" borderId="86" applyAlignment="1" applyProtection="1" pivotButton="0" quotePrefix="0" xfId="0">
      <alignment horizontal="left" vertical="center" wrapText="1"/>
      <protection locked="0" hidden="0"/>
    </xf>
    <xf numFmtId="0" fontId="33" fillId="0" borderId="90" applyAlignment="1" applyProtection="1" pivotButton="0" quotePrefix="0" xfId="0">
      <alignment vertical="center" wrapText="1"/>
      <protection locked="0" hidden="0"/>
    </xf>
    <xf numFmtId="0" fontId="1" fillId="0" borderId="84" applyAlignment="1" applyProtection="1" pivotButton="0" quotePrefix="0" xfId="0">
      <alignment vertical="center" wrapText="1"/>
      <protection locked="0" hidden="0"/>
    </xf>
    <xf numFmtId="0" fontId="16" fillId="0" borderId="89" applyAlignment="1" applyProtection="1" pivotButton="0" quotePrefix="0" xfId="0">
      <alignment horizontal="center" vertical="center"/>
      <protection locked="0" hidden="0"/>
    </xf>
    <xf numFmtId="0" fontId="7" fillId="0" borderId="87" applyAlignment="1" applyProtection="1" pivotButton="0" quotePrefix="0" xfId="0">
      <alignment horizontal="center" vertical="center"/>
      <protection locked="0" hidden="0"/>
    </xf>
    <xf numFmtId="0" fontId="16" fillId="0" borderId="87" applyAlignment="1" applyProtection="1" pivotButton="0" quotePrefix="0" xfId="0">
      <alignment horizontal="center" vertical="center"/>
      <protection locked="0" hidden="0"/>
    </xf>
    <xf numFmtId="0" fontId="1" fillId="0" borderId="90" applyAlignment="1" applyProtection="1" pivotButton="0" quotePrefix="0" xfId="0">
      <alignment vertical="center" wrapText="1"/>
      <protection locked="0" hidden="0"/>
    </xf>
    <xf numFmtId="0" fontId="16" fillId="0" borderId="91" applyAlignment="1" applyProtection="1" pivotButton="0" quotePrefix="0" xfId="0">
      <alignment horizontal="center" vertical="center"/>
      <protection locked="0" hidden="0"/>
    </xf>
    <xf numFmtId="0" fontId="22" fillId="6" borderId="97" applyAlignment="1" applyProtection="1" pivotButton="0" quotePrefix="0" xfId="0">
      <alignment horizontal="center" vertical="center"/>
      <protection locked="0" hidden="0"/>
    </xf>
    <xf numFmtId="0" fontId="22" fillId="6" borderId="98" applyAlignment="1" applyProtection="1" pivotButton="0" quotePrefix="0" xfId="0">
      <alignment horizontal="center" vertical="center"/>
      <protection locked="0" hidden="0"/>
    </xf>
    <xf numFmtId="0" fontId="7" fillId="0" borderId="87" applyAlignment="1" applyProtection="1" pivotButton="0" quotePrefix="0" xfId="0">
      <alignment vertical="center" wrapText="1"/>
      <protection locked="0" hidden="0"/>
    </xf>
    <xf numFmtId="0" fontId="25" fillId="0" borderId="90" applyAlignment="1" applyProtection="1" pivotButton="0" quotePrefix="0" xfId="0">
      <alignment vertical="center" wrapText="1"/>
      <protection locked="0" hidden="0"/>
    </xf>
    <xf numFmtId="0" fontId="2" fillId="0" borderId="88" applyAlignment="1" applyProtection="1" pivotButton="0" quotePrefix="0" xfId="0">
      <alignment vertical="center" wrapText="1"/>
      <protection locked="0" hidden="0"/>
    </xf>
    <xf numFmtId="0" fontId="1" fillId="0" borderId="86" applyProtection="1" pivotButton="0" quotePrefix="0" xfId="0">
      <protection locked="0" hidden="0"/>
    </xf>
    <xf numFmtId="0" fontId="1" fillId="0" borderId="90" applyProtection="1" pivotButton="0" quotePrefix="0" xfId="0">
      <protection locked="0" hidden="0"/>
    </xf>
    <xf numFmtId="0" fontId="7" fillId="0" borderId="89" applyAlignment="1" applyProtection="1" pivotButton="0" quotePrefix="0" xfId="0">
      <alignment horizontal="center" vertical="center"/>
      <protection locked="0" hidden="0"/>
    </xf>
    <xf numFmtId="0" fontId="2" fillId="0" borderId="87" applyAlignment="1" applyProtection="1" pivotButton="0" quotePrefix="0" xfId="0">
      <alignment vertical="center" wrapText="1"/>
      <protection locked="0" hidden="0"/>
    </xf>
    <xf numFmtId="0" fontId="2" fillId="0" borderId="91" applyAlignment="1" applyProtection="1" pivotButton="0" quotePrefix="0" xfId="0">
      <alignment vertical="center" wrapText="1"/>
      <protection locked="0" hidden="0"/>
    </xf>
    <xf numFmtId="0" fontId="22" fillId="0" borderId="93" applyAlignment="1" applyProtection="1" pivotButton="0" quotePrefix="0" xfId="0">
      <alignment horizontal="center" vertical="center" wrapText="1"/>
      <protection locked="0" hidden="0"/>
    </xf>
    <xf numFmtId="0" fontId="22" fillId="0" borderId="94" applyAlignment="1" applyProtection="1" pivotButton="0" quotePrefix="0" xfId="0">
      <alignment horizontal="center" vertical="center" wrapText="1"/>
      <protection locked="0" hidden="0"/>
    </xf>
    <xf numFmtId="0" fontId="22" fillId="0" borderId="95" applyAlignment="1" applyProtection="1" pivotButton="0" quotePrefix="0" xfId="0">
      <alignment horizontal="center" vertical="center" wrapText="1"/>
      <protection locked="0" hidden="0"/>
    </xf>
    <xf numFmtId="0" fontId="22" fillId="0" borderId="96" applyAlignment="1" applyProtection="1" pivotButton="0" quotePrefix="0" xfId="0">
      <alignment horizontal="center" vertical="center" wrapText="1"/>
      <protection locked="0" hidden="0"/>
    </xf>
    <xf numFmtId="0" fontId="22" fillId="0" borderId="97" applyAlignment="1" applyProtection="1" pivotButton="0" quotePrefix="0" xfId="0">
      <alignment horizontal="center" vertical="center" wrapText="1"/>
      <protection locked="0" hidden="0"/>
    </xf>
    <xf numFmtId="0" fontId="22" fillId="0" borderId="98" applyAlignment="1" applyProtection="1" pivotButton="0" quotePrefix="0" xfId="0">
      <alignment horizontal="center" vertical="center" wrapText="1"/>
      <protection locked="0" hidden="0"/>
    </xf>
    <xf numFmtId="0" fontId="22" fillId="0" borderId="99" applyAlignment="1" applyProtection="1" pivotButton="0" quotePrefix="0" xfId="0">
      <alignment horizontal="center" vertical="center" wrapText="1"/>
      <protection locked="0" hidden="0"/>
    </xf>
    <xf numFmtId="0" fontId="22" fillId="0" borderId="100" applyAlignment="1" applyProtection="1" pivotButton="0" quotePrefix="0" xfId="0">
      <alignment horizontal="center" vertical="center" wrapText="1"/>
      <protection locked="0" hidden="0"/>
    </xf>
    <xf numFmtId="0" fontId="22" fillId="0" borderId="101" applyAlignment="1" applyProtection="1" pivotButton="0" quotePrefix="0" xfId="0">
      <alignment horizontal="center" vertical="center" wrapText="1"/>
      <protection locked="0" hidden="0"/>
    </xf>
    <xf numFmtId="0" fontId="7" fillId="0" borderId="89" applyAlignment="1" applyProtection="1" pivotButton="0" quotePrefix="0" xfId="0">
      <alignment vertical="center" wrapText="1"/>
      <protection locked="0" hidden="0"/>
    </xf>
    <xf numFmtId="0" fontId="7" fillId="0" borderId="91" applyAlignment="1" applyProtection="1" pivotButton="0" quotePrefix="0" xfId="0">
      <alignment vertical="center" wrapText="1"/>
      <protection locked="0" hidden="0"/>
    </xf>
    <xf numFmtId="0" fontId="25" fillId="0" borderId="102" applyAlignment="1" applyProtection="1" pivotButton="0" quotePrefix="0" xfId="0">
      <alignment vertical="center" wrapText="1"/>
      <protection locked="0" hidden="0"/>
    </xf>
    <xf numFmtId="0" fontId="7" fillId="0" borderId="103" applyAlignment="1" applyProtection="1" pivotButton="0" quotePrefix="0" xfId="0">
      <alignment vertical="center" wrapText="1"/>
      <protection locked="0" hidden="0"/>
    </xf>
    <xf numFmtId="0" fontId="7" fillId="0" borderId="103" applyAlignment="1" applyProtection="1" pivotButton="0" quotePrefix="0" xfId="0">
      <alignment horizontal="left" vertical="center" wrapText="1"/>
      <protection locked="0" hidden="0"/>
    </xf>
    <xf numFmtId="0" fontId="25" fillId="0" borderId="105" applyAlignment="1" applyProtection="1" pivotButton="0" quotePrefix="0" xfId="0">
      <alignment vertical="center" wrapText="1"/>
      <protection locked="0" hidden="0"/>
    </xf>
    <xf numFmtId="0" fontId="7" fillId="0" borderId="106" applyAlignment="1" applyProtection="1" pivotButton="0" quotePrefix="0" xfId="0">
      <alignment horizontal="center" vertical="center"/>
      <protection locked="0" hidden="0"/>
    </xf>
    <xf numFmtId="0" fontId="7" fillId="0" borderId="106" applyAlignment="1" applyProtection="1" pivotButton="0" quotePrefix="0" xfId="0">
      <alignment vertical="center" wrapText="1"/>
      <protection locked="0" hidden="0"/>
    </xf>
    <xf numFmtId="0" fontId="25" fillId="0" borderId="108" applyAlignment="1" applyProtection="1" pivotButton="0" quotePrefix="0" xfId="0">
      <alignment vertical="center" wrapText="1"/>
      <protection locked="0" hidden="0"/>
    </xf>
    <xf numFmtId="0" fontId="7" fillId="0" borderId="109" applyAlignment="1" applyProtection="1" pivotButton="0" quotePrefix="0" xfId="0">
      <alignment vertical="center" wrapText="1"/>
      <protection locked="0" hidden="0"/>
    </xf>
    <xf numFmtId="0" fontId="22" fillId="0" borderId="111" applyAlignment="1" applyProtection="1" pivotButton="0" quotePrefix="0" xfId="0">
      <alignment horizontal="center" vertical="center" wrapText="1"/>
      <protection locked="0" hidden="0"/>
    </xf>
    <xf numFmtId="0" fontId="22" fillId="0" borderId="112" applyAlignment="1" applyProtection="1" pivotButton="0" quotePrefix="0" xfId="0">
      <alignment horizontal="center" vertical="center" wrapText="1"/>
      <protection locked="0" hidden="0"/>
    </xf>
    <xf numFmtId="0" fontId="22" fillId="0" borderId="113" applyAlignment="1" applyProtection="1" pivotButton="0" quotePrefix="0" xfId="0">
      <alignment horizontal="center" vertical="center" wrapText="1"/>
      <protection locked="0" hidden="0"/>
    </xf>
    <xf numFmtId="0" fontId="22" fillId="0" borderId="114" applyAlignment="1" applyProtection="1" pivotButton="0" quotePrefix="0" xfId="0">
      <alignment horizontal="center" vertical="center" wrapText="1"/>
      <protection locked="0" hidden="0"/>
    </xf>
    <xf numFmtId="0" fontId="22" fillId="0" borderId="115" applyAlignment="1" applyProtection="1" pivotButton="0" quotePrefix="0" xfId="0">
      <alignment horizontal="center" vertical="center" wrapText="1"/>
      <protection locked="0" hidden="0"/>
    </xf>
    <xf numFmtId="0" fontId="7" fillId="0" borderId="88" applyAlignment="1" applyProtection="1" pivotButton="0" quotePrefix="0" xfId="0">
      <alignment vertical="center" wrapText="1"/>
      <protection locked="0" hidden="0"/>
    </xf>
    <xf numFmtId="0" fontId="7" fillId="0" borderId="92" applyAlignment="1" applyProtection="1" pivotButton="0" quotePrefix="0" xfId="0">
      <alignment vertical="center" wrapText="1"/>
      <protection locked="0" hidden="0"/>
    </xf>
    <xf numFmtId="0" fontId="22" fillId="0" borderId="116" applyAlignment="1" applyProtection="1" pivotButton="0" quotePrefix="0" xfId="0">
      <alignment horizontal="center" vertical="center" wrapText="1"/>
      <protection locked="0" hidden="0"/>
    </xf>
    <xf numFmtId="0" fontId="22" fillId="0" borderId="117" applyAlignment="1" applyProtection="1" pivotButton="0" quotePrefix="0" xfId="0">
      <alignment horizontal="center" vertical="center" wrapText="1"/>
      <protection locked="0" hidden="0"/>
    </xf>
    <xf numFmtId="0" fontId="22" fillId="0" borderId="117" applyAlignment="1" applyProtection="1" pivotButton="0" quotePrefix="0" xfId="0">
      <alignment horizontal="center" vertical="center"/>
      <protection locked="0" hidden="0"/>
    </xf>
    <xf numFmtId="0" fontId="22" fillId="0" borderId="118" applyAlignment="1" applyProtection="1" pivotButton="0" quotePrefix="0" xfId="0">
      <alignment horizontal="center" vertical="center"/>
      <protection locked="0" hidden="0"/>
    </xf>
    <xf numFmtId="0" fontId="22" fillId="0" borderId="119" applyAlignment="1" applyProtection="1" pivotButton="0" quotePrefix="0" xfId="0">
      <alignment horizontal="center" vertical="center" wrapText="1"/>
      <protection locked="0" hidden="0"/>
    </xf>
    <xf numFmtId="0" fontId="22" fillId="0" borderId="120" applyAlignment="1" applyProtection="1" pivotButton="0" quotePrefix="0" xfId="0">
      <alignment horizontal="center" vertical="center" wrapText="1"/>
      <protection locked="0" hidden="0"/>
    </xf>
    <xf numFmtId="0" fontId="22" fillId="0" borderId="120" applyAlignment="1" applyProtection="1" pivotButton="0" quotePrefix="0" xfId="0">
      <alignment horizontal="center" vertical="center"/>
      <protection locked="0" hidden="0"/>
    </xf>
    <xf numFmtId="0" fontId="22" fillId="0" borderId="121" applyAlignment="1" applyProtection="1" pivotButton="0" quotePrefix="0" xfId="0">
      <alignment horizontal="center" vertical="center"/>
      <protection locked="0" hidden="0"/>
    </xf>
    <xf numFmtId="0" fontId="22" fillId="0" borderId="121" applyAlignment="1" applyProtection="1" pivotButton="0" quotePrefix="0" xfId="0">
      <alignment horizontal="center" vertical="center" wrapText="1"/>
      <protection locked="0" hidden="0"/>
    </xf>
    <xf numFmtId="0" fontId="22" fillId="0" borderId="122" applyAlignment="1" applyProtection="1" pivotButton="0" quotePrefix="0" xfId="0">
      <alignment horizontal="center" vertical="center" wrapText="1"/>
      <protection locked="0" hidden="0"/>
    </xf>
    <xf numFmtId="0" fontId="22" fillId="0" borderId="123" applyAlignment="1" applyProtection="1" pivotButton="0" quotePrefix="0" xfId="0">
      <alignment horizontal="center" vertical="center" wrapText="1"/>
      <protection locked="0" hidden="0"/>
    </xf>
    <xf numFmtId="0" fontId="22" fillId="0" borderId="124" applyAlignment="1" applyProtection="1" pivotButton="0" quotePrefix="0" xfId="0">
      <alignment horizontal="center" vertical="center" wrapText="1"/>
      <protection locked="0" hidden="0"/>
    </xf>
    <xf numFmtId="0" fontId="7" fillId="0" borderId="103" applyAlignment="1" applyProtection="1" pivotButton="0" quotePrefix="0" xfId="0">
      <alignment horizontal="center" vertical="center"/>
      <protection locked="0" hidden="0"/>
    </xf>
    <xf numFmtId="0" fontId="1" fillId="0" borderId="84" applyAlignment="1" pivotButton="0" quotePrefix="0" xfId="0">
      <alignment vertical="center"/>
    </xf>
    <xf numFmtId="0" fontId="2" fillId="3" borderId="85" applyAlignment="1" applyProtection="1" pivotButton="0" quotePrefix="0" xfId="0">
      <alignment vertical="top" wrapText="1"/>
      <protection locked="0" hidden="0"/>
    </xf>
    <xf numFmtId="0" fontId="1" fillId="0" borderId="86" applyAlignment="1" pivotButton="0" quotePrefix="0" xfId="0">
      <alignment vertical="center"/>
    </xf>
    <xf numFmtId="0" fontId="2" fillId="3" borderId="88" applyAlignment="1" applyProtection="1" pivotButton="0" quotePrefix="0" xfId="0">
      <alignment vertical="top" wrapText="1"/>
      <protection locked="0" hidden="0"/>
    </xf>
    <xf numFmtId="0" fontId="1" fillId="0" borderId="86" applyAlignment="1" pivotButton="0" quotePrefix="0" xfId="0">
      <alignment vertical="center" wrapText="1"/>
    </xf>
    <xf numFmtId="0" fontId="2" fillId="3" borderId="88" applyAlignment="1" applyProtection="1" pivotButton="0" quotePrefix="0" xfId="0">
      <alignment vertical="center" wrapText="1"/>
      <protection locked="0" hidden="0"/>
    </xf>
    <xf numFmtId="0" fontId="1" fillId="0" borderId="90" applyAlignment="1" pivotButton="0" quotePrefix="0" xfId="0">
      <alignment vertical="center" wrapText="1"/>
    </xf>
    <xf numFmtId="0" fontId="2" fillId="3" borderId="92" applyAlignment="1" applyProtection="1" pivotButton="0" quotePrefix="0" xfId="0">
      <alignment vertical="center" wrapText="1"/>
      <protection locked="0" hidden="0"/>
    </xf>
    <xf numFmtId="0" fontId="61" fillId="0" borderId="21" applyAlignment="1" applyProtection="1" pivotButton="0" quotePrefix="0" xfId="0">
      <alignment vertical="center" wrapText="1"/>
      <protection locked="0" hidden="0"/>
    </xf>
    <xf numFmtId="0" fontId="2" fillId="3" borderId="46" applyAlignment="1" applyProtection="1" pivotButton="0" quotePrefix="0" xfId="0">
      <alignment horizontal="center" vertical="center" wrapText="1"/>
      <protection locked="0" hidden="0"/>
    </xf>
    <xf numFmtId="0" fontId="6" fillId="0" borderId="86" applyAlignment="1" applyProtection="1" pivotButton="0" quotePrefix="0" xfId="0">
      <alignment vertical="center" wrapText="1"/>
      <protection locked="0" hidden="0"/>
    </xf>
    <xf numFmtId="0" fontId="2" fillId="9" borderId="45" applyAlignment="1" applyProtection="1" pivotButton="0" quotePrefix="0" xfId="0">
      <alignment horizontal="center" vertical="center" wrapText="1"/>
      <protection locked="0" hidden="0"/>
    </xf>
    <xf numFmtId="0" fontId="2" fillId="9" borderId="31" applyAlignment="1" applyProtection="1" pivotButton="0" quotePrefix="0" xfId="0">
      <alignment horizontal="center" vertical="center" wrapText="1"/>
      <protection locked="0" hidden="0"/>
    </xf>
    <xf numFmtId="0" fontId="2" fillId="10" borderId="31" applyAlignment="1" applyProtection="1" pivotButton="0" quotePrefix="0" xfId="0">
      <alignment horizontal="center" vertical="center" wrapText="1"/>
      <protection locked="0" hidden="0"/>
    </xf>
    <xf numFmtId="0" fontId="2" fillId="0" borderId="4" applyAlignment="1" applyProtection="1" pivotButton="0" quotePrefix="0" xfId="0">
      <alignment horizontal="center" vertical="center"/>
      <protection locked="0" hidden="0"/>
    </xf>
    <xf numFmtId="0" fontId="2" fillId="0" borderId="3" applyAlignment="1" applyProtection="1" pivotButton="0" quotePrefix="0" xfId="0">
      <alignment horizontal="center" vertical="center"/>
      <protection locked="0" hidden="0"/>
    </xf>
    <xf numFmtId="0" fontId="0" fillId="0" borderId="0" applyAlignment="1" applyProtection="1" pivotButton="0" quotePrefix="0" xfId="0">
      <alignment horizontal="center" vertical="center"/>
      <protection locked="0" hidden="0"/>
    </xf>
    <xf numFmtId="0" fontId="2" fillId="10" borderId="46" applyAlignment="1" applyProtection="1" pivotButton="0" quotePrefix="0" xfId="0">
      <alignment horizontal="center" vertical="center" wrapText="1"/>
      <protection locked="0" hidden="0"/>
    </xf>
    <xf numFmtId="0" fontId="0" fillId="11" borderId="0" applyProtection="1" pivotButton="0" quotePrefix="0" xfId="0">
      <protection locked="0" hidden="0"/>
    </xf>
    <xf numFmtId="0" fontId="2" fillId="11" borderId="44" applyAlignment="1" applyProtection="1" pivotButton="0" quotePrefix="0" xfId="0">
      <alignment horizontal="center" vertical="center" wrapText="1"/>
      <protection locked="0" hidden="0"/>
    </xf>
    <xf numFmtId="0" fontId="2" fillId="11" borderId="48" applyAlignment="1" applyProtection="1" pivotButton="0" quotePrefix="0" xfId="0">
      <alignment horizontal="center" vertical="center" wrapText="1"/>
      <protection locked="0" hidden="0"/>
    </xf>
    <xf numFmtId="0" fontId="2" fillId="11" borderId="45" applyAlignment="1" applyProtection="1" pivotButton="0" quotePrefix="0" xfId="0">
      <alignment horizontal="center" vertical="center" wrapText="1"/>
      <protection locked="0" hidden="0"/>
    </xf>
    <xf numFmtId="0" fontId="2" fillId="11" borderId="31" applyAlignment="1" applyProtection="1" pivotButton="0" quotePrefix="0" xfId="0">
      <alignment horizontal="center" vertical="center" wrapText="1"/>
      <protection locked="0" hidden="0"/>
    </xf>
    <xf numFmtId="0" fontId="0" fillId="0" borderId="0" applyAlignment="1" pivotButton="0" quotePrefix="0" xfId="0">
      <alignment horizontal="center" vertical="center"/>
    </xf>
    <xf numFmtId="0" fontId="0" fillId="0" borderId="12" applyAlignment="1" applyProtection="1" pivotButton="0" quotePrefix="0" xfId="0">
      <alignment horizontal="center" vertical="center"/>
      <protection locked="0" hidden="0"/>
    </xf>
    <xf numFmtId="0" fontId="0" fillId="0" borderId="48" applyAlignment="1" applyProtection="1" pivotButton="0" quotePrefix="0" xfId="0">
      <alignment horizontal="center" vertical="center"/>
      <protection locked="0" hidden="0"/>
    </xf>
    <xf numFmtId="0" fontId="0" fillId="0" borderId="46" applyAlignment="1" applyProtection="1" pivotButton="0" quotePrefix="0" xfId="0">
      <alignment horizontal="center" vertical="center"/>
      <protection locked="0" hidden="0"/>
    </xf>
    <xf numFmtId="0" fontId="0" fillId="0" borderId="31" applyAlignment="1" applyProtection="1" pivotButton="0" quotePrefix="0" xfId="0">
      <alignment horizontal="center" vertical="center"/>
      <protection locked="0" hidden="0"/>
    </xf>
    <xf numFmtId="0" fontId="0" fillId="0" borderId="45" applyAlignment="1" applyProtection="1" pivotButton="0" quotePrefix="0" xfId="0">
      <alignment horizontal="center" vertical="center"/>
      <protection locked="0" hidden="0"/>
    </xf>
    <xf numFmtId="0" fontId="0" fillId="0" borderId="55" applyAlignment="1" applyProtection="1" pivotButton="0" quotePrefix="0" xfId="0">
      <alignment horizontal="center" vertical="center"/>
      <protection locked="0" hidden="0"/>
    </xf>
    <xf numFmtId="0" fontId="9" fillId="0" borderId="13" applyAlignment="1" applyProtection="1" pivotButton="0" quotePrefix="0" xfId="0">
      <alignment horizontal="center" vertical="top" wrapText="1"/>
      <protection locked="0" hidden="0"/>
    </xf>
    <xf numFmtId="0" fontId="2" fillId="9" borderId="13" applyAlignment="1" applyProtection="1" pivotButton="0" quotePrefix="0" xfId="0">
      <alignment vertical="top" wrapText="1"/>
      <protection locked="0" hidden="0"/>
    </xf>
    <xf numFmtId="0" fontId="2" fillId="11" borderId="13" applyAlignment="1" applyProtection="1" pivotButton="0" quotePrefix="0" xfId="0">
      <alignment vertical="top" wrapText="1"/>
      <protection locked="0" hidden="0"/>
    </xf>
    <xf numFmtId="0" fontId="2" fillId="9" borderId="12" applyAlignment="1" applyProtection="1" pivotButton="0" quotePrefix="0" xfId="0">
      <alignment vertical="top" wrapText="1"/>
      <protection locked="0" hidden="0"/>
    </xf>
    <xf numFmtId="0" fontId="2" fillId="9" borderId="14" applyAlignment="1" applyProtection="1" pivotButton="0" quotePrefix="0" xfId="0">
      <alignment vertical="top" wrapText="1"/>
      <protection locked="0" hidden="0"/>
    </xf>
    <xf numFmtId="0" fontId="9" fillId="0" borderId="13" applyAlignment="1" applyProtection="1" pivotButton="0" quotePrefix="0" xfId="0">
      <alignment horizontal="center" vertical="center"/>
      <protection locked="0" hidden="0"/>
    </xf>
    <xf numFmtId="0" fontId="29" fillId="0" borderId="0" applyAlignment="1" pivotButton="0" quotePrefix="0" xfId="0">
      <alignment horizontal="center" vertical="center"/>
    </xf>
    <xf numFmtId="0" fontId="37" fillId="0" borderId="0" applyAlignment="1" pivotButton="0" quotePrefix="0" xfId="0">
      <alignment horizontal="center" vertical="center" wrapText="1"/>
    </xf>
    <xf numFmtId="0" fontId="0" fillId="0" borderId="0" pivotButton="1" quotePrefix="0" xfId="0"/>
    <xf numFmtId="0" fontId="0" fillId="0" borderId="120" pivotButton="0" quotePrefix="0" xfId="0"/>
    <xf numFmtId="0" fontId="0" fillId="0" borderId="120" applyAlignment="1" pivotButton="0" quotePrefix="0" xfId="0">
      <alignment horizontal="center" vertical="center"/>
    </xf>
    <xf numFmtId="0" fontId="0" fillId="0" borderId="116" pivotButton="0" quotePrefix="0" xfId="0"/>
    <xf numFmtId="0" fontId="0" fillId="0" borderId="117" pivotButton="0" quotePrefix="0" xfId="0"/>
    <xf numFmtId="0" fontId="0" fillId="0" borderId="117" applyAlignment="1" pivotButton="0" quotePrefix="0" xfId="0">
      <alignment horizontal="center" vertical="center"/>
    </xf>
    <xf numFmtId="0" fontId="0" fillId="0" borderId="119" pivotButton="0" quotePrefix="0" xfId="0"/>
    <xf numFmtId="0" fontId="43" fillId="9" borderId="5" applyAlignment="1" pivotButton="0" quotePrefix="0" xfId="0">
      <alignment horizontal="center" vertical="center"/>
    </xf>
    <xf numFmtId="0" fontId="43" fillId="9" borderId="10" applyAlignment="1" pivotButton="0" quotePrefix="0" xfId="0">
      <alignment horizontal="center" vertical="center"/>
    </xf>
    <xf numFmtId="0" fontId="43" fillId="9" borderId="11" applyAlignment="1" pivotButton="0" quotePrefix="0" xfId="0">
      <alignment horizontal="center" vertical="center"/>
    </xf>
    <xf numFmtId="0" fontId="43" fillId="9" borderId="0" applyAlignment="1" pivotButton="0" quotePrefix="0" xfId="0">
      <alignment horizontal="center" vertical="center"/>
    </xf>
    <xf numFmtId="0" fontId="9" fillId="0" borderId="118" applyAlignment="1" pivotButton="0" quotePrefix="0" xfId="0">
      <alignment horizontal="center" vertical="center"/>
    </xf>
    <xf numFmtId="0" fontId="9" fillId="0" borderId="121" applyAlignment="1" pivotButton="0" quotePrefix="0" xfId="0">
      <alignment horizontal="center" vertical="center"/>
    </xf>
    <xf numFmtId="0" fontId="9" fillId="0" borderId="124" applyAlignment="1" pivotButton="0" quotePrefix="0" xfId="0">
      <alignment horizontal="center" vertical="center"/>
    </xf>
    <xf numFmtId="0" fontId="9" fillId="0" borderId="122" pivotButton="0" quotePrefix="0" xfId="0"/>
    <xf numFmtId="0" fontId="9" fillId="0" borderId="123" pivotButton="0" quotePrefix="0" xfId="0"/>
    <xf numFmtId="0" fontId="9" fillId="0" borderId="123" applyAlignment="1" pivotButton="0" quotePrefix="0" xfId="0">
      <alignment horizontal="center" vertical="center"/>
    </xf>
    <xf numFmtId="0" fontId="9" fillId="0" borderId="125" applyAlignment="1" pivotButton="0" quotePrefix="0" xfId="0">
      <alignment horizontal="left" vertical="center"/>
    </xf>
    <xf numFmtId="0" fontId="0" fillId="0" borderId="121" applyAlignment="1" pivotButton="0" quotePrefix="0" xfId="0">
      <alignment horizontal="center" vertical="center"/>
    </xf>
    <xf numFmtId="0" fontId="0" fillId="0" borderId="119" applyAlignment="1" pivotButton="0" quotePrefix="0" xfId="0">
      <alignment horizontal="center" vertical="center"/>
    </xf>
    <xf numFmtId="0" fontId="0" fillId="12" borderId="16" applyAlignment="1" pivotButton="0" quotePrefix="0" xfId="0">
      <alignment horizontal="left" vertical="center"/>
    </xf>
    <xf numFmtId="0" fontId="0" fillId="0" borderId="16" applyAlignment="1" pivotButton="0" quotePrefix="0" xfId="0">
      <alignment horizontal="left" vertical="center"/>
    </xf>
    <xf numFmtId="0" fontId="0" fillId="0" borderId="118" applyAlignment="1" pivotButton="0" quotePrefix="0" xfId="0">
      <alignment horizontal="center" vertical="center"/>
    </xf>
    <xf numFmtId="0" fontId="0" fillId="0" borderId="116" applyAlignment="1" pivotButton="0" quotePrefix="0" xfId="0">
      <alignment horizontal="center" vertical="center"/>
    </xf>
    <xf numFmtId="0" fontId="0" fillId="0" borderId="49" applyAlignment="1" pivotButton="0" quotePrefix="0" xfId="0">
      <alignment horizontal="left" vertical="center"/>
    </xf>
    <xf numFmtId="0" fontId="65" fillId="9" borderId="10" applyAlignment="1" pivotButton="0" quotePrefix="0" xfId="0">
      <alignment horizontal="left" vertical="center"/>
    </xf>
    <xf numFmtId="0" fontId="65" fillId="9" borderId="120" applyAlignment="1" pivotButton="0" quotePrefix="0" xfId="0">
      <alignment horizontal="center" vertical="center"/>
    </xf>
    <xf numFmtId="0" fontId="0" fillId="0" borderId="66" applyAlignment="1" pivotButton="0" quotePrefix="0" xfId="0">
      <alignment horizontal="center" vertical="center"/>
    </xf>
    <xf numFmtId="0" fontId="0" fillId="12" borderId="120" applyAlignment="1" pivotButton="0" quotePrefix="0" xfId="0">
      <alignment horizontal="center" vertical="center"/>
    </xf>
    <xf numFmtId="0" fontId="9" fillId="0" borderId="47" applyAlignment="1" pivotButton="0" quotePrefix="0" xfId="0">
      <alignment horizontal="center" vertical="center"/>
    </xf>
    <xf numFmtId="0" fontId="0" fillId="16" borderId="120" applyAlignment="1" pivotButton="0" quotePrefix="0" xfId="0">
      <alignment horizontal="center" vertical="center"/>
    </xf>
    <xf numFmtId="0" fontId="0" fillId="17" borderId="120" applyAlignment="1" pivotButton="0" quotePrefix="0" xfId="0">
      <alignment horizontal="center" vertical="center"/>
    </xf>
    <xf numFmtId="0" fontId="0" fillId="15" borderId="120" applyAlignment="1" pivotButton="0" quotePrefix="0" xfId="0">
      <alignment horizontal="center" vertical="center"/>
    </xf>
    <xf numFmtId="0" fontId="0" fillId="15" borderId="16" applyAlignment="1" pivotButton="0" quotePrefix="0" xfId="0">
      <alignment horizontal="left" vertical="center"/>
    </xf>
    <xf numFmtId="0" fontId="2" fillId="9" borderId="48" applyAlignment="1" applyProtection="1" pivotButton="0" quotePrefix="0" xfId="0">
      <alignment vertical="top" wrapText="1"/>
      <protection locked="0" hidden="0"/>
    </xf>
    <xf numFmtId="0" fontId="2" fillId="16" borderId="13" applyAlignment="1" applyProtection="1" pivotButton="0" quotePrefix="0" xfId="0">
      <alignment vertical="top" wrapText="1"/>
      <protection locked="0" hidden="0"/>
    </xf>
    <xf numFmtId="0" fontId="0" fillId="8" borderId="120" applyAlignment="1" pivotButton="0" quotePrefix="0" xfId="0">
      <alignment horizontal="center" vertical="center"/>
    </xf>
    <xf numFmtId="0" fontId="65" fillId="9" borderId="120" applyAlignment="1" pivotButton="0" quotePrefix="0" xfId="0">
      <alignment horizontal="center" vertical="center" wrapText="1"/>
    </xf>
    <xf numFmtId="0" fontId="0" fillId="0" borderId="21" applyAlignment="1" pivotButton="0" quotePrefix="0" xfId="0">
      <alignment horizontal="center" vertical="center"/>
    </xf>
    <xf numFmtId="0" fontId="0" fillId="0" borderId="19" applyAlignment="1" pivotButton="0" quotePrefix="0" xfId="0">
      <alignment horizontal="left" vertical="center"/>
    </xf>
    <xf numFmtId="0" fontId="0" fillId="0" borderId="32" applyAlignment="1" pivotButton="0" quotePrefix="0" xfId="0">
      <alignment horizontal="center" vertical="center"/>
    </xf>
    <xf numFmtId="0" fontId="0" fillId="0" borderId="129" applyAlignment="1" pivotButton="0" quotePrefix="0" xfId="0">
      <alignment horizontal="center" vertical="center"/>
    </xf>
    <xf numFmtId="0" fontId="0" fillId="15" borderId="117" applyAlignment="1" pivotButton="0" quotePrefix="0" xfId="0">
      <alignment horizontal="center" vertical="center"/>
    </xf>
    <xf numFmtId="0" fontId="0" fillId="15" borderId="49" applyAlignment="1" pivotButton="0" quotePrefix="0" xfId="0">
      <alignment horizontal="left" vertical="center"/>
    </xf>
    <xf numFmtId="0" fontId="0" fillId="16" borderId="116" applyAlignment="1" pivotButton="0" quotePrefix="0" xfId="0">
      <alignment horizontal="center" vertical="center"/>
    </xf>
    <xf numFmtId="0" fontId="0" fillId="12" borderId="123" applyAlignment="1" pivotButton="0" quotePrefix="0" xfId="0">
      <alignment horizontal="center" vertical="center"/>
    </xf>
    <xf numFmtId="0" fontId="0" fillId="12" borderId="24" applyAlignment="1" pivotButton="0" quotePrefix="0" xfId="0">
      <alignment horizontal="left" vertical="center"/>
    </xf>
    <xf numFmtId="0" fontId="0" fillId="0" borderId="122" applyAlignment="1" pivotButton="0" quotePrefix="0" xfId="0">
      <alignment horizontal="center" vertical="center"/>
    </xf>
    <xf numFmtId="0" fontId="0" fillId="0" borderId="123" applyAlignment="1" pivotButton="0" quotePrefix="0" xfId="0">
      <alignment horizontal="center" vertical="center"/>
    </xf>
    <xf numFmtId="0" fontId="0" fillId="17" borderId="123" applyAlignment="1" pivotButton="0" quotePrefix="0" xfId="0">
      <alignment horizontal="center" vertical="center"/>
    </xf>
    <xf numFmtId="0" fontId="0" fillId="17" borderId="124" applyAlignment="1" pivotButton="0" quotePrefix="0" xfId="0">
      <alignment horizontal="center" vertical="center"/>
    </xf>
    <xf numFmtId="0" fontId="0" fillId="0" borderId="0" applyAlignment="1" pivotButton="0" quotePrefix="0" xfId="0">
      <alignment vertical="center"/>
    </xf>
    <xf numFmtId="0" fontId="0" fillId="0" borderId="0" applyAlignment="1" pivotButton="0" quotePrefix="0" xfId="0">
      <alignment vertical="center" wrapText="1"/>
    </xf>
    <xf numFmtId="0" fontId="0" fillId="0" borderId="0" applyAlignment="1" pivotButton="0" quotePrefix="0" xfId="0">
      <alignment horizontal="left" vertical="center"/>
    </xf>
    <xf numFmtId="0" fontId="63" fillId="0" borderId="0" applyAlignment="1" pivotButton="0" quotePrefix="0" xfId="0">
      <alignment vertical="center"/>
    </xf>
    <xf numFmtId="0" fontId="0" fillId="0" borderId="54" applyAlignment="1" pivotButton="0" quotePrefix="0" xfId="0">
      <alignment vertical="center"/>
    </xf>
    <xf numFmtId="0" fontId="0" fillId="0" borderId="66" applyAlignment="1" pivotButton="0" quotePrefix="0" xfId="0">
      <alignment vertical="center" wrapText="1"/>
    </xf>
    <xf numFmtId="0" fontId="0" fillId="0" borderId="116" applyAlignment="1" pivotButton="0" quotePrefix="0" xfId="0">
      <alignment vertical="center"/>
    </xf>
    <xf numFmtId="0" fontId="0" fillId="0" borderId="117" applyAlignment="1" pivotButton="0" quotePrefix="0" xfId="0">
      <alignment vertical="center"/>
    </xf>
    <xf numFmtId="9" fontId="0" fillId="0" borderId="118" applyAlignment="1" pivotButton="0" quotePrefix="0" xfId="2">
      <alignment vertical="center"/>
    </xf>
    <xf numFmtId="0" fontId="0" fillId="0" borderId="119" applyAlignment="1" pivotButton="0" quotePrefix="0" xfId="0">
      <alignment vertical="center"/>
    </xf>
    <xf numFmtId="0" fontId="0" fillId="0" borderId="120" applyAlignment="1" pivotButton="0" quotePrefix="0" xfId="0">
      <alignment vertical="center" wrapText="1"/>
    </xf>
    <xf numFmtId="0" fontId="0" fillId="0" borderId="120" applyAlignment="1" pivotButton="0" quotePrefix="0" xfId="0">
      <alignment vertical="center"/>
    </xf>
    <xf numFmtId="9" fontId="0" fillId="0" borderId="121" applyAlignment="1" pivotButton="0" quotePrefix="0" xfId="2">
      <alignment vertical="center"/>
    </xf>
    <xf numFmtId="0" fontId="0" fillId="0" borderId="32" applyAlignment="1" pivotButton="0" quotePrefix="0" xfId="0">
      <alignment vertical="center"/>
    </xf>
    <xf numFmtId="0" fontId="0" fillId="0" borderId="21" applyAlignment="1" pivotButton="0" quotePrefix="0" xfId="0">
      <alignment vertical="center" wrapText="1"/>
    </xf>
    <xf numFmtId="0" fontId="0" fillId="15" borderId="116" applyAlignment="1" pivotButton="0" quotePrefix="0" xfId="0">
      <alignment vertical="center"/>
    </xf>
    <xf numFmtId="0" fontId="0" fillId="15" borderId="117" applyAlignment="1" pivotButton="0" quotePrefix="0" xfId="0">
      <alignment vertical="center" wrapText="1"/>
    </xf>
    <xf numFmtId="0" fontId="0" fillId="15" borderId="119" applyAlignment="1" pivotButton="0" quotePrefix="0" xfId="0">
      <alignment vertical="center"/>
    </xf>
    <xf numFmtId="0" fontId="0" fillId="15" borderId="120" applyAlignment="1" pivotButton="0" quotePrefix="0" xfId="0">
      <alignment vertical="center" wrapText="1"/>
    </xf>
    <xf numFmtId="0" fontId="0" fillId="12" borderId="119" applyAlignment="1" pivotButton="0" quotePrefix="0" xfId="0">
      <alignment vertical="center"/>
    </xf>
    <xf numFmtId="0" fontId="0" fillId="12" borderId="120" applyAlignment="1" pivotButton="0" quotePrefix="0" xfId="0">
      <alignment vertical="center" wrapText="1"/>
    </xf>
    <xf numFmtId="0" fontId="0" fillId="12" borderId="122" applyAlignment="1" pivotButton="0" quotePrefix="0" xfId="0">
      <alignment vertical="center"/>
    </xf>
    <xf numFmtId="0" fontId="0" fillId="12" borderId="123" applyAlignment="1" pivotButton="0" quotePrefix="0" xfId="0">
      <alignment vertical="center" wrapText="1"/>
    </xf>
    <xf numFmtId="0" fontId="9" fillId="0" borderId="126" applyAlignment="1" pivotButton="0" quotePrefix="0" xfId="0">
      <alignment vertical="center"/>
    </xf>
    <xf numFmtId="0" fontId="9" fillId="0" borderId="47" applyAlignment="1" pivotButton="0" quotePrefix="0" xfId="0">
      <alignment vertical="center" wrapText="1"/>
    </xf>
    <xf numFmtId="0" fontId="0" fillId="0" borderId="126" applyAlignment="1" pivotButton="0" quotePrefix="0" xfId="0">
      <alignment vertical="center"/>
    </xf>
    <xf numFmtId="0" fontId="0" fillId="0" borderId="47" applyAlignment="1" pivotButton="0" quotePrefix="0" xfId="0">
      <alignment vertical="center"/>
    </xf>
    <xf numFmtId="0" fontId="0" fillId="0" borderId="130" applyAlignment="1" pivotButton="0" quotePrefix="0" xfId="0">
      <alignment vertical="center"/>
    </xf>
    <xf numFmtId="0" fontId="0" fillId="0" borderId="71" applyAlignment="1" pivotButton="0" quotePrefix="0" xfId="0">
      <alignment vertical="center"/>
    </xf>
    <xf numFmtId="0" fontId="0" fillId="0" borderId="72" applyAlignment="1" pivotButton="0" quotePrefix="0" xfId="0">
      <alignment vertical="center"/>
    </xf>
    <xf numFmtId="9" fontId="0" fillId="0" borderId="64" applyAlignment="1" pivotButton="0" quotePrefix="0" xfId="2">
      <alignment vertical="center"/>
    </xf>
    <xf numFmtId="0" fontId="0" fillId="17" borderId="0" applyAlignment="1" pivotButton="0" quotePrefix="0" xfId="0">
      <alignment vertical="center"/>
    </xf>
    <xf numFmtId="0" fontId="67" fillId="0" borderId="0" applyAlignment="1" pivotButton="0" quotePrefix="0" xfId="0">
      <alignment horizontal="center" vertical="center" textRotation="78"/>
    </xf>
    <xf numFmtId="0" fontId="67" fillId="12" borderId="128" applyAlignment="1" pivotButton="0" quotePrefix="0" xfId="0">
      <alignment horizontal="center" vertical="center" textRotation="78"/>
    </xf>
    <xf numFmtId="0" fontId="66" fillId="15" borderId="127" applyAlignment="1" pivotButton="0" quotePrefix="0" xfId="0">
      <alignment horizontal="center" vertical="center" textRotation="78"/>
    </xf>
    <xf numFmtId="0" fontId="65" fillId="14" borderId="127" applyAlignment="1" pivotButton="0" quotePrefix="0" xfId="0">
      <alignment horizontal="center" vertical="center" textRotation="78"/>
    </xf>
    <xf numFmtId="0" fontId="64" fillId="13" borderId="127" applyAlignment="1" pivotButton="0" quotePrefix="0" xfId="0">
      <alignment horizontal="center" vertical="center" textRotation="78"/>
    </xf>
    <xf numFmtId="0" fontId="0" fillId="0" borderId="0" applyAlignment="1" pivotButton="0" quotePrefix="0" xfId="0">
      <alignment vertical="center" textRotation="90"/>
    </xf>
    <xf numFmtId="0" fontId="0" fillId="0" borderId="0" applyAlignment="1" pivotButton="0" quotePrefix="0" xfId="0">
      <alignment horizontal="center" vertical="center" textRotation="90"/>
    </xf>
    <xf numFmtId="0" fontId="0" fillId="0" borderId="0" applyAlignment="1" pivotButton="0" quotePrefix="0" xfId="0">
      <alignment vertical="center" textRotation="90" wrapText="1"/>
    </xf>
    <xf numFmtId="0" fontId="0" fillId="0" borderId="0" applyAlignment="1" pivotButton="0" quotePrefix="0" xfId="0">
      <alignment horizontal="left" vertical="center" textRotation="90"/>
    </xf>
    <xf numFmtId="0" fontId="67" fillId="4" borderId="71" applyAlignment="1" pivotButton="0" quotePrefix="0" xfId="0">
      <alignment horizontal="center" vertical="center" textRotation="90"/>
    </xf>
    <xf numFmtId="0" fontId="67" fillId="4" borderId="72" applyAlignment="1" pivotButton="0" quotePrefix="0" xfId="0">
      <alignment horizontal="center" vertical="center" textRotation="90"/>
    </xf>
    <xf numFmtId="0" fontId="67" fillId="4" borderId="64" applyAlignment="1" pivotButton="0" quotePrefix="0" xfId="0">
      <alignment horizontal="center" vertical="center" textRotation="90"/>
    </xf>
    <xf numFmtId="0" fontId="63" fillId="4" borderId="71" applyAlignment="1" pivotButton="0" quotePrefix="0" xfId="0">
      <alignment horizontal="center" vertical="center" textRotation="90"/>
    </xf>
    <xf numFmtId="0" fontId="63" fillId="4" borderId="131" applyAlignment="1" pivotButton="0" quotePrefix="0" xfId="0">
      <alignment horizontal="center" vertical="center" textRotation="90"/>
    </xf>
    <xf numFmtId="0" fontId="63" fillId="4" borderId="71" applyAlignment="1" pivotButton="0" quotePrefix="0" xfId="0">
      <alignment horizontal="center" textRotation="61" wrapText="1"/>
    </xf>
    <xf numFmtId="0" fontId="0" fillId="0" borderId="0" applyAlignment="1" pivotButton="0" quotePrefix="0" xfId="0">
      <alignment vertical="center" textRotation="61"/>
    </xf>
    <xf numFmtId="0" fontId="9" fillId="0" borderId="0" applyAlignment="1" applyProtection="1" pivotButton="0" quotePrefix="0" xfId="0">
      <alignment horizontal="center" vertical="center" wrapText="1"/>
      <protection locked="0" hidden="0"/>
    </xf>
    <xf numFmtId="0" fontId="9" fillId="0" borderId="0" applyAlignment="1" applyProtection="1" pivotButton="0" quotePrefix="0" xfId="0">
      <alignment horizontal="center" vertical="center"/>
      <protection locked="0" hidden="0"/>
    </xf>
    <xf numFmtId="0" fontId="54" fillId="0" borderId="0" applyAlignment="1" applyProtection="1" pivotButton="0" quotePrefix="0" xfId="0">
      <alignment horizontal="center" vertical="center"/>
      <protection locked="0" hidden="0"/>
    </xf>
    <xf numFmtId="0" fontId="9" fillId="0" borderId="0" applyAlignment="1" applyProtection="1" pivotButton="0" quotePrefix="0" xfId="0">
      <alignment horizontal="center" vertical="top" wrapText="1"/>
      <protection locked="0" hidden="0"/>
    </xf>
    <xf numFmtId="0" fontId="59" fillId="0" borderId="0" applyProtection="1" pivotButton="0" quotePrefix="0" xfId="1">
      <protection locked="0" hidden="0"/>
    </xf>
    <xf numFmtId="0" fontId="68" fillId="0" borderId="0" applyAlignment="1" pivotButton="0" quotePrefix="0" xfId="3">
      <alignment horizontal="center" vertical="center"/>
    </xf>
    <xf numFmtId="0" fontId="63" fillId="18" borderId="71" applyAlignment="1" pivotButton="0" quotePrefix="0" xfId="0">
      <alignment horizontal="center" textRotation="61" wrapText="1"/>
    </xf>
    <xf numFmtId="0" fontId="63" fillId="18" borderId="71" applyAlignment="1" pivotButton="0" quotePrefix="0" xfId="0">
      <alignment horizontal="center" vertical="center" textRotation="90"/>
    </xf>
    <xf numFmtId="0" fontId="67" fillId="18" borderId="72" applyAlignment="1" pivotButton="0" quotePrefix="0" xfId="0">
      <alignment horizontal="center" vertical="center" textRotation="90"/>
    </xf>
    <xf numFmtId="0" fontId="0" fillId="18" borderId="117" applyAlignment="1" pivotButton="0" quotePrefix="0" xfId="0">
      <alignment horizontal="center" vertical="center"/>
    </xf>
    <xf numFmtId="0" fontId="0" fillId="18" borderId="120" applyAlignment="1" pivotButton="0" quotePrefix="0" xfId="0">
      <alignment horizontal="center" vertical="center"/>
    </xf>
    <xf numFmtId="0" fontId="0" fillId="18" borderId="21" applyAlignment="1" pivotButton="0" quotePrefix="0" xfId="0">
      <alignment horizontal="center" vertical="center"/>
    </xf>
    <xf numFmtId="0" fontId="0" fillId="18" borderId="123" applyAlignment="1" pivotButton="0" quotePrefix="0" xfId="0">
      <alignment horizontal="center" vertical="center"/>
    </xf>
    <xf numFmtId="0" fontId="0" fillId="18" borderId="47" applyAlignment="1" pivotButton="0" quotePrefix="0" xfId="0">
      <alignment vertical="center"/>
    </xf>
    <xf numFmtId="0" fontId="0" fillId="18" borderId="0" applyAlignment="1" pivotButton="0" quotePrefix="0" xfId="0">
      <alignment vertical="center"/>
    </xf>
    <xf numFmtId="0" fontId="63" fillId="18" borderId="131" applyAlignment="1" pivotButton="0" quotePrefix="0" xfId="0">
      <alignment horizontal="center" vertical="center" textRotation="90"/>
    </xf>
    <xf numFmtId="0" fontId="28" fillId="2" borderId="13" applyAlignment="1" pivotButton="0" quotePrefix="0" xfId="0">
      <alignment horizontal="left" vertical="center" wrapText="1"/>
    </xf>
    <xf numFmtId="0" fontId="28" fillId="2" borderId="13" applyAlignment="1" pivotButton="0" quotePrefix="0" xfId="0">
      <alignment horizontal="center" vertical="center" wrapText="1"/>
    </xf>
    <xf numFmtId="0" fontId="3" fillId="2" borderId="5" applyAlignment="1" pivotButton="0" quotePrefix="0" xfId="0">
      <alignment horizontal="left" vertical="center" wrapText="1"/>
    </xf>
    <xf numFmtId="0" fontId="3" fillId="2" borderId="10" applyAlignment="1" pivotButton="0" quotePrefix="0" xfId="0">
      <alignment horizontal="left" vertical="center" wrapText="1"/>
    </xf>
    <xf numFmtId="0" fontId="3" fillId="2" borderId="11" applyAlignment="1" pivotButton="0" quotePrefix="0" xfId="0">
      <alignment horizontal="left" vertical="center" wrapText="1"/>
    </xf>
    <xf numFmtId="0" fontId="15" fillId="2" borderId="10" applyAlignment="1" pivotButton="0" quotePrefix="0" xfId="0">
      <alignment horizontal="left" vertical="center" wrapText="1"/>
    </xf>
    <xf numFmtId="0" fontId="15" fillId="2" borderId="11" applyAlignment="1" pivotButton="0" quotePrefix="0" xfId="0">
      <alignment horizontal="left" vertical="center" wrapText="1"/>
    </xf>
    <xf numFmtId="0" fontId="10" fillId="2" borderId="7" applyAlignment="1" pivotButton="0" quotePrefix="0" xfId="0">
      <alignment horizontal="center" vertical="center" wrapText="1"/>
    </xf>
    <xf numFmtId="0" fontId="10" fillId="2" borderId="9" applyAlignment="1" pivotButton="0" quotePrefix="0" xfId="0">
      <alignment horizontal="center" vertical="center" wrapText="1"/>
    </xf>
    <xf numFmtId="0" fontId="10" fillId="2" borderId="8" applyAlignment="1" pivotButton="0" quotePrefix="0" xfId="0">
      <alignment horizontal="center" vertical="center" wrapText="1"/>
    </xf>
    <xf numFmtId="0" fontId="10" fillId="4" borderId="74" applyAlignment="1" pivotButton="0" quotePrefix="0" xfId="0">
      <alignment horizontal="center" vertical="center"/>
    </xf>
    <xf numFmtId="0" fontId="10" fillId="4" borderId="75" applyAlignment="1" pivotButton="0" quotePrefix="0" xfId="0">
      <alignment horizontal="center" vertical="center"/>
    </xf>
    <xf numFmtId="0" fontId="10" fillId="4" borderId="76" applyAlignment="1" pivotButton="0" quotePrefix="0" xfId="0">
      <alignment horizontal="center" vertical="center"/>
    </xf>
    <xf numFmtId="14" fontId="2" fillId="4" borderId="53" applyAlignment="1" pivotButton="0" quotePrefix="0" xfId="0">
      <alignment horizontal="center" vertical="center"/>
    </xf>
    <xf numFmtId="14" fontId="2" fillId="4" borderId="20" applyAlignment="1" pivotButton="0" quotePrefix="0" xfId="0">
      <alignment horizontal="center" vertical="center"/>
    </xf>
    <xf numFmtId="14" fontId="2" fillId="4" borderId="36" applyAlignment="1" pivotButton="0" quotePrefix="0" xfId="0">
      <alignment horizontal="center" vertical="center"/>
    </xf>
    <xf numFmtId="0" fontId="10" fillId="4" borderId="62" applyAlignment="1" pivotButton="0" quotePrefix="0" xfId="0">
      <alignment horizontal="center" vertical="center"/>
    </xf>
    <xf numFmtId="0" fontId="2" fillId="4" borderId="53" applyAlignment="1" pivotButton="0" quotePrefix="0" xfId="0">
      <alignment horizontal="center" vertical="center"/>
    </xf>
    <xf numFmtId="0" fontId="2" fillId="4" borderId="20" applyAlignment="1" pivotButton="0" quotePrefix="0" xfId="0">
      <alignment horizontal="center" vertical="center"/>
    </xf>
    <xf numFmtId="0" fontId="2" fillId="4" borderId="61" applyAlignment="1" pivotButton="0" quotePrefix="0" xfId="0">
      <alignment horizontal="center" vertical="center"/>
    </xf>
    <xf numFmtId="0" fontId="9" fillId="0" borderId="9" applyAlignment="1" pivotButton="0" quotePrefix="0" xfId="0">
      <alignment horizontal="center" vertical="center"/>
    </xf>
    <xf numFmtId="0" fontId="9" fillId="0" borderId="63" applyAlignment="1" pivotButton="0" quotePrefix="0" xfId="0">
      <alignment horizontal="center" vertical="center"/>
    </xf>
    <xf numFmtId="0" fontId="9" fillId="0" borderId="8" applyAlignment="1" pivotButton="0" quotePrefix="0" xfId="0">
      <alignment horizontal="center" vertical="center"/>
    </xf>
    <xf numFmtId="0" fontId="60" fillId="0" borderId="79" applyAlignment="1" pivotButton="0" quotePrefix="0" xfId="0">
      <alignment horizontal="center" vertical="center"/>
    </xf>
    <xf numFmtId="0" fontId="60" fillId="0" borderId="80" applyAlignment="1" pivotButton="0" quotePrefix="0" xfId="0">
      <alignment horizontal="center" vertical="center"/>
    </xf>
    <xf numFmtId="0" fontId="60" fillId="0" borderId="80" applyAlignment="1" applyProtection="1" pivotButton="0" quotePrefix="0" xfId="0">
      <alignment horizontal="center" vertical="center" wrapText="1"/>
      <protection locked="0" hidden="0"/>
    </xf>
    <xf numFmtId="0" fontId="60" fillId="0" borderId="81" applyAlignment="1" applyProtection="1" pivotButton="0" quotePrefix="0" xfId="0">
      <alignment horizontal="center" vertical="center" wrapText="1"/>
      <protection locked="0" hidden="0"/>
    </xf>
    <xf numFmtId="0" fontId="2" fillId="0" borderId="34" applyAlignment="1" pivotButton="0" quotePrefix="0" xfId="0">
      <alignment horizontal="left" vertical="top" wrapText="1"/>
    </xf>
    <xf numFmtId="0" fontId="2" fillId="0" borderId="0" applyAlignment="1" pivotButton="0" quotePrefix="0" xfId="0">
      <alignment horizontal="left" vertical="top" wrapText="1"/>
    </xf>
    <xf numFmtId="0" fontId="2" fillId="0" borderId="4" applyAlignment="1" pivotButton="0" quotePrefix="0" xfId="0">
      <alignment horizontal="left" vertical="top" wrapText="1"/>
    </xf>
    <xf numFmtId="0" fontId="20" fillId="4" borderId="29" applyAlignment="1" pivotButton="0" quotePrefix="0" xfId="0">
      <alignment horizontal="left" vertical="center"/>
    </xf>
    <xf numFmtId="0" fontId="20" fillId="4" borderId="47" applyAlignment="1" pivotButton="0" quotePrefix="0" xfId="0">
      <alignment horizontal="left" vertical="center"/>
    </xf>
    <xf numFmtId="0" fontId="20" fillId="4" borderId="23" applyAlignment="1" pivotButton="0" quotePrefix="0" xfId="0">
      <alignment horizontal="left" vertical="center"/>
    </xf>
    <xf numFmtId="0" fontId="27" fillId="0" borderId="24" applyAlignment="1" applyProtection="1" pivotButton="0" quotePrefix="0" xfId="0">
      <alignment horizontal="left" vertical="center" wrapText="1"/>
      <protection locked="0" hidden="0"/>
    </xf>
    <xf numFmtId="0" fontId="27" fillId="0" borderId="20" applyAlignment="1" applyProtection="1" pivotButton="0" quotePrefix="0" xfId="0">
      <alignment horizontal="left" vertical="center" wrapText="1"/>
      <protection locked="0" hidden="0"/>
    </xf>
    <xf numFmtId="0" fontId="27" fillId="0" borderId="36" applyAlignment="1" applyProtection="1" pivotButton="0" quotePrefix="0" xfId="0">
      <alignment horizontal="left" vertical="center" wrapText="1"/>
      <protection locked="0" hidden="0"/>
    </xf>
    <xf numFmtId="0" fontId="21" fillId="0" borderId="16" applyAlignment="1" pivotButton="0" quotePrefix="0" xfId="0">
      <alignment horizontal="left" vertical="center" wrapText="1"/>
    </xf>
    <xf numFmtId="0" fontId="21" fillId="0" borderId="17" applyAlignment="1" pivotButton="0" quotePrefix="0" xfId="0">
      <alignment horizontal="left" vertical="center" wrapText="1"/>
    </xf>
    <xf numFmtId="0" fontId="21" fillId="0" borderId="37" applyAlignment="1" pivotButton="0" quotePrefix="0" xfId="0">
      <alignment horizontal="left" vertical="center" wrapText="1"/>
    </xf>
    <xf numFmtId="0" fontId="20" fillId="4" borderId="38" applyAlignment="1" pivotButton="0" quotePrefix="0" xfId="0">
      <alignment horizontal="left" vertical="center"/>
    </xf>
    <xf numFmtId="0" fontId="20" fillId="4" borderId="18" applyAlignment="1" pivotButton="0" quotePrefix="0" xfId="0">
      <alignment horizontal="left" vertical="center"/>
    </xf>
    <xf numFmtId="0" fontId="2" fillId="0" borderId="5" applyAlignment="1" pivotButton="0" quotePrefix="0" xfId="0">
      <alignment horizontal="left" vertical="top" wrapText="1"/>
    </xf>
    <xf numFmtId="0" fontId="2" fillId="0" borderId="10" applyAlignment="1" pivotButton="0" quotePrefix="0" xfId="0">
      <alignment horizontal="left" vertical="top" wrapText="1"/>
    </xf>
    <xf numFmtId="0" fontId="2" fillId="0" borderId="11" applyAlignment="1" pivotButton="0" quotePrefix="0" xfId="0">
      <alignment horizontal="left" vertical="top" wrapText="1"/>
    </xf>
    <xf numFmtId="0" fontId="20" fillId="4" borderId="25" applyAlignment="1" pivotButton="0" quotePrefix="0" xfId="0">
      <alignment horizontal="left" vertical="center" wrapText="1"/>
    </xf>
    <xf numFmtId="0" fontId="20" fillId="4" borderId="26" applyAlignment="1" pivotButton="0" quotePrefix="0" xfId="0">
      <alignment horizontal="left" vertical="center" wrapText="1"/>
    </xf>
    <xf numFmtId="0" fontId="21" fillId="0" borderId="22" applyAlignment="1" pivotButton="0" quotePrefix="0" xfId="0">
      <alignment horizontal="left" vertical="center" wrapText="1"/>
    </xf>
    <xf numFmtId="0" fontId="21" fillId="0" borderId="33" applyAlignment="1" pivotButton="0" quotePrefix="0" xfId="0">
      <alignment horizontal="left" vertical="center" wrapText="1"/>
    </xf>
    <xf numFmtId="0" fontId="20" fillId="4" borderId="26" applyAlignment="1" pivotButton="0" quotePrefix="0" xfId="0">
      <alignment horizontal="center" vertical="center"/>
    </xf>
    <xf numFmtId="0" fontId="22" fillId="0" borderId="32" applyAlignment="1" pivotButton="0" quotePrefix="0" xfId="0">
      <alignment horizontal="center" vertical="center" wrapText="1"/>
    </xf>
    <xf numFmtId="0" fontId="22" fillId="0" borderId="21" applyAlignment="1" pivotButton="0" quotePrefix="0" xfId="0">
      <alignment horizontal="center" vertical="center" wrapText="1"/>
    </xf>
    <xf numFmtId="0" fontId="58" fillId="6" borderId="0" applyAlignment="1" applyProtection="1" pivotButton="0" quotePrefix="0" xfId="0">
      <alignment horizontal="center" vertical="center"/>
      <protection locked="0" hidden="0"/>
    </xf>
    <xf numFmtId="0" fontId="20" fillId="4" borderId="49" applyAlignment="1" pivotButton="0" quotePrefix="0" xfId="0">
      <alignment horizontal="center" vertical="center"/>
    </xf>
    <xf numFmtId="0" fontId="20" fillId="4" borderId="75" applyAlignment="1" pivotButton="0" quotePrefix="0" xfId="0">
      <alignment horizontal="center" vertical="center"/>
    </xf>
    <xf numFmtId="0" fontId="20" fillId="4" borderId="76" applyAlignment="1" pivotButton="0" quotePrefix="0" xfId="0">
      <alignment horizontal="center" vertical="center"/>
    </xf>
    <xf numFmtId="49" fontId="22" fillId="0" borderId="24" applyAlignment="1" applyProtection="1" pivotButton="0" quotePrefix="0" xfId="0">
      <alignment horizontal="center" vertical="center" wrapText="1"/>
      <protection locked="0" hidden="0"/>
    </xf>
    <xf numFmtId="49" fontId="22" fillId="0" borderId="20" applyAlignment="1" applyProtection="1" pivotButton="0" quotePrefix="0" xfId="0">
      <alignment horizontal="center" vertical="center" wrapText="1"/>
      <protection locked="0" hidden="0"/>
    </xf>
    <xf numFmtId="49" fontId="22" fillId="0" borderId="36" applyAlignment="1" applyProtection="1" pivotButton="0" quotePrefix="0" xfId="0">
      <alignment horizontal="center" vertical="center" wrapText="1"/>
      <protection locked="0" hidden="0"/>
    </xf>
    <xf numFmtId="0" fontId="20" fillId="4" borderId="74" applyAlignment="1" pivotButton="0" quotePrefix="0" xfId="0">
      <alignment horizontal="center" vertical="center"/>
    </xf>
    <xf numFmtId="0" fontId="20" fillId="4" borderId="62" applyAlignment="1" pivotButton="0" quotePrefix="0" xfId="0">
      <alignment horizontal="center" vertical="center"/>
    </xf>
    <xf numFmtId="0" fontId="53" fillId="0" borderId="0" applyAlignment="1" pivotButton="0" quotePrefix="0" xfId="0">
      <alignment horizontal="center"/>
    </xf>
    <xf numFmtId="0" fontId="54" fillId="0" borderId="0" applyAlignment="1" pivotButton="0" quotePrefix="0" xfId="0">
      <alignment horizontal="center"/>
    </xf>
    <xf numFmtId="0" fontId="50" fillId="0" borderId="0" applyAlignment="1" pivotButton="0" quotePrefix="0" xfId="0">
      <alignment horizontal="left" vertical="center" wrapText="1"/>
    </xf>
    <xf numFmtId="0" fontId="3" fillId="2" borderId="40" applyAlignment="1" pivotButton="0" quotePrefix="0" xfId="0">
      <alignment horizontal="left" vertical="center" wrapText="1"/>
    </xf>
    <xf numFmtId="0" fontId="3" fillId="2" borderId="41" applyAlignment="1" pivotButton="0" quotePrefix="0" xfId="0">
      <alignment horizontal="center" vertical="center" wrapText="1"/>
    </xf>
    <xf numFmtId="0" fontId="3" fillId="2" borderId="10" applyAlignment="1" pivotButton="0" quotePrefix="0" xfId="0">
      <alignment horizontal="center" vertical="center" wrapText="1"/>
    </xf>
    <xf numFmtId="0" fontId="3" fillId="2" borderId="11" applyAlignment="1" pivotButton="0" quotePrefix="0" xfId="0">
      <alignment horizontal="center" vertical="center" wrapText="1"/>
    </xf>
    <xf numFmtId="0" fontId="39" fillId="0" borderId="6" applyAlignment="1" pivotButton="0" quotePrefix="0" xfId="0">
      <alignment horizontal="left" wrapText="1"/>
    </xf>
    <xf numFmtId="0" fontId="39" fillId="0" borderId="2" applyAlignment="1" pivotButton="0" quotePrefix="0" xfId="0">
      <alignment horizontal="left"/>
    </xf>
    <xf numFmtId="0" fontId="39" fillId="0" borderId="3" applyAlignment="1" pivotButton="0" quotePrefix="0" xfId="0">
      <alignment horizontal="left"/>
    </xf>
    <xf numFmtId="0" fontId="2" fillId="0" borderId="6" applyAlignment="1" pivotButton="0" quotePrefix="0" xfId="0">
      <alignment horizontal="left" vertical="top" wrapText="1"/>
    </xf>
    <xf numFmtId="0" fontId="2" fillId="0" borderId="2" applyAlignment="1" pivotButton="0" quotePrefix="0" xfId="0">
      <alignment horizontal="left" vertical="top" wrapText="1"/>
    </xf>
    <xf numFmtId="0" fontId="2" fillId="0" borderId="3" applyAlignment="1" pivotButton="0" quotePrefix="0" xfId="0">
      <alignment horizontal="left" vertical="top" wrapText="1"/>
    </xf>
    <xf numFmtId="0" fontId="3" fillId="2" borderId="38" applyAlignment="1" pivotButton="0" quotePrefix="0" xfId="0">
      <alignment horizontal="left" vertical="center" wrapText="1"/>
    </xf>
    <xf numFmtId="0" fontId="3" fillId="2" borderId="17" applyAlignment="1" pivotButton="0" quotePrefix="0" xfId="0">
      <alignment horizontal="left" vertical="center" wrapText="1"/>
    </xf>
    <xf numFmtId="0" fontId="3" fillId="2" borderId="37" applyAlignment="1" pivotButton="0" quotePrefix="0" xfId="0">
      <alignment horizontal="left" vertical="center" wrapText="1"/>
    </xf>
    <xf numFmtId="0" fontId="51" fillId="0" borderId="34" applyAlignment="1" pivotButton="0" quotePrefix="0" xfId="0">
      <alignment horizontal="left" vertical="center" wrapText="1"/>
    </xf>
    <xf numFmtId="0" fontId="51" fillId="0" borderId="0" applyAlignment="1" pivotButton="0" quotePrefix="0" xfId="0">
      <alignment horizontal="left" vertical="center" wrapText="1"/>
    </xf>
    <xf numFmtId="0" fontId="51" fillId="0" borderId="4" applyAlignment="1" pivotButton="0" quotePrefix="0" xfId="0">
      <alignment horizontal="left" vertical="center" wrapText="1"/>
    </xf>
    <xf numFmtId="0" fontId="39" fillId="0" borderId="34" applyAlignment="1" pivotButton="0" quotePrefix="0" xfId="0">
      <alignment horizontal="left" vertical="top" wrapText="1"/>
    </xf>
    <xf numFmtId="0" fontId="39" fillId="0" borderId="0" applyAlignment="1" pivotButton="0" quotePrefix="0" xfId="0">
      <alignment horizontal="left" vertical="top" wrapText="1"/>
    </xf>
    <xf numFmtId="0" fontId="39" fillId="0" borderId="4" applyAlignment="1" pivotButton="0" quotePrefix="0" xfId="0">
      <alignment horizontal="left" vertical="top" wrapText="1"/>
    </xf>
    <xf numFmtId="0" fontId="9" fillId="4" borderId="9" applyAlignment="1" pivotButton="0" quotePrefix="0" xfId="0">
      <alignment horizontal="center"/>
    </xf>
    <xf numFmtId="0" fontId="0" fillId="0" borderId="7" applyAlignment="1" pivotButton="0" quotePrefix="0" xfId="0">
      <alignment horizontal="center"/>
    </xf>
    <xf numFmtId="0" fontId="9" fillId="4" borderId="7" applyAlignment="1" pivotButton="0" quotePrefix="0" xfId="0">
      <alignment horizontal="center"/>
    </xf>
    <xf numFmtId="0" fontId="0" fillId="0" borderId="8" applyAlignment="1" pivotButton="0" quotePrefix="0" xfId="0">
      <alignment horizontal="center"/>
    </xf>
    <xf numFmtId="0" fontId="60" fillId="0" borderId="74" applyAlignment="1" pivotButton="0" quotePrefix="0" xfId="0">
      <alignment horizontal="center" vertical="center"/>
    </xf>
    <xf numFmtId="0" fontId="60" fillId="0" borderId="75" applyAlignment="1" pivotButton="0" quotePrefix="0" xfId="0">
      <alignment horizontal="center" vertical="center"/>
    </xf>
    <xf numFmtId="0" fontId="60" fillId="0" borderId="75" applyAlignment="1" applyProtection="1" pivotButton="0" quotePrefix="0" xfId="0">
      <alignment horizontal="center" vertical="center" wrapText="1"/>
      <protection locked="0" hidden="0"/>
    </xf>
    <xf numFmtId="0" fontId="60" fillId="0" borderId="76" applyAlignment="1" applyProtection="1" pivotButton="0" quotePrefix="0" xfId="0">
      <alignment horizontal="center" vertical="center" wrapText="1"/>
      <protection locked="0" hidden="0"/>
    </xf>
    <xf numFmtId="0" fontId="39" fillId="0" borderId="34" applyAlignment="1" pivotButton="0" quotePrefix="0" xfId="0">
      <alignment vertical="top" wrapText="1"/>
    </xf>
    <xf numFmtId="0" fontId="39" fillId="0" borderId="0" applyAlignment="1" pivotButton="0" quotePrefix="0" xfId="0">
      <alignment vertical="top" wrapText="1"/>
    </xf>
    <xf numFmtId="0" fontId="39" fillId="0" borderId="4" applyAlignment="1" pivotButton="0" quotePrefix="0" xfId="0">
      <alignment vertical="top" wrapText="1"/>
    </xf>
    <xf numFmtId="0" fontId="15" fillId="2" borderId="1" applyAlignment="1" pivotButton="0" quotePrefix="0" xfId="0">
      <alignment horizontal="left" vertical="center" wrapText="1"/>
    </xf>
    <xf numFmtId="0" fontId="15" fillId="2" borderId="43" applyAlignment="1" pivotButton="0" quotePrefix="0" xfId="0">
      <alignment horizontal="left" vertical="center" wrapText="1"/>
    </xf>
    <xf numFmtId="0" fontId="3" fillId="2" borderId="42" applyAlignment="1" pivotButton="0" quotePrefix="0" xfId="0">
      <alignment horizontal="left" vertical="center" wrapText="1"/>
    </xf>
    <xf numFmtId="0" fontId="3" fillId="2" borderId="1" applyAlignment="1" pivotButton="0" quotePrefix="0" xfId="0">
      <alignment horizontal="left" vertical="center" wrapText="1"/>
    </xf>
    <xf numFmtId="0" fontId="3" fillId="2" borderId="43" applyAlignment="1" pivotButton="0" quotePrefix="0" xfId="0">
      <alignment horizontal="left" vertical="center" wrapText="1"/>
    </xf>
    <xf numFmtId="0" fontId="28" fillId="3" borderId="13" applyAlignment="1" pivotButton="0" quotePrefix="0" xfId="0">
      <alignment horizontal="left" vertical="center" wrapText="1"/>
    </xf>
    <xf numFmtId="0" fontId="23" fillId="0" borderId="77" applyAlignment="1" applyProtection="1" pivotButton="0" quotePrefix="0" xfId="0">
      <alignment horizontal="center" vertical="center" wrapText="1"/>
      <protection locked="0" hidden="0"/>
    </xf>
    <xf numFmtId="0" fontId="23" fillId="0" borderId="18" applyAlignment="1" applyProtection="1" pivotButton="0" quotePrefix="0" xfId="0">
      <alignment horizontal="center" vertical="center" wrapText="1"/>
      <protection locked="0" hidden="0"/>
    </xf>
    <xf numFmtId="0" fontId="23" fillId="0" borderId="53" applyAlignment="1" applyProtection="1" pivotButton="0" quotePrefix="0" xfId="0">
      <alignment horizontal="center" vertical="center" wrapText="1"/>
      <protection locked="0" hidden="0"/>
    </xf>
    <xf numFmtId="0" fontId="23" fillId="0" borderId="61" applyAlignment="1" applyProtection="1" pivotButton="0" quotePrefix="0" xfId="0">
      <alignment horizontal="center" vertical="center" wrapText="1"/>
      <protection locked="0" hidden="0"/>
    </xf>
    <xf numFmtId="0" fontId="23" fillId="0" borderId="74" applyAlignment="1" applyProtection="1" pivotButton="0" quotePrefix="0" xfId="0">
      <alignment horizontal="center" vertical="center" wrapText="1"/>
      <protection locked="0" hidden="0"/>
    </xf>
    <xf numFmtId="0" fontId="23" fillId="0" borderId="62" applyAlignment="1" applyProtection="1" pivotButton="0" quotePrefix="0" xfId="0">
      <alignment horizontal="center" vertical="center" wrapText="1"/>
      <protection locked="0" hidden="0"/>
    </xf>
    <xf numFmtId="0" fontId="1" fillId="3" borderId="9" applyAlignment="1" pivotButton="0" quotePrefix="0" xfId="0">
      <alignment horizontal="center" vertical="center" wrapText="1"/>
    </xf>
    <xf numFmtId="0" fontId="1" fillId="3" borderId="7" applyAlignment="1" pivotButton="0" quotePrefix="0" xfId="0">
      <alignment horizontal="center" vertical="center" wrapText="1"/>
    </xf>
    <xf numFmtId="0" fontId="1" fillId="3" borderId="8" applyAlignment="1" pivotButton="0" quotePrefix="0" xfId="0">
      <alignment horizontal="center" vertical="center" wrapText="1"/>
    </xf>
    <xf numFmtId="0" fontId="1" fillId="2" borderId="9" applyAlignment="1" pivotButton="0" quotePrefix="0" xfId="0">
      <alignment horizontal="center" vertical="center" wrapText="1"/>
    </xf>
    <xf numFmtId="0" fontId="1" fillId="2" borderId="7" applyAlignment="1" pivotButton="0" quotePrefix="0" xfId="0">
      <alignment horizontal="center" vertical="center" wrapText="1"/>
    </xf>
    <xf numFmtId="0" fontId="1" fillId="2" borderId="8" applyAlignment="1" pivotButton="0" quotePrefix="0" xfId="0">
      <alignment horizontal="center" vertical="center" wrapText="1"/>
    </xf>
    <xf numFmtId="0" fontId="3" fillId="2" borderId="57" applyAlignment="1" pivotButton="0" quotePrefix="0" xfId="0">
      <alignment horizontal="center" vertical="center" wrapText="1"/>
    </xf>
    <xf numFmtId="0" fontId="3" fillId="2" borderId="7" applyAlignment="1" pivotButton="0" quotePrefix="0" xfId="0">
      <alignment horizontal="center" vertical="center" wrapText="1"/>
    </xf>
    <xf numFmtId="0" fontId="3" fillId="2" borderId="8" applyAlignment="1" pivotButton="0" quotePrefix="0" xfId="0">
      <alignment horizontal="center" vertical="center" wrapText="1"/>
    </xf>
    <xf numFmtId="0" fontId="10" fillId="4" borderId="49" applyAlignment="1" pivotButton="0" quotePrefix="0" xfId="0">
      <alignment horizontal="center" vertical="center"/>
    </xf>
    <xf numFmtId="0" fontId="10" fillId="4" borderId="22" applyAlignment="1" pivotButton="0" quotePrefix="0" xfId="0">
      <alignment horizontal="center" vertical="center"/>
    </xf>
    <xf numFmtId="0" fontId="10" fillId="4" borderId="50" applyAlignment="1" pivotButton="0" quotePrefix="0" xfId="0">
      <alignment horizontal="center" vertical="center"/>
    </xf>
    <xf numFmtId="14" fontId="2" fillId="4" borderId="24" applyAlignment="1" pivotButton="0" quotePrefix="0" xfId="0">
      <alignment horizontal="center" vertical="center"/>
    </xf>
    <xf numFmtId="14" fontId="2" fillId="4" borderId="51" applyAlignment="1" pivotButton="0" quotePrefix="0" xfId="0">
      <alignment horizontal="center" vertical="center"/>
    </xf>
    <xf numFmtId="0" fontId="3" fillId="2" borderId="9" applyAlignment="1" pivotButton="0" quotePrefix="0" xfId="0">
      <alignment horizontal="left" vertical="center" wrapText="1"/>
    </xf>
    <xf numFmtId="0" fontId="3" fillId="2" borderId="7" applyAlignment="1" pivotButton="0" quotePrefix="0" xfId="0">
      <alignment horizontal="left" vertical="center" wrapText="1"/>
    </xf>
    <xf numFmtId="0" fontId="3" fillId="2" borderId="56" applyAlignment="1" pivotButton="0" quotePrefix="0" xfId="0">
      <alignment horizontal="left" vertical="center" wrapText="1"/>
    </xf>
    <xf numFmtId="0" fontId="1" fillId="3" borderId="5" applyAlignment="1" pivotButton="0" quotePrefix="0" xfId="0">
      <alignment horizontal="center" vertical="center" wrapText="1"/>
    </xf>
    <xf numFmtId="0" fontId="1" fillId="3" borderId="11" applyAlignment="1" pivotButton="0" quotePrefix="0" xfId="0">
      <alignment horizontal="center" vertical="center" wrapText="1"/>
    </xf>
    <xf numFmtId="0" fontId="1" fillId="2" borderId="12" applyAlignment="1" pivotButton="0" quotePrefix="0" xfId="0">
      <alignment horizontal="center" vertical="center" textRotation="90" wrapText="1"/>
    </xf>
    <xf numFmtId="0" fontId="1" fillId="2" borderId="48" applyAlignment="1" pivotButton="0" quotePrefix="0" xfId="0">
      <alignment horizontal="center" vertical="center" textRotation="90" wrapText="1"/>
    </xf>
    <xf numFmtId="0" fontId="1" fillId="2" borderId="14" applyAlignment="1" pivotButton="0" quotePrefix="0" xfId="0">
      <alignment horizontal="center" vertical="center" textRotation="90" wrapText="1"/>
    </xf>
    <xf numFmtId="0" fontId="2" fillId="4" borderId="24" applyAlignment="1" pivotButton="0" quotePrefix="0" xfId="0">
      <alignment horizontal="center" vertical="center"/>
    </xf>
    <xf numFmtId="0" fontId="2" fillId="4" borderId="36" applyAlignment="1" pivotButton="0" quotePrefix="0" xfId="0">
      <alignment horizontal="center" vertical="center"/>
    </xf>
    <xf numFmtId="0" fontId="22" fillId="0" borderId="16" applyAlignment="1" applyProtection="1" pivotButton="0" quotePrefix="0" xfId="0">
      <alignment horizontal="left" vertical="center" wrapText="1"/>
      <protection locked="0" hidden="0"/>
    </xf>
    <xf numFmtId="0" fontId="22" fillId="0" borderId="17" applyAlignment="1" applyProtection="1" pivotButton="0" quotePrefix="0" xfId="0">
      <alignment horizontal="left" vertical="center" wrapText="1"/>
      <protection locked="0" hidden="0"/>
    </xf>
    <xf numFmtId="0" fontId="22" fillId="0" borderId="24" applyAlignment="1" applyProtection="1" pivotButton="0" quotePrefix="0" xfId="0">
      <alignment horizontal="left" vertical="center" wrapText="1"/>
      <protection locked="0" hidden="0"/>
    </xf>
    <xf numFmtId="0" fontId="22" fillId="0" borderId="36" applyAlignment="1" applyProtection="1" pivotButton="0" quotePrefix="0" xfId="0">
      <alignment horizontal="left" vertical="center" wrapText="1"/>
      <protection locked="0" hidden="0"/>
    </xf>
    <xf numFmtId="0" fontId="19" fillId="2" borderId="5" applyAlignment="1" pivotButton="0" quotePrefix="0" xfId="0">
      <alignment horizontal="center" vertical="center" wrapText="1"/>
    </xf>
    <xf numFmtId="0" fontId="22" fillId="0" borderId="49" applyAlignment="1" applyProtection="1" pivotButton="0" quotePrefix="0" xfId="0">
      <alignment horizontal="left" vertical="center" wrapText="1"/>
      <protection locked="0" hidden="0"/>
    </xf>
    <xf numFmtId="0" fontId="22" fillId="0" borderId="75" applyAlignment="1" applyProtection="1" pivotButton="0" quotePrefix="0" xfId="0">
      <alignment horizontal="left" vertical="center" wrapText="1"/>
      <protection locked="0" hidden="0"/>
    </xf>
    <xf numFmtId="0" fontId="22" fillId="0" borderId="37" applyAlignment="1" applyProtection="1" pivotButton="0" quotePrefix="0" xfId="0">
      <alignment horizontal="left" vertical="center" wrapText="1"/>
      <protection locked="0" hidden="0"/>
    </xf>
    <xf numFmtId="0" fontId="22" fillId="6" borderId="16" applyAlignment="1" applyProtection="1" pivotButton="0" quotePrefix="0" xfId="0">
      <alignment horizontal="left" vertical="center" wrapText="1"/>
      <protection locked="0" hidden="0"/>
    </xf>
    <xf numFmtId="0" fontId="22" fillId="6" borderId="37" applyAlignment="1" applyProtection="1" pivotButton="0" quotePrefix="0" xfId="0">
      <alignment horizontal="left" vertical="center" wrapText="1"/>
      <protection locked="0" hidden="0"/>
    </xf>
    <xf numFmtId="0" fontId="22" fillId="0" borderId="81" applyAlignment="1" applyProtection="1" pivotButton="0" quotePrefix="0" xfId="0">
      <alignment horizontal="left" vertical="center" wrapText="1"/>
      <protection locked="0" hidden="0"/>
    </xf>
    <xf numFmtId="0" fontId="1" fillId="3" borderId="56" applyAlignment="1" pivotButton="0" quotePrefix="0" xfId="0">
      <alignment horizontal="center" vertical="center" wrapText="1"/>
    </xf>
    <xf numFmtId="0" fontId="7" fillId="0" borderId="87" applyAlignment="1" applyProtection="1" pivotButton="0" quotePrefix="0" xfId="0">
      <alignment horizontal="center" vertical="center" wrapText="1"/>
      <protection locked="0" hidden="0"/>
    </xf>
    <xf numFmtId="0" fontId="7" fillId="0" borderId="89" applyAlignment="1" applyProtection="1" pivotButton="0" quotePrefix="0" xfId="0">
      <alignment horizontal="center" vertical="center" wrapText="1"/>
      <protection locked="0" hidden="0"/>
    </xf>
    <xf numFmtId="0" fontId="40" fillId="2" borderId="9" applyAlignment="1" pivotButton="0" quotePrefix="0" xfId="0">
      <alignment horizontal="center" vertical="center" wrapText="1"/>
    </xf>
    <xf numFmtId="0" fontId="40" fillId="2" borderId="7" applyAlignment="1" pivotButton="0" quotePrefix="0" xfId="0">
      <alignment horizontal="center" vertical="center" wrapText="1"/>
    </xf>
    <xf numFmtId="0" fontId="40" fillId="2" borderId="8" applyAlignment="1" pivotButton="0" quotePrefix="0" xfId="0">
      <alignment horizontal="center" vertical="center" wrapText="1"/>
    </xf>
    <xf numFmtId="0" fontId="10" fillId="4" borderId="59" applyAlignment="1" pivotButton="0" quotePrefix="0" xfId="0">
      <alignment horizontal="center" vertical="center"/>
    </xf>
    <xf numFmtId="0" fontId="7" fillId="0" borderId="72" applyAlignment="1" applyProtection="1" pivotButton="0" quotePrefix="0" xfId="0">
      <alignment horizontal="center" vertical="center" wrapText="1"/>
      <protection locked="0" hidden="0"/>
    </xf>
    <xf numFmtId="0" fontId="7" fillId="0" borderId="91" applyAlignment="1" applyProtection="1" pivotButton="0" quotePrefix="0" xfId="0">
      <alignment horizontal="center" vertical="center" wrapText="1"/>
      <protection locked="0" hidden="0"/>
    </xf>
    <xf numFmtId="0" fontId="1" fillId="3" borderId="5" applyAlignment="1" pivotButton="0" quotePrefix="0" xfId="0">
      <alignment horizontal="left" vertical="top" wrapText="1"/>
    </xf>
    <xf numFmtId="0" fontId="1" fillId="3" borderId="10" applyAlignment="1" pivotButton="0" quotePrefix="0" xfId="0">
      <alignment horizontal="left" vertical="top" wrapText="1"/>
    </xf>
    <xf numFmtId="0" fontId="1" fillId="3" borderId="11" applyAlignment="1" pivotButton="0" quotePrefix="0" xfId="0">
      <alignment horizontal="left" vertical="top" wrapText="1"/>
    </xf>
    <xf numFmtId="0" fontId="1" fillId="3" borderId="34" applyAlignment="1" pivotButton="0" quotePrefix="0" xfId="0">
      <alignment horizontal="left" vertical="top" wrapText="1"/>
    </xf>
    <xf numFmtId="0" fontId="1" fillId="3" borderId="0" applyAlignment="1" pivotButton="0" quotePrefix="0" xfId="0">
      <alignment horizontal="left" vertical="top" wrapText="1"/>
    </xf>
    <xf numFmtId="0" fontId="1" fillId="3" borderId="4" applyAlignment="1" pivotButton="0" quotePrefix="0" xfId="0">
      <alignment horizontal="left" vertical="top" wrapText="1"/>
    </xf>
    <xf numFmtId="0" fontId="1" fillId="3" borderId="6" applyAlignment="1" pivotButton="0" quotePrefix="0" xfId="0">
      <alignment horizontal="left" vertical="top" wrapText="1"/>
    </xf>
    <xf numFmtId="0" fontId="1" fillId="3" borderId="2" applyAlignment="1" pivotButton="0" quotePrefix="0" xfId="0">
      <alignment horizontal="left" vertical="top" wrapText="1"/>
    </xf>
    <xf numFmtId="0" fontId="1" fillId="3" borderId="3" applyAlignment="1" pivotButton="0" quotePrefix="0" xfId="0">
      <alignment horizontal="left" vertical="top" wrapText="1"/>
    </xf>
    <xf numFmtId="0" fontId="20" fillId="3" borderId="6" applyAlignment="1" applyProtection="1" pivotButton="0" quotePrefix="0" xfId="0">
      <alignment horizontal="left" vertical="top" wrapText="1"/>
      <protection locked="0" hidden="0"/>
    </xf>
    <xf numFmtId="0" fontId="20" fillId="3" borderId="2" applyAlignment="1" applyProtection="1" pivotButton="0" quotePrefix="0" xfId="0">
      <alignment horizontal="left" vertical="top" wrapText="1"/>
      <protection locked="0" hidden="0"/>
    </xf>
    <xf numFmtId="0" fontId="20" fillId="3" borderId="3" applyAlignment="1" applyProtection="1" pivotButton="0" quotePrefix="0" xfId="0">
      <alignment horizontal="left" vertical="top" wrapText="1"/>
      <protection locked="0" hidden="0"/>
    </xf>
    <xf numFmtId="0" fontId="3" fillId="3" borderId="9" applyAlignment="1" pivotButton="0" quotePrefix="0" xfId="0">
      <alignment horizontal="center" vertical="center" wrapText="1"/>
    </xf>
    <xf numFmtId="0" fontId="3" fillId="3" borderId="7" applyAlignment="1" pivotButton="0" quotePrefix="0" xfId="0">
      <alignment horizontal="center" vertical="center" wrapText="1"/>
    </xf>
    <xf numFmtId="0" fontId="3" fillId="3" borderId="8" applyAlignment="1" pivotButton="0" quotePrefix="0" xfId="0">
      <alignment horizontal="center" vertical="center" wrapText="1"/>
    </xf>
    <xf numFmtId="0" fontId="1" fillId="2" borderId="6" applyAlignment="1" pivotButton="0" quotePrefix="0" xfId="0">
      <alignment horizontal="center" vertical="center" wrapText="1"/>
    </xf>
    <xf numFmtId="0" fontId="1" fillId="2" borderId="2" applyAlignment="1" pivotButton="0" quotePrefix="0" xfId="0">
      <alignment horizontal="center" vertical="center" wrapText="1"/>
    </xf>
    <xf numFmtId="0" fontId="1" fillId="2" borderId="3" applyAlignment="1" pivotButton="0" quotePrefix="0" xfId="0">
      <alignment horizontal="center" vertical="center" wrapText="1"/>
    </xf>
    <xf numFmtId="0" fontId="21" fillId="0" borderId="5" applyAlignment="1" pivotButton="0" quotePrefix="0" xfId="0">
      <alignment horizontal="left" wrapText="1"/>
    </xf>
    <xf numFmtId="0" fontId="20" fillId="0" borderId="10" applyAlignment="1" pivotButton="0" quotePrefix="0" xfId="0">
      <alignment horizontal="left" wrapText="1"/>
    </xf>
    <xf numFmtId="0" fontId="20" fillId="0" borderId="11" applyAlignment="1" pivotButton="0" quotePrefix="0" xfId="0">
      <alignment horizontal="left" wrapText="1"/>
    </xf>
    <xf numFmtId="0" fontId="16" fillId="2" borderId="5" applyAlignment="1" pivotButton="0" quotePrefix="0" xfId="0">
      <alignment horizontal="center" vertical="center" wrapText="1"/>
    </xf>
    <xf numFmtId="0" fontId="16" fillId="2" borderId="10" applyAlignment="1" pivotButton="0" quotePrefix="0" xfId="0">
      <alignment horizontal="center" vertical="center" wrapText="1"/>
    </xf>
    <xf numFmtId="0" fontId="16" fillId="2" borderId="11" applyAlignment="1" pivotButton="0" quotePrefix="0" xfId="0">
      <alignment horizontal="center" vertical="center" wrapText="1"/>
    </xf>
    <xf numFmtId="0" fontId="10" fillId="4" borderId="26" applyAlignment="1" pivotButton="0" quotePrefix="0" xfId="0">
      <alignment horizontal="center" vertical="center"/>
    </xf>
    <xf numFmtId="14" fontId="2" fillId="4" borderId="23" applyAlignment="1" pivotButton="0" quotePrefix="0" xfId="0">
      <alignment horizontal="center" vertical="center"/>
    </xf>
    <xf numFmtId="0" fontId="32" fillId="5" borderId="34" applyAlignment="1" applyProtection="1" pivotButton="0" quotePrefix="0" xfId="0">
      <alignment horizontal="left"/>
      <protection locked="0" hidden="0"/>
    </xf>
    <xf numFmtId="0" fontId="32" fillId="5" borderId="0" applyAlignment="1" applyProtection="1" pivotButton="0" quotePrefix="0" xfId="0">
      <alignment horizontal="left"/>
      <protection locked="0" hidden="0"/>
    </xf>
    <xf numFmtId="0" fontId="2" fillId="0" borderId="34" applyAlignment="1" pivotButton="0" quotePrefix="0" xfId="0">
      <alignment horizontal="left"/>
    </xf>
    <xf numFmtId="0" fontId="2" fillId="0" borderId="0" applyAlignment="1" pivotButton="0" quotePrefix="0" xfId="0">
      <alignment horizontal="left"/>
    </xf>
    <xf numFmtId="0" fontId="2" fillId="0" borderId="6" applyAlignment="1" pivotButton="0" quotePrefix="0" xfId="0">
      <alignment horizontal="left"/>
    </xf>
    <xf numFmtId="0" fontId="2" fillId="0" borderId="2" applyAlignment="1" pivotButton="0" quotePrefix="0" xfId="0">
      <alignment horizontal="left"/>
    </xf>
    <xf numFmtId="0" fontId="3" fillId="2" borderId="9" applyAlignment="1" pivotButton="0" quotePrefix="0" xfId="0">
      <alignment horizontal="center" vertical="center" wrapText="1"/>
    </xf>
    <xf numFmtId="0" fontId="16" fillId="2" borderId="9" applyAlignment="1" pivotButton="0" quotePrefix="0" xfId="0">
      <alignment horizontal="center" vertical="center" wrapText="1"/>
    </xf>
    <xf numFmtId="0" fontId="16" fillId="2" borderId="7" applyAlignment="1" pivotButton="0" quotePrefix="0" xfId="0">
      <alignment horizontal="center" vertical="center" wrapText="1"/>
    </xf>
    <xf numFmtId="0" fontId="16" fillId="2" borderId="8" applyAlignment="1" pivotButton="0" quotePrefix="0" xfId="0">
      <alignment horizontal="center" vertical="center" wrapText="1"/>
    </xf>
    <xf numFmtId="0" fontId="42" fillId="6" borderId="9" applyAlignment="1" pivotButton="0" quotePrefix="0" xfId="0">
      <alignment vertical="center" wrapText="1"/>
    </xf>
    <xf numFmtId="0" fontId="42" fillId="6" borderId="7" applyAlignment="1" pivotButton="0" quotePrefix="0" xfId="0">
      <alignment vertical="center" wrapText="1"/>
    </xf>
    <xf numFmtId="0" fontId="42" fillId="6" borderId="8" applyAlignment="1" pivotButton="0" quotePrefix="0" xfId="0">
      <alignment vertical="center" wrapText="1"/>
    </xf>
    <xf numFmtId="0" fontId="42" fillId="6" borderId="6" applyAlignment="1" pivotButton="0" quotePrefix="0" xfId="0">
      <alignment horizontal="left" vertical="top" wrapText="1"/>
    </xf>
    <xf numFmtId="0" fontId="42" fillId="6" borderId="2" applyAlignment="1" pivotButton="0" quotePrefix="0" xfId="0">
      <alignment horizontal="left" vertical="top" wrapText="1"/>
    </xf>
    <xf numFmtId="0" fontId="42" fillId="6" borderId="3" applyAlignment="1" pivotButton="0" quotePrefix="0" xfId="0">
      <alignment horizontal="left" vertical="top" wrapText="1"/>
    </xf>
    <xf numFmtId="0" fontId="41" fillId="6" borderId="34" applyAlignment="1" pivotButton="0" quotePrefix="0" xfId="0">
      <alignment horizontal="left" vertical="center" wrapText="1" indent="1"/>
    </xf>
    <xf numFmtId="0" fontId="41" fillId="6" borderId="0" applyAlignment="1" pivotButton="0" quotePrefix="0" xfId="0">
      <alignment horizontal="left" vertical="center" wrapText="1" indent="1"/>
    </xf>
    <xf numFmtId="0" fontId="41" fillId="6" borderId="4" applyAlignment="1" pivotButton="0" quotePrefix="0" xfId="0">
      <alignment horizontal="left" vertical="center" wrapText="1" indent="1"/>
    </xf>
    <xf numFmtId="0" fontId="42" fillId="6" borderId="34" applyAlignment="1" pivotButton="0" quotePrefix="0" xfId="0">
      <alignment horizontal="left" vertical="center" wrapText="1" indent="1"/>
    </xf>
    <xf numFmtId="0" fontId="42" fillId="6" borderId="0" applyAlignment="1" pivotButton="0" quotePrefix="0" xfId="0">
      <alignment horizontal="left" vertical="center" wrapText="1" indent="1"/>
    </xf>
    <xf numFmtId="0" fontId="42" fillId="6" borderId="4" applyAlignment="1" pivotButton="0" quotePrefix="0" xfId="0">
      <alignment horizontal="left" vertical="center" wrapText="1" indent="1"/>
    </xf>
    <xf numFmtId="0" fontId="16" fillId="6" borderId="34" applyAlignment="1" pivotButton="0" quotePrefix="0" xfId="0">
      <alignment horizontal="center" vertical="center" wrapText="1"/>
    </xf>
    <xf numFmtId="0" fontId="16" fillId="6" borderId="0" applyAlignment="1" pivotButton="0" quotePrefix="0" xfId="0">
      <alignment horizontal="center" vertical="center" wrapText="1"/>
    </xf>
    <xf numFmtId="0" fontId="16" fillId="6" borderId="4" applyAlignment="1" pivotButton="0" quotePrefix="0" xfId="0">
      <alignment horizontal="center" vertical="center" wrapText="1"/>
    </xf>
    <xf numFmtId="0" fontId="16" fillId="3" borderId="5" applyAlignment="1" pivotButton="0" quotePrefix="0" xfId="0">
      <alignment horizontal="center" vertical="center" wrapText="1"/>
    </xf>
    <xf numFmtId="0" fontId="16" fillId="3" borderId="10" applyAlignment="1" pivotButton="0" quotePrefix="0" xfId="0">
      <alignment horizontal="center" vertical="center" wrapText="1"/>
    </xf>
    <xf numFmtId="0" fontId="16" fillId="3" borderId="11" applyAlignment="1" pivotButton="0" quotePrefix="0" xfId="0">
      <alignment horizontal="center" vertical="center" wrapText="1"/>
    </xf>
    <xf numFmtId="0" fontId="16" fillId="3" borderId="6" applyAlignment="1" pivotButton="0" quotePrefix="0" xfId="0">
      <alignment horizontal="center" vertical="center" wrapText="1"/>
    </xf>
    <xf numFmtId="0" fontId="16" fillId="3" borderId="2" applyAlignment="1" pivotButton="0" quotePrefix="0" xfId="0">
      <alignment horizontal="center" vertical="center" wrapText="1"/>
    </xf>
    <xf numFmtId="0" fontId="16" fillId="3" borderId="3" applyAlignment="1" pivotButton="0" quotePrefix="0" xfId="0">
      <alignment horizontal="center" vertical="center" wrapText="1"/>
    </xf>
    <xf numFmtId="0" fontId="42" fillId="6" borderId="9" applyAlignment="1" pivotButton="0" quotePrefix="0" xfId="0">
      <alignment horizontal="left" vertical="center" wrapText="1"/>
    </xf>
    <xf numFmtId="0" fontId="42" fillId="6" borderId="7" applyAlignment="1" pivotButton="0" quotePrefix="0" xfId="0">
      <alignment horizontal="left" vertical="center" wrapText="1"/>
    </xf>
    <xf numFmtId="0" fontId="42" fillId="6" borderId="8" applyAlignment="1" pivotButton="0" quotePrefix="0" xfId="0">
      <alignment horizontal="left" vertical="center" wrapText="1"/>
    </xf>
    <xf numFmtId="0" fontId="42" fillId="6" borderId="34" applyAlignment="1" pivotButton="0" quotePrefix="0" xfId="0">
      <alignment horizontal="left" vertical="center" wrapText="1"/>
    </xf>
    <xf numFmtId="0" fontId="42" fillId="6" borderId="0" applyAlignment="1" pivotButton="0" quotePrefix="0" xfId="0">
      <alignment horizontal="left" vertical="center" wrapText="1"/>
    </xf>
    <xf numFmtId="0" fontId="42" fillId="6" borderId="4" applyAlignment="1" pivotButton="0" quotePrefix="0" xfId="0">
      <alignment horizontal="left" vertical="center" wrapText="1"/>
    </xf>
    <xf numFmtId="0" fontId="42" fillId="6" borderId="6" applyAlignment="1" pivotButton="0" quotePrefix="0" xfId="0">
      <alignment horizontal="left" vertical="center" wrapText="1"/>
    </xf>
    <xf numFmtId="0" fontId="42" fillId="6" borderId="2" applyAlignment="1" pivotButton="0" quotePrefix="0" xfId="0">
      <alignment horizontal="left" vertical="center" wrapText="1"/>
    </xf>
    <xf numFmtId="0" fontId="42" fillId="6" borderId="3" applyAlignment="1" pivotButton="0" quotePrefix="0" xfId="0">
      <alignment horizontal="left" vertical="center" wrapText="1"/>
    </xf>
    <xf numFmtId="0" fontId="52" fillId="6" borderId="5" applyAlignment="1" pivotButton="0" quotePrefix="0" xfId="0">
      <alignment horizontal="left" vertical="top" wrapText="1"/>
    </xf>
    <xf numFmtId="0" fontId="42" fillId="6" borderId="10" applyAlignment="1" pivotButton="0" quotePrefix="0" xfId="0">
      <alignment horizontal="left" vertical="top" wrapText="1"/>
    </xf>
    <xf numFmtId="0" fontId="42" fillId="6" borderId="11" applyAlignment="1" pivotButton="0" quotePrefix="0" xfId="0">
      <alignment horizontal="left" vertical="top" wrapText="1"/>
    </xf>
    <xf numFmtId="0" fontId="49" fillId="6" borderId="34" applyAlignment="1" pivotButton="0" quotePrefix="0" xfId="0">
      <alignment horizontal="left" vertical="center" wrapText="1"/>
    </xf>
    <xf numFmtId="0" fontId="49" fillId="6" borderId="0" applyAlignment="1" pivotButton="0" quotePrefix="0" xfId="0">
      <alignment horizontal="left" vertical="center" wrapText="1"/>
    </xf>
    <xf numFmtId="0" fontId="49" fillId="6" borderId="4" applyAlignment="1" pivotButton="0" quotePrefix="0" xfId="0">
      <alignment horizontal="left" vertical="center" wrapText="1"/>
    </xf>
    <xf numFmtId="0" fontId="1" fillId="2" borderId="14" applyAlignment="1" pivotButton="0" quotePrefix="0" xfId="0">
      <alignment horizontal="center" vertical="center" wrapText="1"/>
    </xf>
    <xf numFmtId="0" fontId="3" fillId="2" borderId="8" applyAlignment="1" pivotButton="0" quotePrefix="0" xfId="0">
      <alignment horizontal="left" vertical="center" wrapText="1"/>
    </xf>
    <xf numFmtId="0" fontId="1" fillId="7" borderId="12" applyAlignment="1" pivotButton="0" quotePrefix="0" xfId="0">
      <alignment horizontal="center" vertical="center" wrapText="1"/>
    </xf>
    <xf numFmtId="0" fontId="1" fillId="7" borderId="48" applyAlignment="1" pivotButton="0" quotePrefix="0" xfId="0">
      <alignment horizontal="center" vertical="center" wrapText="1"/>
    </xf>
    <xf numFmtId="0" fontId="1" fillId="7" borderId="14" applyAlignment="1" pivotButton="0" quotePrefix="0" xfId="0">
      <alignment horizontal="center" vertical="center" wrapText="1"/>
    </xf>
    <xf numFmtId="0" fontId="2" fillId="3" borderId="9" applyAlignment="1" pivotButton="0" quotePrefix="0" xfId="0">
      <alignment horizontal="center" vertical="center" wrapText="1"/>
    </xf>
    <xf numFmtId="0" fontId="2" fillId="3" borderId="7" applyAlignment="1" pivotButton="0" quotePrefix="0" xfId="0">
      <alignment horizontal="center" vertical="center" wrapText="1"/>
    </xf>
    <xf numFmtId="0" fontId="17" fillId="2" borderId="7" applyAlignment="1" pivotButton="0" quotePrefix="0" xfId="0">
      <alignment horizontal="center" vertical="center" wrapText="1"/>
    </xf>
    <xf numFmtId="0" fontId="17" fillId="2" borderId="8" applyAlignment="1" pivotButton="0" quotePrefix="0" xfId="0">
      <alignment horizontal="center" vertical="center" wrapText="1"/>
    </xf>
    <xf numFmtId="0" fontId="3" fillId="2" borderId="134" applyAlignment="1" pivotButton="0" quotePrefix="0" xfId="0">
      <alignment horizontal="left" vertical="center" wrapText="1"/>
    </xf>
    <xf numFmtId="0" fontId="0" fillId="0" borderId="40" pivotButton="0" quotePrefix="0" xfId="0"/>
    <xf numFmtId="0" fontId="3" fillId="2" borderId="135" applyAlignment="1" pivotButton="0" quotePrefix="0" xfId="0">
      <alignment horizontal="center" vertical="center" wrapText="1"/>
    </xf>
    <xf numFmtId="0" fontId="20" fillId="4" borderId="116" applyAlignment="1" pivotButton="0" quotePrefix="0" xfId="0">
      <alignment horizontal="center" vertical="center"/>
    </xf>
    <xf numFmtId="0" fontId="0" fillId="0" borderId="62" pivotButton="0" quotePrefix="0" xfId="0"/>
    <xf numFmtId="0" fontId="0" fillId="0" borderId="22" pivotButton="0" quotePrefix="0" xfId="0"/>
    <xf numFmtId="0" fontId="0" fillId="0" borderId="50" pivotButton="0" quotePrefix="0" xfId="0"/>
    <xf numFmtId="0" fontId="20" fillId="4" borderId="27" applyAlignment="1" pivotButton="0" quotePrefix="0" xfId="0">
      <alignment horizontal="center" vertical="center"/>
    </xf>
    <xf numFmtId="0" fontId="0" fillId="0" borderId="33" pivotButton="0" quotePrefix="0" xfId="0"/>
    <xf numFmtId="0" fontId="0" fillId="0" borderId="137" pivotButton="0" quotePrefix="0" xfId="0"/>
    <xf numFmtId="49" fontId="22" fillId="0" borderId="30" applyAlignment="1" applyProtection="1" pivotButton="0" quotePrefix="0" xfId="0">
      <alignment horizontal="center" vertical="center" wrapText="1"/>
      <protection locked="0" hidden="0"/>
    </xf>
    <xf numFmtId="0" fontId="0" fillId="0" borderId="20" applyProtection="1" pivotButton="0" quotePrefix="0" xfId="0">
      <protection locked="0" hidden="0"/>
    </xf>
    <xf numFmtId="0" fontId="0" fillId="0" borderId="36" applyProtection="1" pivotButton="0" quotePrefix="0" xfId="0">
      <protection locked="0" hidden="0"/>
    </xf>
    <xf numFmtId="0" fontId="20" fillId="4" borderId="28" applyAlignment="1" pivotButton="0" quotePrefix="0" xfId="0">
      <alignment horizontal="left" vertical="center"/>
    </xf>
    <xf numFmtId="0" fontId="0" fillId="0" borderId="18" pivotButton="0" quotePrefix="0" xfId="0"/>
    <xf numFmtId="0" fontId="21" fillId="0" borderId="138" applyAlignment="1" pivotButton="0" quotePrefix="0" xfId="0">
      <alignment horizontal="left" vertical="center" wrapText="1"/>
    </xf>
    <xf numFmtId="0" fontId="0" fillId="0" borderId="17" pivotButton="0" quotePrefix="0" xfId="0"/>
    <xf numFmtId="0" fontId="0" fillId="0" borderId="37" pivotButton="0" quotePrefix="0" xfId="0"/>
    <xf numFmtId="0" fontId="0" fillId="0" borderId="20" pivotButton="0" quotePrefix="0" xfId="0"/>
    <xf numFmtId="0" fontId="0" fillId="0" borderId="51" pivotButton="0" quotePrefix="0" xfId="0"/>
    <xf numFmtId="0" fontId="27" fillId="0" borderId="30" applyAlignment="1" applyProtection="1" pivotButton="0" quotePrefix="0" xfId="0">
      <alignment horizontal="left" vertical="center" wrapText="1"/>
      <protection locked="0" hidden="0"/>
    </xf>
    <xf numFmtId="0" fontId="0" fillId="0" borderId="2" pivotButton="0" quotePrefix="0" xfId="0"/>
    <xf numFmtId="0" fontId="0" fillId="0" borderId="3" pivotButton="0" quotePrefix="0" xfId="0"/>
    <xf numFmtId="0" fontId="3" fillId="2" borderId="45" applyAlignment="1" pivotButton="0" quotePrefix="0" xfId="0">
      <alignment horizontal="left" vertical="center" wrapText="1"/>
    </xf>
    <xf numFmtId="0" fontId="0" fillId="0" borderId="7" pivotButton="0" quotePrefix="0" xfId="0"/>
    <xf numFmtId="0" fontId="9" fillId="4" borderId="8" applyAlignment="1" pivotButton="0" quotePrefix="0" xfId="0">
      <alignment horizontal="center"/>
    </xf>
    <xf numFmtId="0" fontId="0" fillId="0" borderId="8" pivotButton="0" quotePrefix="0" xfId="0"/>
    <xf numFmtId="0" fontId="0" fillId="0" borderId="75" pivotButton="0" quotePrefix="0" xfId="0"/>
    <xf numFmtId="0" fontId="0" fillId="0" borderId="75" applyProtection="1" pivotButton="0" quotePrefix="0" xfId="0">
      <protection locked="0" hidden="0"/>
    </xf>
    <xf numFmtId="0" fontId="0" fillId="0" borderId="76" applyProtection="1" pivotButton="0" quotePrefix="0" xfId="0">
      <protection locked="0" hidden="0"/>
    </xf>
    <xf numFmtId="0" fontId="0" fillId="0" borderId="80" pivotButton="0" quotePrefix="0" xfId="0"/>
    <xf numFmtId="0" fontId="0" fillId="0" borderId="81" applyProtection="1" pivotButton="0" quotePrefix="0" xfId="0">
      <protection locked="0" hidden="0"/>
    </xf>
    <xf numFmtId="0" fontId="51" fillId="0" borderId="48" applyAlignment="1" pivotButton="0" quotePrefix="0" xfId="0">
      <alignment horizontal="left" vertical="center" wrapText="1"/>
    </xf>
    <xf numFmtId="0" fontId="39" fillId="0" borderId="48" applyAlignment="1" pivotButton="0" quotePrefix="0" xfId="0">
      <alignment horizontal="left" vertical="top" wrapText="1"/>
    </xf>
    <xf numFmtId="0" fontId="39" fillId="0" borderId="48" applyAlignment="1" pivotButton="0" quotePrefix="0" xfId="0">
      <alignment vertical="top" wrapText="1"/>
    </xf>
    <xf numFmtId="0" fontId="39" fillId="0" borderId="14" applyAlignment="1" pivotButton="0" quotePrefix="0" xfId="0">
      <alignment horizontal="left" wrapText="1"/>
    </xf>
    <xf numFmtId="0" fontId="3" fillId="2" borderId="141" applyAlignment="1" pivotButton="0" quotePrefix="0" xfId="0">
      <alignment horizontal="left" vertical="center" wrapText="1"/>
    </xf>
    <xf numFmtId="0" fontId="0" fillId="0" borderId="1" pivotButton="0" quotePrefix="0" xfId="0"/>
    <xf numFmtId="0" fontId="0" fillId="0" borderId="43" pivotButton="0" quotePrefix="0" xfId="0"/>
    <xf numFmtId="0" fontId="10" fillId="4" borderId="116" applyAlignment="1" pivotButton="0" quotePrefix="0" xfId="0">
      <alignment horizontal="center" vertical="center"/>
    </xf>
    <xf numFmtId="0" fontId="10" fillId="4" borderId="142" applyAlignment="1" pivotButton="0" quotePrefix="0" xfId="0">
      <alignment horizontal="center" vertical="center"/>
    </xf>
    <xf numFmtId="0" fontId="0" fillId="0" borderId="76" pivotButton="0" quotePrefix="0" xfId="0"/>
    <xf numFmtId="0" fontId="2" fillId="4" borderId="143" applyAlignment="1" pivotButton="0" quotePrefix="0" xfId="0">
      <alignment horizontal="center" vertical="center"/>
    </xf>
    <xf numFmtId="0" fontId="0" fillId="0" borderId="145" pivotButton="0" quotePrefix="0" xfId="0"/>
    <xf numFmtId="14" fontId="2" fillId="4" borderId="46" applyAlignment="1" pivotButton="0" quotePrefix="0" xfId="0">
      <alignment horizontal="center" vertical="center"/>
    </xf>
    <xf numFmtId="0" fontId="0" fillId="0" borderId="36" pivotButton="0" quotePrefix="0" xfId="0"/>
    <xf numFmtId="0" fontId="10" fillId="2" borderId="13" applyAlignment="1" pivotButton="0" quotePrefix="0" xfId="0">
      <alignment horizontal="center" vertical="center" wrapText="1"/>
    </xf>
    <xf numFmtId="0" fontId="3" fillId="2" borderId="12" applyAlignment="1" pivotButton="0" quotePrefix="0" xfId="0">
      <alignment horizontal="left" vertical="center" wrapText="1"/>
    </xf>
    <xf numFmtId="0" fontId="3" fillId="2" borderId="146" applyAlignment="1" pivotButton="0" quotePrefix="0" xfId="0">
      <alignment horizontal="left" vertical="center" wrapText="1"/>
    </xf>
    <xf numFmtId="0" fontId="0" fillId="0" borderId="56" pivotButton="0" quotePrefix="0" xfId="0"/>
    <xf numFmtId="0" fontId="3" fillId="2" borderId="52" applyAlignment="1" pivotButton="0" quotePrefix="0" xfId="0">
      <alignment horizontal="center" vertical="center" wrapText="1"/>
    </xf>
    <xf numFmtId="0" fontId="2" fillId="4" borderId="30" applyAlignment="1" pivotButton="0" quotePrefix="0" xfId="0">
      <alignment horizontal="center" vertical="center"/>
    </xf>
    <xf numFmtId="0" fontId="1" fillId="2" borderId="13" applyAlignment="1" pivotButton="0" quotePrefix="0" xfId="0">
      <alignment horizontal="center" vertical="center" wrapText="1"/>
    </xf>
    <xf numFmtId="0" fontId="1" fillId="2" borderId="13" applyAlignment="1" pivotButton="0" quotePrefix="0" xfId="0">
      <alignment horizontal="center" vertical="center" textRotation="90" wrapText="1"/>
    </xf>
    <xf numFmtId="0" fontId="0" fillId="0" borderId="48" pivotButton="0" quotePrefix="0" xfId="0"/>
    <xf numFmtId="0" fontId="0" fillId="0" borderId="14" pivotButton="0" quotePrefix="0" xfId="0"/>
    <xf numFmtId="0" fontId="23" fillId="0" borderId="116" applyAlignment="1" applyProtection="1" pivotButton="0" quotePrefix="0" xfId="0">
      <alignment horizontal="center" vertical="center" wrapText="1"/>
      <protection locked="0" hidden="0"/>
    </xf>
    <xf numFmtId="0" fontId="0" fillId="0" borderId="62" applyProtection="1" pivotButton="0" quotePrefix="0" xfId="0">
      <protection locked="0" hidden="0"/>
    </xf>
    <xf numFmtId="0" fontId="23" fillId="0" borderId="147" applyAlignment="1" applyProtection="1" pivotButton="0" quotePrefix="0" xfId="0">
      <alignment horizontal="center" vertical="center" wrapText="1"/>
      <protection locked="0" hidden="0"/>
    </xf>
    <xf numFmtId="0" fontId="0" fillId="0" borderId="149" applyProtection="1" pivotButton="0" quotePrefix="0" xfId="0">
      <protection locked="0" hidden="0"/>
    </xf>
    <xf numFmtId="0" fontId="23" fillId="0" borderId="143" applyAlignment="1" applyProtection="1" pivotButton="0" quotePrefix="0" xfId="0">
      <alignment horizontal="center" vertical="center" wrapText="1"/>
      <protection locked="0" hidden="0"/>
    </xf>
    <xf numFmtId="0" fontId="0" fillId="0" borderId="145" applyProtection="1" pivotButton="0" quotePrefix="0" xfId="0">
      <protection locked="0" hidden="0"/>
    </xf>
    <xf numFmtId="0" fontId="19" fillId="2" borderId="12" applyAlignment="1" pivotButton="0" quotePrefix="0" xfId="0">
      <alignment horizontal="center" vertical="center" wrapText="1"/>
    </xf>
    <xf numFmtId="0" fontId="1" fillId="3" borderId="146" applyAlignment="1" pivotButton="0" quotePrefix="0" xfId="0">
      <alignment horizontal="center" vertical="center" wrapText="1"/>
    </xf>
    <xf numFmtId="0" fontId="0" fillId="0" borderId="22" applyProtection="1" pivotButton="0" quotePrefix="0" xfId="0">
      <protection locked="0" hidden="0"/>
    </xf>
    <xf numFmtId="0" fontId="22" fillId="0" borderId="138" applyAlignment="1" applyProtection="1" pivotButton="0" quotePrefix="0" xfId="0">
      <alignment horizontal="left" vertical="center" wrapText="1"/>
      <protection locked="0" hidden="0"/>
    </xf>
    <xf numFmtId="0" fontId="0" fillId="0" borderId="37" applyProtection="1" pivotButton="0" quotePrefix="0" xfId="0">
      <protection locked="0" hidden="0"/>
    </xf>
    <xf numFmtId="0" fontId="22" fillId="6" borderId="138" applyAlignment="1" applyProtection="1" pivotButton="0" quotePrefix="0" xfId="0">
      <alignment horizontal="left" vertical="center" wrapText="1"/>
      <protection locked="0" hidden="0"/>
    </xf>
    <xf numFmtId="0" fontId="0" fillId="0" borderId="17" applyProtection="1" pivotButton="0" quotePrefix="0" xfId="0">
      <protection locked="0" hidden="0"/>
    </xf>
    <xf numFmtId="0" fontId="22" fillId="0" borderId="30" applyAlignment="1" applyProtection="1" pivotButton="0" quotePrefix="0" xfId="0">
      <alignment horizontal="left" vertical="center" wrapText="1"/>
      <protection locked="0" hidden="0"/>
    </xf>
    <xf numFmtId="0" fontId="40" fillId="2" borderId="13" applyAlignment="1" pivotButton="0" quotePrefix="0" xfId="0">
      <alignment horizontal="center" vertical="center" wrapText="1"/>
    </xf>
    <xf numFmtId="0" fontId="2" fillId="4" borderId="46" applyAlignment="1" pivotButton="0" quotePrefix="0" xfId="0">
      <alignment horizontal="center" vertical="center"/>
    </xf>
    <xf numFmtId="0" fontId="7" fillId="0" borderId="111" applyAlignment="1" applyProtection="1" pivotButton="0" quotePrefix="0" xfId="0">
      <alignment horizontal="center" vertical="center" wrapText="1"/>
      <protection locked="0" hidden="0"/>
    </xf>
    <xf numFmtId="0" fontId="0" fillId="0" borderId="153" applyProtection="1" pivotButton="0" quotePrefix="0" xfId="0">
      <protection locked="0" hidden="0"/>
    </xf>
    <xf numFmtId="0" fontId="7" fillId="0" borderId="120" applyAlignment="1" applyProtection="1" pivotButton="0" quotePrefix="0" xfId="0">
      <alignment horizontal="center" vertical="center" wrapText="1"/>
      <protection locked="0" hidden="0"/>
    </xf>
    <xf numFmtId="0" fontId="0" fillId="0" borderId="151" applyProtection="1" pivotButton="0" quotePrefix="0" xfId="0">
      <protection locked="0" hidden="0"/>
    </xf>
    <xf numFmtId="0" fontId="7" fillId="0" borderId="114" applyAlignment="1" applyProtection="1" pivotButton="0" quotePrefix="0" xfId="0">
      <alignment horizontal="center" vertical="center" wrapText="1"/>
      <protection locked="0" hidden="0"/>
    </xf>
    <xf numFmtId="0" fontId="0" fillId="0" borderId="61" applyProtection="1" pivotButton="0" quotePrefix="0" xfId="0">
      <protection locked="0" hidden="0"/>
    </xf>
    <xf numFmtId="0" fontId="0" fillId="0" borderId="152" applyProtection="1" pivotButton="0" quotePrefix="0" xfId="0">
      <protection locked="0" hidden="0"/>
    </xf>
    <xf numFmtId="0" fontId="21" fillId="0" borderId="12" applyAlignment="1" pivotButton="0" quotePrefix="0" xfId="0">
      <alignment horizontal="left" wrapText="1"/>
    </xf>
    <xf numFmtId="0" fontId="16" fillId="2" borderId="12" applyAlignment="1" pivotButton="0" quotePrefix="0" xfId="0">
      <alignment horizontal="center" vertical="center" wrapText="1"/>
    </xf>
    <xf numFmtId="0" fontId="1" fillId="3" borderId="13" applyAlignment="1" pivotButton="0" quotePrefix="0" xfId="0">
      <alignment horizontal="left" vertical="top" wrapText="1"/>
    </xf>
    <xf numFmtId="0" fontId="0" fillId="0" borderId="6" pivotButton="0" quotePrefix="0" xfId="0"/>
    <xf numFmtId="0" fontId="20" fillId="3" borderId="14" applyAlignment="1" applyProtection="1" pivotButton="0" quotePrefix="0" xfId="0">
      <alignment horizontal="left" vertical="top" wrapText="1"/>
      <protection locked="0" hidden="0"/>
    </xf>
    <xf numFmtId="0" fontId="0" fillId="0" borderId="3" applyProtection="1" pivotButton="0" quotePrefix="0" xfId="0">
      <protection locked="0" hidden="0"/>
    </xf>
    <xf numFmtId="0" fontId="3" fillId="2" borderId="13" applyAlignment="1" pivotButton="0" quotePrefix="0" xfId="0">
      <alignment horizontal="center" vertical="center" wrapText="1"/>
    </xf>
    <xf numFmtId="0" fontId="16" fillId="3" borderId="13" applyAlignment="1" pivotButton="0" quotePrefix="0" xfId="0">
      <alignment horizontal="center" vertical="center" wrapText="1"/>
    </xf>
    <xf numFmtId="0" fontId="16" fillId="6" borderId="48" applyAlignment="1" pivotButton="0" quotePrefix="0" xfId="0">
      <alignment horizontal="center" vertical="center" wrapText="1"/>
    </xf>
    <xf numFmtId="0" fontId="42" fillId="6" borderId="14" applyAlignment="1" pivotButton="0" quotePrefix="0" xfId="0">
      <alignment horizontal="left" vertical="top" wrapText="1"/>
    </xf>
    <xf numFmtId="0" fontId="52" fillId="6" borderId="12" applyAlignment="1" pivotButton="0" quotePrefix="0" xfId="0">
      <alignment horizontal="left" vertical="top" wrapText="1"/>
    </xf>
    <xf numFmtId="0" fontId="41" fillId="6" borderId="48" applyAlignment="1" pivotButton="0" quotePrefix="0" xfId="0">
      <alignment horizontal="left" vertical="center" wrapText="1" indent="1"/>
    </xf>
    <xf numFmtId="0" fontId="49" fillId="6" borderId="48" applyAlignment="1" pivotButton="0" quotePrefix="0" xfId="0">
      <alignment horizontal="left" vertical="center" wrapText="1"/>
    </xf>
    <xf numFmtId="0" fontId="42" fillId="6" borderId="48" applyAlignment="1" pivotButton="0" quotePrefix="0" xfId="0">
      <alignment horizontal="left" vertical="center" wrapText="1" indent="1"/>
    </xf>
    <xf numFmtId="0" fontId="42" fillId="6" borderId="48" applyAlignment="1" pivotButton="0" quotePrefix="0" xfId="0">
      <alignment horizontal="left" vertical="center" wrapText="1"/>
    </xf>
    <xf numFmtId="0" fontId="42" fillId="6" borderId="14" applyAlignment="1" pivotButton="0" quotePrefix="0" xfId="0">
      <alignment horizontal="left" vertical="center" wrapText="1"/>
    </xf>
    <xf numFmtId="0" fontId="42" fillId="6" borderId="13" applyAlignment="1" pivotButton="0" quotePrefix="0" xfId="0">
      <alignment horizontal="left" vertical="center" wrapText="1"/>
    </xf>
    <xf numFmtId="0" fontId="42" fillId="6" borderId="13" applyAlignment="1" pivotButton="0" quotePrefix="0" xfId="0">
      <alignment vertical="center" wrapText="1"/>
    </xf>
    <xf numFmtId="0" fontId="16" fillId="2" borderId="13" applyAlignment="1" pivotButton="0" quotePrefix="0" xfId="0">
      <alignment horizontal="center" vertical="center" wrapText="1"/>
    </xf>
    <xf numFmtId="0" fontId="3" fillId="2" borderId="13" applyAlignment="1" pivotButton="0" quotePrefix="0" xfId="0">
      <alignment horizontal="left" vertical="center" wrapText="1"/>
    </xf>
    <xf numFmtId="0" fontId="1" fillId="7" borderId="13" applyAlignment="1" pivotButton="0" quotePrefix="0" xfId="0">
      <alignment horizontal="center" vertical="center" wrapText="1"/>
    </xf>
    <xf numFmtId="0" fontId="0" fillId="19" borderId="0" pivotButton="0" quotePrefix="0" xfId="0"/>
    <xf numFmtId="0" fontId="0" fillId="20" borderId="0" pivotButton="0" quotePrefix="0" xfId="0"/>
  </cellXfs>
  <cellStyles count="4">
    <cellStyle name="Normal" xfId="0" builtinId="0"/>
    <cellStyle name="Hyperlink" xfId="1" builtinId="8"/>
    <cellStyle name="Percent" xfId="2" builtinId="5"/>
    <cellStyle name="Followed Hyperlink" xfId="3" builtinId="9"/>
  </cellStyles>
  <dxfs count="22">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theme="0"/>
      </font>
      <fill>
        <patternFill>
          <bgColor rgb="FFFF0000"/>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styles" Target="styles.xml" Id="rId15" /><Relationship Type="http://schemas.openxmlformats.org/officeDocument/2006/relationships/theme" Target="theme/theme1.xml" Id="rId16" /><Relationship Type="http://schemas.microsoft.com/office/2006/relationships/vbaProject" Target="vbaProject.bin" Id="rId17" /></Relationships>
</file>

<file path=xl/comments/comment1.xml><?xml version="1.0" encoding="utf-8"?>
<comments xmlns="http://schemas.openxmlformats.org/spreadsheetml/2006/main">
  <authors>
    <author>Chris.Davis@OSHPD</author>
    <author>Enzler, Jeffrey@OSHPD</author>
  </authors>
  <commentList>
    <comment ref="F12" authorId="0" shapeId="0">
      <text>
        <t>Enter Text in Dropdown to Filter Facility Names</t>
      </text>
    </comment>
    <comment ref="I12" authorId="0" shapeId="0">
      <text>
        <t>Project Number – As assigned by HCAI</t>
      </text>
    </comment>
    <comment ref="G15" authorId="1" shapeId="0">
      <text>
        <t>Record Name (Scope of Project) – Scope of the project, as shown on the Application for New Project</t>
      </text>
    </comment>
    <comment ref="D23" authorId="0" shapeId="0">
      <text>
        <t>TIO Stage Description - Provides a name and description/scope for each stage of a TIO program. Select the number of stages for your project by using the list box to the right of the project stage description. If the TIO program will be administered in a single stage then select "1 Stage". The number of stages on Tabs A, B, C, and D will automatically update when the number of stages is selected in the list box.</t>
      </text>
    </comment>
  </commentList>
</comments>
</file>

<file path=xl/comments/comment2.xml><?xml version="1.0" encoding="utf-8"?>
<comments xmlns="http://schemas.openxmlformats.org/spreadsheetml/2006/main">
  <authors>
    <author>Enzler, Jeffrey@OSHPD</author>
    <author>tc={4E443A99-3978-4052-BAFB-E37070D20923}</author>
    <author>tc={F6AC7071-F1F5-4973-8D5A-815CB9840EAD}</author>
    <author>tc={96E9392C-2686-481B-9FDB-EF9B9E3A1595}</author>
    <author>tc={26DF925A-2458-4514-9C39-91A38519ABBA}</author>
    <author>tc={E5F68EE2-A4C3-4B30-91DA-DB7BF85256D3}</author>
    <author>tc={1523AE91-1EB0-4326-AF3C-F28E02C5C7D7}</author>
    <author>tc={D76BDDFF-CDC9-4BC1-B10C-E2784970BDA1}</author>
    <author>tc={8B65CCCB-F42D-4255-AD3F-11E08EF2AB06}</author>
    <author>tc={82F9A260-1859-46DA-B6CB-918A485C71B1}</author>
    <author>tc={78B0F437-CCE6-4C63-B226-053E2AAA3D3E}</author>
    <author>tc={161F6B43-955E-48C8-8F36-164DBDCEFA0D}</author>
    <author>tc={4400E82B-0FF3-4DBB-95BE-CBE1D6CE485D}</author>
    <author>tc={976678A0-3EB7-4193-8069-B2FE419822E9}</author>
    <author>tc={8A0866C8-CB1F-41FC-9502-13E5B7020A3C}</author>
    <author>tc={C3987EBF-657D-4A41-9FD7-81FE152C98DC}</author>
    <author>tc={F7AB080F-DCE0-41A6-A650-E1781E9CD1E1}</author>
    <author>tc={0EEFAA73-3A1D-41AC-8F4B-4DE5630646A0}</author>
    <author>tc={92886B9E-34A7-4169-9297-B0F3C9D1B5FE}</author>
    <author>tc={B78E7707-8DED-48A0-8298-8361F4F36142}</author>
    <author>tc={35541C7F-388A-44A0-9D96-7D3135A60BE4}</author>
    <author>tc={0DE1DF99-6F7B-433E-A4E1-B1812F13C7D6}</author>
    <author>tc={D58B796B-EC61-46C2-A2AD-41677CA61BFD}</author>
    <author>tc={62DD1DD7-FAAD-425F-A927-EAFED191CED7}</author>
    <author>tc={93FDA1E1-0077-45B9-A3DE-DD4656213054}</author>
    <author>tc={ABC3B9E3-27B2-41D2-8025-AD43AD0F4E9B}</author>
    <author>tc={9B4908F9-417D-4666-984C-8E1FACE08C19}</author>
    <author>Davis, Chris@HCAI</author>
  </authors>
  <commentList>
    <comment ref="D3" authorId="0" shapeId="0">
      <text>
        <t>Project information in this row is referenced from Tab A-Project Info</t>
      </text>
    </comment>
    <comment ref="A5" authorId="0" shapeId="0">
      <text>
        <t>Click on the '+' sign to expand the section of the form. Click on the '-' sign to collapse the section</t>
      </text>
    </comment>
    <comment ref="D5" authorId="0" shapeId="0">
      <text>
        <t>Note: Reference numbers will not be sequential once the form is compiled</t>
      </text>
    </comment>
    <comment ref="AU5" authorId="0" shapeId="0">
      <text>
        <t>Blank rows are provided to add any additional tests which may be required</t>
      </text>
    </comment>
    <comment ref="AX5" authorId="0" shapeId="0">
      <text>
        <t>Name of the OSHPD approved agency (or in some cases the individual) approved to perform the test (See Section/Tab I)</t>
      </text>
    </comment>
    <comment ref="AY5" authorId="0" shapeId="0">
      <text>
        <t>The IOR shall place their initials and date in this column to indicate all of the required testing for the item is satisfactorily completed and accepted</t>
      </text>
    </comment>
    <comment ref="AX17" authorId="1" shapeId="0">
      <text>
        <t>[Threaded comment]
Your version of Excel allows you to read this threaded comment; however, any edits to it will get removed if the file is opened in a newer version of Excel. Learn more: https://go.microsoft.com/fwlink/?linkid=870924
Comment:
    S17: + OPAA-0015 RMA</t>
      </text>
    </comment>
    <comment ref="AX18" authorId="2" shapeId="0">
      <text>
        <t xml:space="preserve">[Threaded comment]
Your version of Excel allows you to read this threaded comment; however, any edits to it will get removed if the file is opened in a newer version of Excel. Learn more: https://go.microsoft.com/fwlink/?linkid=870924
Comment:
    S17: + OPAA-0015 RMA
</t>
      </text>
    </comment>
    <comment ref="AX19" authorId="3" shapeId="0">
      <text>
        <t xml:space="preserve">[Threaded comment]
Your version of Excel allows you to read this threaded comment; however, any edits to it will get removed if the file is opened in a newer version of Excel. Learn more: https://go.microsoft.com/fwlink/?linkid=870924
Comment:
    S17: + OPAA-0015 RMA
</t>
      </text>
    </comment>
    <comment ref="AX20" authorId="4" shapeId="0">
      <text>
        <t xml:space="preserve">[Threaded comment]
Your version of Excel allows you to read this threaded comment; however, any edits to it will get removed if the file is opened in a newer version of Excel. Learn more: https://go.microsoft.com/fwlink/?linkid=870924
Comment:
    S1: OPAA-0015 RMA
S17: + OPAA-0015 RMA
</t>
      </text>
    </comment>
    <comment ref="AY20" authorId="5" shapeId="0">
      <text>
        <t>[Threaded comment]
Your version of Excel allows you to read this threaded comment; however, any edits to it will get removed if the file is opened in a newer version of Excel. Learn more: https://go.microsoft.com/fwlink/?linkid=870924
Comment:
    S1: 4/17/2025</t>
      </text>
    </comment>
    <comment ref="AZ20" authorId="6" shapeId="0">
      <text>
        <t>[Threaded comment]
Your version of Excel allows you to read this threaded comment; however, any edits to it will get removed if the file is opened in a newer version of Excel. Learn more: https://go.microsoft.com/fwlink/?linkid=870924
Comment:
    S1: LSG 4/29/2025</t>
      </text>
    </comment>
    <comment ref="AX21" authorId="7" shapeId="0">
      <text>
        <t xml:space="preserve">[Threaded comment]
Your version of Excel allows you to read this threaded comment; however, any edits to it will get removed if the file is opened in a newer version of Excel. Learn more: https://go.microsoft.com/fwlink/?linkid=870924
Comment:
    S3: OPAA-0016 RMA
S4: OPAA-0016 RMA
S8: OPAA-0015 RMA
S13: OPAA-0016 Fenagh, OPAA-0020 CTS
S17: + OPAA-0015 RMA
</t>
      </text>
    </comment>
    <comment ref="AY21" authorId="8" shapeId="0">
      <text>
        <t>[Threaded comment]
Your version of Excel allows you to read this threaded comment; however, any edits to it will get removed if the file is opened in a newer version of Excel. Learn more: https://go.microsoft.com/fwlink/?linkid=870924
Comment:
    S3: MS 4/28/2025
S4: MS 4/28/2025
S8: MS 5/28/2025
S13: MS 7/16/2025</t>
      </text>
    </comment>
    <comment ref="AZ21" authorId="9" shapeId="0">
      <text>
        <t>[Threaded comment]
Your version of Excel allows you to read this threaded comment; however, any edits to it will get removed if the file is opened in a newer version of Excel. Learn more: https://go.microsoft.com/fwlink/?linkid=870924
Comment:
    S3: LSG 4/29/2025
S4: LSG 4/29/2025
S8: LSG 6/2/2025
S13: LSG 7/18/2025</t>
      </text>
    </comment>
    <comment ref="AX23" authorId="10" shapeId="0">
      <text>
        <t xml:space="preserve">[Threaded comment]
Your version of Excel allows you to read this threaded comment; however, any edits to it will get removed if the file is opened in a newer version of Excel. Learn more: https://go.microsoft.com/fwlink/?linkid=870924
Comment:
    S3: OPAA-0015 RMA
S4: OPAA-0015 RMA
S8: OPAA-0015 RMA
S17: + OPAA-0015 RMA
</t>
      </text>
    </comment>
    <comment ref="AY23" authorId="11" shapeId="0">
      <text>
        <t>[Threaded comment]
Your version of Excel allows you to read this threaded comment; however, any edits to it will get removed if the file is opened in a newer version of Excel. Learn more: https://go.microsoft.com/fwlink/?linkid=870924
Comment:
    S3: MS 4/28/2025
S4: MS 4/28/2025
S8: MS 5/28/2025
S13: MS 7/16/2025</t>
      </text>
    </comment>
    <comment ref="AZ23" authorId="12" shapeId="0">
      <text>
        <t>[Threaded comment]
Your version of Excel allows you to read this threaded comment; however, any edits to it will get removed if the file is opened in a newer version of Excel. Learn more: https://go.microsoft.com/fwlink/?linkid=870924
Comment:
    S3: LSG 4/29/2025
S4: LSG 4/29/2025
S8: LSG 6/2/2025
S13: LSG 7/18/2025</t>
      </text>
    </comment>
    <comment ref="AX32" authorId="13" shapeId="0">
      <text>
        <t xml:space="preserve">[Threaded comment]
Your version of Excel allows you to read this threaded comment; however, any edits to it will get removed if the file is opened in a newer version of Excel. Learn more: https://go.microsoft.com/fwlink/?linkid=870924
Comment:
    S3: OPAA-0015, OPAA-0027, Caltrans Authorizations -  RMA
S4: OPAA-0015, OPAA-0027, Caltrans Authorizations -  RMA
</t>
      </text>
    </comment>
    <comment ref="AY32" authorId="14" shapeId="0">
      <text>
        <t>[Threaded comment]
Your version of Excel allows you to read this threaded comment; however, any edits to it will get removed if the file is opened in a newer version of Excel. Learn more: https://go.microsoft.com/fwlink/?linkid=870924
Comment:
    S3: MS 4/28/2025
S4: MS 4/28/2025</t>
      </text>
    </comment>
    <comment ref="AZ32" authorId="15" shapeId="0">
      <text>
        <t>[Threaded comment]
Your version of Excel allows you to read this threaded comment; however, any edits to it will get removed if the file is opened in a newer version of Excel. Learn more: https://go.microsoft.com/fwlink/?linkid=870924
Comment:
    S3: LSG 4/29/2025
S4: LSG 4/29/2025</t>
      </text>
    </comment>
    <comment ref="AX46" authorId="16" shapeId="0">
      <text>
        <t>[Threaded comment]
Your version of Excel allows you to read this threaded comment; however, any edits to it will get removed if the file is opened in a newer version of Excel. Learn more: https://go.microsoft.com/fwlink/?linkid=870924
Comment:
    S11: OPAA-0016 Fenagh, OPAA-0020 CTS
S13: OPAA-0016 Fenagh, OPAA-0020 CTS
S18: OPAA-0016 Fenagh, OPAA-0020 CTS
S19: OPAA-0016 Fenagh, OPAA-0020 CTS
S20: OPAA-0016 Fenagh, OPAA-0020 CTS
S24: OPAA-0020 CTS
S25: OPAA-0016 Fenagh, OPAA-0020 CTS
S27: OPAA-0016 Fenagh, OPAA-0020 CTS
S28: OPAA-0016 Fenagh, OPAA-0020 CTS
S29: OPAA-0016 Fenagh, OPAA-0020 CTS
S30: OPAA-0016 Fenagh, OPAA-0020 CTS
S31: OPAA-0016 Fenagh, OPAA-0020 CTS
S33: OPAA-0016 Fenagh, OPAA-0020 CTS
S41: OPAA-0016 Fenagh, OPAA-0020 CTS
Reply:
    Updated in Delta 16: 
S13: OPAA-0015 RMA, OPAA-0020 CTS
Reply:
    Updated in Delta 21: Stage 9: RMA OPAA-0015, FENAGH OPAA-0016, and CTS OPAA-0020
Reply:
    Updated in Delta 27: Stage 15: OPAA-0016 Fenagh, OPAA-0020 CTS</t>
      </text>
    </comment>
    <comment ref="AY46" authorId="17" shapeId="0">
      <text>
        <t>[Threaded comment]
Your version of Excel allows you to read this threaded comment; however, any edits to it will get removed if the file is opened in a newer version of Excel. Learn more: https://go.microsoft.com/fwlink/?linkid=870924
Comment:
    S3: MS 4/28/2025
S13: MS 7/16/2025
Reply:
    S26: NC 9/18/2025</t>
      </text>
    </comment>
    <comment ref="AZ46" authorId="18" shapeId="0">
      <text>
        <t>[Threaded comment]
Your version of Excel allows you to read this threaded comment; however, any edits to it will get removed if the file is opened in a newer version of Excel. Learn more: https://go.microsoft.com/fwlink/?linkid=870924
Comment:
    S3: LSG 4/29/2025
S13: LSG 7/18/2025
Reply:
    S26: LSG 9/18/2025</t>
      </text>
    </comment>
    <comment ref="AX47" authorId="19" shapeId="0">
      <text>
        <t xml:space="preserve">[Threaded comment]
Your version of Excel allows you to read this threaded comment; however, any edits to it will get removed if the file is opened in a newer version of Excel. Learn more: https://go.microsoft.com/fwlink/?linkid=870924
Comment:
    Updated in Delta 16: 
S13: OPAA-0015 RMA, OPAA-0020 CTS
</t>
      </text>
    </comment>
    <comment ref="AY47" authorId="20" shapeId="0">
      <text>
        <t xml:space="preserve">[Threaded comment]
Your version of Excel allows you to read this threaded comment; however, any edits to it will get removed if the file is opened in a newer version of Excel. Learn more: https://go.microsoft.com/fwlink/?linkid=870924
Comment:
    S3: MS 4/28/2025
Reply:
    S26: NC 9/18/2025
</t>
      </text>
    </comment>
    <comment ref="AZ47" authorId="21" shapeId="0">
      <text>
        <t xml:space="preserve">[Threaded comment]
Your version of Excel allows you to read this threaded comment; however, any edits to it will get removed if the file is opened in a newer version of Excel. Learn more: https://go.microsoft.com/fwlink/?linkid=870924
Comment:
    S3: LSG 4/29/2025
Reply:
    S26: LSG 9/18/2025
</t>
      </text>
    </comment>
    <comment ref="AX48" authorId="22" shapeId="0">
      <text>
        <t xml:space="preserve">[Threaded comment]
Your version of Excel allows you to read this threaded comment; however, any edits to it will get removed if the file is opened in a newer version of Excel. Learn more: https://go.microsoft.com/fwlink/?linkid=870924
Comment:
    S11: OPAA-0016 Fenagh, OPAA-0020 CTS
S13: OPAA-0016 Fenagh, OPAA-0020 CTS
S18: OPAA-0016 Fenagh, OPAA-0020 CTS
S19: OPAA-0016 Fenagh, OPAA-0020 CTS
S20: OPAA-0016 Fenagh, OPAA-0020 CTS
S24: OPAA-0020 CTS
S25: OPAA-0016 Fenagh, OPAA-0020 CTS
S27: OPAA-0016 Fenagh, OPAA-0020 CTS
S28: OPAA-0016 Fenagh, OPAA-0020 CTS
S29: OPAA-0016 Fenagh, OPAA-0020 CTS
S30: OPAA-0016 Fenagh, OPAA-0020 CTS
S31: OPAA-0016 Fenagh, OPAA-0020 CTS
S33: OPAA-0016 Fenagh, OPAA-0020 CTS
Reply:
    Updated in Delta 21: Stage 9: RMA OPAA-0015, FENAGH OPAA-0016, and CTS OPAA-0020
</t>
      </text>
    </comment>
    <comment ref="AY48" authorId="23" shapeId="0">
      <text>
        <t xml:space="preserve">[Threaded comment]
Your version of Excel allows you to read this threaded comment; however, any edits to it will get removed if the file is opened in a newer version of Excel. Learn more: https://go.microsoft.com/fwlink/?linkid=870924
Comment:
    S13: MS 7/16/2025
Reply:
    S26: NC 9/18/2025
</t>
      </text>
    </comment>
    <comment ref="AZ48" authorId="24" shapeId="0">
      <text>
        <t xml:space="preserve">[Threaded comment]
Your version of Excel allows you to read this threaded comment; however, any edits to it will get removed if the file is opened in a newer version of Excel. Learn more: https://go.microsoft.com/fwlink/?linkid=870924
Comment:
    S13: MS 7/18/2025
Reply:
    S26: LSG 9/18/2025
</t>
      </text>
    </comment>
    <comment ref="AY49" authorId="25" shapeId="0">
      <text>
        <t xml:space="preserve">[Threaded comment]
Your version of Excel allows you to read this threaded comment; however, any edits to it will get removed if the file is opened in a newer version of Excel. Learn more: https://go.microsoft.com/fwlink/?linkid=870924
Comment:
    S26: NC 9/18/2025
</t>
      </text>
    </comment>
    <comment ref="AZ49" authorId="26" shapeId="0">
      <text>
        <t xml:space="preserve">[Threaded comment]
Your version of Excel allows you to read this threaded comment; however, any edits to it will get removed if the file is opened in a newer version of Excel. Learn more: https://go.microsoft.com/fwlink/?linkid=870924
Comment:
    S26: LSG 9/18/2025
</t>
      </text>
    </comment>
    <comment ref="AU55" authorId="27" shapeId="0">
      <text>
        <t>Required for projects that use aluminum as a structural material.</t>
      </text>
    </comment>
    <comment ref="AU56" authorId="27" shapeId="0">
      <text>
        <t>Required for projects that include glazing scope that uses structrual sealant.</t>
      </text>
    </comment>
    <comment ref="AU60" authorId="27" shapeId="0">
      <text>
        <t>Required for projects that include seismic isolators as part of the lateral force resisting system.</t>
      </text>
    </comment>
    <comment ref="AU61" authorId="27" shapeId="0">
      <text>
        <t>Required for projects that include energy dissipation devices as part of the lateral force resisting
system.</t>
      </text>
    </comment>
    <comment ref="AU62" authorId="27" shapeId="0">
      <text>
        <t>Required for projects that include work that is unusual in nature. Work that includes construction with
alternatives to traditional materials and/or systems, unusual design applications, and/or manufacturer
installation requirements that are not shown in codes or standards.</t>
      </text>
    </comment>
    <comment ref="AU67" authorId="27" shapeId="0">
      <text>
        <t>In the absence of calculations or experience data, testing may be required.</t>
      </text>
    </comment>
    <comment ref="AU68" authorId="27" shapeId="0">
      <text>
        <t>Required on projects where equipment requiring special seismic certification has not been preapproved
or justified by analysis.</t>
      </text>
    </comment>
    <comment ref="AU72" authorId="27" shapeId="0">
      <text>
        <t>For 480V electrical "service" rated 1000A or more, and a feeder meeting CEC 215.10. (NOT FOR GFCI TESTING).</t>
      </text>
    </comment>
    <comment ref="AU75" authorId="27" shapeId="0">
      <text>
        <t>Testing of UPS and other battery storage systems used as energy storage system. Note: An UPS supplied
by an emergency power supply system (EPSS) like an essential electrical system is not required to
be tested to NFPA 111.</t>
      </text>
    </comment>
    <comment ref="AU76" authorId="27" shapeId="0">
      <text>
        <t>Not required for most fire pump installations. Only for new fire pumps in multi-building campus style
complexes. Study to be used to set and verify all adjustable circuit breakers settings.</t>
      </text>
    </comment>
    <comment ref="AU77" authorId="27" shapeId="0">
      <text>
        <t>Study required from the Electrical Engineer of Record (EEOR) when new circuit breakers and fuses are
installed in new and existing essential electrical systems. Single line diagram and over current protective
devices in study shall match approved electrical plans. Study to be used to set and verify
all adjustable circuit breakers settings.</t>
      </text>
    </comment>
    <comment ref="AU78" authorId="27" shapeId="0">
      <text>
        <t>Applies to elevator, elevators, dumbwaiters, escalators, moving walks, platform lifts, and stairway
chairlifts installations. Study required from the Electrical Engineer of Record (EEOR) when more than
one machine is fed from one feeder. Single line diagram and over current protective devices in study
shall match approved electrical plans. Study to be used to set and verify all adjustable circuit
breakers settings.</t>
      </text>
    </comment>
    <comment ref="AU79" authorId="27" shapeId="0">
      <text>
        <t>Voltage and impedance measurements when new electrical circuits and receptacles are installed in patient
care spaces like head walls.</t>
      </text>
    </comment>
    <comment ref="AU80" authorId="27" shapeId="0">
      <text>
        <t>Receptacle retention force test when new receptacles are installed in patient care spaces like head
walls.</t>
      </text>
    </comment>
    <comment ref="AU82" authorId="27" shapeId="0">
      <text>
        <t>Related to Isolated Power System - Line Isolation monitor test.</t>
      </text>
    </comment>
    <comment ref="AU83" authorId="27" shapeId="0">
      <text>
        <t>Medium voltage (over 1000v) may be used for a large hospital campus. Pre-energization and operational
tests for new and modified electrical systems over 1000V.</t>
      </text>
    </comment>
    <comment ref="AU84" authorId="27" shapeId="0">
      <text>
        <t>Testing of new medium volt cables (1kv - 100kv). Related to Medium Voltage Outdoor Systems – Inspections
and Test.</t>
      </text>
    </comment>
    <comment ref="AU85" authorId="27" shapeId="0">
      <text>
        <t>Megger test of new conductors to ensure wiring is free from short circuits and ground faults.</t>
      </text>
    </comment>
    <comment ref="AU86" authorId="27" shapeId="0">
      <text>
        <t>For panelboards, switchboards, switchgear, MCC, and other electrical equipment that require electrical
connections to be torqued per manufacture instructions.</t>
      </text>
    </comment>
    <comment ref="AU87" authorId="27" shapeId="0">
      <text>
        <t>For temporary work.</t>
      </text>
    </comment>
    <comment ref="AU88" authorId="27" shapeId="0">
      <text>
        <t>For new or modified nurse call systems. This is a functional test.</t>
      </text>
    </comment>
    <comment ref="AU89" authorId="27" shapeId="0">
      <text>
        <t>For 1200amp or larger electrical equipment installations.</t>
      </text>
    </comment>
    <comment ref="AU90" authorId="27" shapeId="0">
      <text>
        <t>Required for new panelboards, switchboards, switchgear, MCC, ATS, and elevator controllers. Study from
the Electrical Engineer of Record (EEOR) for stating all new electrical equipment SCCR/AIC ratings
meet or exceed available fault currents values determined in the study. Study used in the field to
verify installed equipment SCCR/AIC match the information provided in the study.</t>
      </text>
    </comment>
    <comment ref="AU91" authorId="27" shapeId="0">
      <text>
        <t>Labeling required for new electrical "service" equipment (i.e. main switchboard).</t>
      </text>
    </comment>
    <comment ref="AU96" authorId="27" shapeId="0">
      <text>
        <t>Listed hood assemblies shall be tested per manufacturers. Listed UV hoods tested IAW UL 710 and 710C.</t>
      </text>
    </comment>
    <comment ref="AU97" authorId="27" shapeId="0">
      <text>
        <t>Performance test before final approval of install of ventilation system.</t>
      </text>
    </comment>
    <comment ref="AU98" authorId="27" shapeId="0">
      <text>
        <t>Factory and field refrigeration system pressure testing.</t>
      </text>
    </comment>
    <comment ref="AU99" authorId="27" shapeId="0">
      <text>
        <t>Alarm system testing of machinery room alarm systems.</t>
      </text>
    </comment>
    <comment ref="AU100" authorId="27" shapeId="0">
      <text>
        <t>Report for approved agency detailing emission products.</t>
      </text>
    </comment>
    <comment ref="AU101" authorId="27" shapeId="0">
      <text>
        <t>Inspection and test protocol for boilers after installation and prior to use.</t>
      </text>
    </comment>
    <comment ref="AU102" authorId="27" shapeId="0">
      <text>
        <t>Pressure testing for system piping and components. Note: piping to be installed in concrete shall be
tested per these requirements prior to pouring concrete.</t>
      </text>
    </comment>
    <comment ref="AU103" authorId="27" shapeId="0">
      <text>
        <t>Pressure test at completion of installation.</t>
      </text>
    </comment>
    <comment ref="AU104" authorId="27" shapeId="0">
      <text>
        <t>Survey of exisitng ventilation system priory to start of remodel work.</t>
      </text>
    </comment>
    <comment ref="AU105" authorId="27" shapeId="0">
      <text>
        <t>Survey of ventilation system at completion of remodel work to ensure pre-demolition air balance values
are maintained.</t>
      </text>
    </comment>
    <comment ref="AU106" authorId="27" shapeId="0">
      <text>
        <t>Test and balance of new spaces, spaces affected by new equipment or spaces with change in function after
completion of work.</t>
      </text>
    </comment>
    <comment ref="AU108" authorId="27" shapeId="0">
      <text>
        <t>Testing of air pressure alarm systems prior to acceptance.</t>
      </text>
    </comment>
    <comment ref="AU109" authorId="27" shapeId="0">
      <text>
        <t>Test and balance of mechanical system after completion of work.</t>
      </text>
    </comment>
    <comment ref="AU113" authorId="27" shapeId="0">
      <text>
        <t>Testing to be done for new piping and when pipes have been breached in project. Not for fixture replacement.</t>
      </text>
    </comment>
    <comment ref="AU114" authorId="27" shapeId="0">
      <text>
        <t>Testing shall be performed on all new piped medical gas and vacuum systems, additions, renovations,
temporary installations, or repaired systems.</t>
      </text>
    </comment>
    <comment ref="AU115" authorId="27" shapeId="0">
      <text>
        <t>Testing shall be performed on all new piped medical gas and vacuum systems, additions, renovations,
temporary installations, or repaired systems.</t>
      </text>
    </comment>
    <comment ref="AU116" authorId="27" shapeId="0">
      <text>
        <t>Testing for modified or breached sewer piping.</t>
      </text>
    </comment>
    <comment ref="AU117" authorId="27" shapeId="0">
      <text>
        <t>Testing of completion of new segment or entire system.</t>
      </text>
    </comment>
    <comment ref="AU120" authorId="27" shapeId="0">
      <text>
        <t>Water or air testing for new storm drain piping, and parts of existing storm drain piping that have
been altered, extended, or repaired.</t>
      </text>
    </comment>
    <comment ref="AU121" authorId="27" shapeId="0">
      <text>
        <t>Testing required for new, or repaired fuel piping prior to acceptance and initial operation.</t>
      </text>
    </comment>
    <comment ref="AU122" authorId="27" shapeId="0">
      <text>
        <t>Static and fluid water testing after installation.</t>
      </text>
    </comment>
    <comment ref="AU124" authorId="27" shapeId="0">
      <text>
        <t>Air testing of existing drainage or plumbing that is suspected to be defective.</t>
      </text>
    </comment>
    <comment ref="AU125" authorId="27" shapeId="0">
      <text>
        <t>Standing water test for drain/receptor interface.</t>
      </text>
    </comment>
    <comment ref="AU126" authorId="27" shapeId="0">
      <text>
        <t>Device shall be approved by the AHJ and then tested at time of installation, repair, or relocation.</t>
      </text>
    </comment>
    <comment ref="AU127" authorId="27" shapeId="0">
      <text>
        <t>Testing of all new alternate water sources for nonpotable water including testing emphasis on cross-connection
prevention.</t>
      </text>
    </comment>
    <comment ref="AU133" authorId="27" shapeId="0">
      <text>
        <t>For new installations, remodels, replacements or repairs. When required, test when interconnected with
other systems. and before the occupancy of the building or specific area.</t>
      </text>
    </comment>
    <comment ref="AU134" authorId="27" shapeId="0">
      <text>
        <t>Shall be tested when the system is altered or modified. When required, test when interconnected with
other systems.</t>
      </text>
    </comment>
    <comment ref="AU135" authorId="27" shapeId="0">
      <text>
        <t>For new installations, remodels, replacements, repairs, or when there are changes to the site-specific
software. When required, test when interconected with other systems. Shall notify HCAI and owner
prior to initial acceptance test.</t>
      </text>
    </comment>
    <comment ref="AU136" authorId="27" shapeId="0">
      <text>
        <t>For new installations, remodels, replacements or repairs. When required, test when interconnected with
other systems. Test shall include function, sequence and, where applicable, capacity of their installed
condition. Test shall be prior to concelement and prior to occupancy.</t>
      </text>
    </comment>
    <comment ref="AU137" authorId="27" shapeId="0">
      <text>
        <t>For new installations, remodels, replacements or repairs. Shall notify HCAI and owner prior to initial
acceptance test.</t>
      </text>
    </comment>
    <comment ref="AU138" authorId="27" shapeId="0">
      <text>
        <t>For new installations, remodels, replacements or repairs. Shall notify HCAI and owner prior to initial
acceptance test.</t>
      </text>
    </comment>
    <comment ref="AU139" authorId="27" shapeId="0">
      <text>
        <t>For new installations, remodels, replacements or repairs. In existing system new pipe shall be tested
independetly. During construction, existing standpipes shall be maintained in working order and always
ready for use.</t>
      </text>
    </comment>
    <comment ref="AU140" authorId="27" shapeId="0">
      <text>
        <t>For new installations, remodels, replacements or repairs. In existing system new pipe shall be tested
independetly. During construction, existing standpipes shall be maintained in working order and always
ready for use.</t>
      </text>
    </comment>
    <comment ref="AU141" authorId="27" shapeId="0">
      <text>
        <t>For new installations, remodels, replacements or repairs. In existing system new pipe shall be tested
independetly. During construction, existing standpipes shall be maintained in working order and always
ready for use.</t>
      </text>
    </comment>
    <comment ref="AU142" authorId="27" shapeId="0">
      <text>
        <t>For new installations, remodels, replacements or repairs. Shall notify HCAI and owner prior to initial
acceptance test.</t>
      </text>
    </comment>
    <comment ref="AU143" authorId="27" shapeId="0">
      <text>
        <t>For new installations, remodels, replacements or repairs. If components that affect performance are
replaced, then a retest shall be conducted by the pump manufacturer or designated representative or
qualified persons acceptable to HCAI.</t>
      </text>
    </comment>
    <comment ref="AU144" authorId="27" shapeId="0">
      <text>
        <t>For new installations, remodels, replacements or repairs. Shall notify HCAI and owner prior to initial
acceptance test. Prior to placing the tank in service, a representative of the tank contractor and
a representative of the owner shall conduct a joint inspection of the completed equipment.</t>
      </text>
    </comment>
    <comment ref="AU145" authorId="27" shapeId="0">
      <text>
        <t>For new installations, remodels, replacements or repairs.</t>
      </text>
    </comment>
    <comment ref="AU146" authorId="27" shapeId="0">
      <text>
        <t>For new installations, remodels, replacements or repairs.</t>
      </text>
    </comment>
    <comment ref="AU147" authorId="27" shapeId="0">
      <text>
        <t>For new installations, remodels, replacements or repairs.</t>
      </text>
    </comment>
    <comment ref="AU148" authorId="27" shapeId="0">
      <text>
        <t>For new installations, remodels, replacements or repairs.</t>
      </text>
    </comment>
    <comment ref="AU149" authorId="27" shapeId="0">
      <text>
        <t>For new installations, remodels, replacements or repairs.</t>
      </text>
    </comment>
    <comment ref="AU150" authorId="27" shapeId="0">
      <text>
        <t>For new installations, remodels, replacements or repairs.</t>
      </text>
    </comment>
    <comment ref="AU151" authorId="27" shapeId="0">
      <text>
        <t>For new installations, remodels, replacements or repairs.</t>
      </text>
    </comment>
    <comment ref="AU152" authorId="27" shapeId="0">
      <text>
        <t>For new installations, remodels, replacements or repairs.</t>
      </text>
    </comment>
    <comment ref="AU153" authorId="27" shapeId="0">
      <text>
        <t>For new installations, remodels, replacements or repairs.</t>
      </text>
    </comment>
    <comment ref="AU154" authorId="27" shapeId="0">
      <text>
        <t>For new installations, remodels, replacements or repairs.</t>
      </text>
    </comment>
    <comment ref="AU155" authorId="27" shapeId="0">
      <text>
        <t>For new installations, remodels, replacements or repairs.</t>
      </text>
    </comment>
    <comment ref="AU156" authorId="27" shapeId="0">
      <text>
        <t>For new installations, remodels, replacements or repairs.</t>
      </text>
    </comment>
    <comment ref="AU160" authorId="27" shapeId="0">
      <text>
        <t>Required on all projects that contain imaging equipment radiation shielding barriers.</t>
      </text>
    </comment>
    <comment ref="AU162" authorId="27" shapeId="0">
      <text>
        <t>This is for HCAI 1, 1R, 2, 4 &amp; 5. The requirements of this section address the testing and inspection
of thermal barriers composite in aluminum mullion systems.</t>
      </text>
    </comment>
    <comment ref="AU163" authorId="27" shapeId="0">
      <text>
        <t>Accessibility to sites, facilities, buildings, and elements by individuals with disabilities. The requirements
are to be applied during the design, construction, additions to, and alteration of sites,
facilities, buildings and elements to the extent required by CBC Chapter1, Section 1.9</t>
      </text>
    </comment>
  </commentList>
</comments>
</file>

<file path=xl/comments/comment3.xml><?xml version="1.0" encoding="utf-8"?>
<comments xmlns="http://schemas.openxmlformats.org/spreadsheetml/2006/main">
  <authors>
    <author>Enzler, Jeffrey@OSHPD</author>
    <author>Ponce, Cesar@OSHPD</author>
    <author>tc={6EE925FF-2E76-40F2-915E-77CE905D458D}</author>
    <author>tc={2ACF7B1F-4C37-48FA-9EA0-557DB20868D1}</author>
    <author>tc={91CE270D-4DA0-4821-9FB2-6585387D4741}</author>
    <author>tc={A63F1079-E018-4D2B-8409-7FB67F7A304A}</author>
    <author>tc={F942A3A7-1EFC-411D-9FB2-FF68EE0A770C}</author>
    <author>tc={23FA9CBC-06E7-43DA-A004-AC2176AF2158}</author>
    <author>tc={0AACF613-8FAA-4DC2-901A-9202C3866310}</author>
    <author>tc={C390D9FD-43EB-47E4-B4EA-4BF12388803F}</author>
    <author>tc={99369FAE-722E-4194-B23D-F6FEB1D99AC4}</author>
    <author>tc={25ABF21D-F8AB-4292-8535-083237A86559}</author>
    <author>tc={B00FCB54-CF75-4877-A8CA-426F2B3CA0F7}</author>
    <author>tc={0AF8B7CB-DE00-460B-92A9-DB38AE5D17F2}</author>
    <author>tc={95D5598A-E6F8-4164-BBC7-81D56C8D6A6F}</author>
    <author>tc={C7E6D223-B346-4FCA-87AE-64CF7A244A6E}</author>
    <author>tc={48135A88-BF32-43FF-AD59-5D90E06BB6FD}</author>
    <author>tc={A0BFD02C-E184-4A14-A329-1221901F15CD}</author>
    <author>tc={25C3D2D7-CCB1-42E7-AE45-C415C5D0F950}</author>
    <author>tc={C6EA78B5-879F-4787-AC38-F556D187B0BC}</author>
    <author>tc={83E181EA-40FE-4250-A4C7-800E5F913EF7}</author>
    <author>tc={77E96D4B-AFB8-4A9D-A668-F398568EAF17}</author>
    <author>tc={B2713C6B-13D5-4528-B1E8-9C03D1F186AF}</author>
    <author>tc={EE12B01C-3224-4CE0-8D0C-CBB69B0054D3}</author>
    <author>tc={4468126A-BC49-4A0C-8B5D-2F1A7AF0F529}</author>
    <author>tc={BE8566F2-904B-4A0E-98FF-BB3315BFAB7F}</author>
    <author>tc={A64752A8-06F3-4222-9B2B-137A206CEB6E}</author>
    <author>tc={71457A9E-44B5-45D5-A456-3F8136AB4ADE}</author>
    <author>tc={32A0AB1E-8A7F-4905-97F8-E834F2271774}</author>
    <author>tc={FAD274BE-F4F5-409C-B7A9-51C12315C129}</author>
    <author>Davis, Chris@HCAI</author>
  </authors>
  <commentList>
    <comment ref="D3" authorId="0" shapeId="0">
      <text>
        <t xml:space="preserve">Do not enter anything on this row; project information is only entered on Section/Tab A
</t>
      </text>
    </comment>
    <comment ref="A5" authorId="0" shapeId="0">
      <text>
        <t xml:space="preserve">Click on the '+' sign to expand the section of the form. Click on the '-' sign to collapse the section
</t>
      </text>
    </comment>
    <comment ref="D5" authorId="0" shapeId="0">
      <text>
        <t>Note: Reference numbers will not be sequential once the form is compiled</t>
      </text>
    </comment>
    <comment ref="E5" authorId="0" shapeId="0">
      <text>
        <t>Place an 'X' in this column to indicate the test is required</t>
      </text>
    </comment>
    <comment ref="AU5" authorId="0" shapeId="0">
      <text>
        <t>Blank rows are provided to add any additional special inspections which may be required</t>
      </text>
    </comment>
    <comment ref="AX5" authorId="1" shapeId="0">
      <text>
        <t>Name of the OSHPD approved agency (or in some cases the individual) approved to perform the test (See Section/Tab I)</t>
      </text>
    </comment>
    <comment ref="AY5" authorId="0" shapeId="0">
      <text>
        <t>The IOR shall place their initials and date in this column to indicate all of the required testing for the item is satisfactorily completed and accepted</t>
      </text>
    </comment>
    <comment ref="AX8" authorId="2" shapeId="0">
      <text>
        <t>[Threaded comment]
Your version of Excel allows you to read this threaded comment; however, any edits to it will get removed if the file is opened in a newer version of Excel. Learn more: https://go.microsoft.com/fwlink/?linkid=870924
Comment:
    S10: OPAA-0020 CTS
S20: OPAA-0020 CTS
S33: OPAA-0020 CTS</t>
      </text>
    </comment>
    <comment ref="AY10" authorId="3" shapeId="0">
      <text>
        <t>[Threaded comment]
Your version of Excel allows you to read this threaded comment; however, any edits to it will get removed if the file is opened in a newer version of Excel. Learn more: https://go.microsoft.com/fwlink/?linkid=870924
Comment:
    S1: MS 4/17/2025</t>
      </text>
    </comment>
    <comment ref="AZ10" authorId="4" shapeId="0">
      <text>
        <t>[Threaded comment]
Your version of Excel allows you to read this threaded comment; however, any edits to it will get removed if the file is opened in a newer version of Excel. Learn more: https://go.microsoft.com/fwlink/?linkid=870924
Comment:
    S1: LSG 4/29/2025</t>
      </text>
    </comment>
    <comment ref="AX15" authorId="5" shapeId="0">
      <text>
        <t>[Threaded comment]
Your version of Excel allows you to read this threaded comment; however, any edits to it will get removed if the file is opened in a newer version of Excel. Learn more: https://go.microsoft.com/fwlink/?linkid=870924
Comment:
    S8: OPAA-0015 RMA
S14: /OPAA-0015 RMA
S17: /OPAA-0015 RMA</t>
      </text>
    </comment>
    <comment ref="AY15" authorId="6" shapeId="0">
      <text>
        <t>[Threaded comment]
Your version of Excel allows you to read this threaded comment; however, any edits to it will get removed if the file is opened in a newer version of Excel. Learn more: https://go.microsoft.com/fwlink/?linkid=870924
Comment:
    S3: MS 4/28/2025
S4: MS 4/28/2025
S8: MS 5/28/2025</t>
      </text>
    </comment>
    <comment ref="AZ15" authorId="7" shapeId="0">
      <text>
        <t>[Threaded comment]
Your version of Excel allows you to read this threaded comment; however, any edits to it will get removed if the file is opened in a newer version of Excel. Learn more: https://go.microsoft.com/fwlink/?linkid=870924
Comment:
    S3: LSG 4/29/2025
S4: LSG 4/29/2025
S8: LSG 6/2/2025</t>
      </text>
    </comment>
    <comment ref="AX18" authorId="8" shapeId="0">
      <text>
        <t>[Threaded comment]
Your version of Excel allows you to read this threaded comment; however, any edits to it will get removed if the file is opened in a newer version of Excel. Learn more: https://go.microsoft.com/fwlink/?linkid=870924
Comment:
    S14: /OPAA-0015 RMA
S17: /OPAA-0015 RMA</t>
      </text>
    </comment>
    <comment ref="AY18" authorId="9" shapeId="0">
      <text>
        <t>[Threaded comment]
Your version of Excel allows you to read this threaded comment; however, any edits to it will get removed if the file is opened in a newer version of Excel. Learn more: https://go.microsoft.com/fwlink/?linkid=870924
Comment:
    S1: MS 4/17/2025</t>
      </text>
    </comment>
    <comment ref="AZ18" authorId="10" shapeId="0">
      <text>
        <t>[Threaded comment]
Your version of Excel allows you to read this threaded comment; however, any edits to it will get removed if the file is opened in a newer version of Excel. Learn more: https://go.microsoft.com/fwlink/?linkid=870924
Comment:
    S1: LSG 4/29/2025</t>
      </text>
    </comment>
    <comment ref="AX21" authorId="11" shapeId="0">
      <text>
        <t>[Threaded comment]
Your version of Excel allows you to read this threaded comment; however, any edits to it will get removed if the file is opened in a newer version of Excel. Learn more: https://go.microsoft.com/fwlink/?linkid=870924
Comment:
    S8: OPAA-0015 RMA
S14: /OPAA-0015 RMA
S17: /OPAA-0015 RMA</t>
      </text>
    </comment>
    <comment ref="AY21" authorId="12" shapeId="0">
      <text>
        <t>[Threaded comment]
Your version of Excel allows you to read this threaded comment; however, any edits to it will get removed if the file is opened in a newer version of Excel. Learn more: https://go.microsoft.com/fwlink/?linkid=870924
Comment:
    S3: MS 4/28/2025
S4: MS 4/28/2025
S8: MS 5/28/2025
S13: MS 7/16/2025</t>
      </text>
    </comment>
    <comment ref="AZ21" authorId="13" shapeId="0">
      <text>
        <t>[Threaded comment]
Your version of Excel allows you to read this threaded comment; however, any edits to it will get removed if the file is opened in a newer version of Excel. Learn more: https://go.microsoft.com/fwlink/?linkid=870924
Comment:
    S3: LSG 4/29/2025
S4: LSG 4/29/2025
S8: LSG 6/2/2025
S13: LSG 7/18/2025</t>
      </text>
    </comment>
    <comment ref="AX22" authorId="14" shapeId="0">
      <text>
        <t>[Threaded comment]
Your version of Excel allows you to read this threaded comment; however, any edits to it will get removed if the file is opened in a newer version of Excel. Learn more: https://go.microsoft.com/fwlink/?linkid=870924
Comment:
    S14: /OPAA-0015 RMA</t>
      </text>
    </comment>
    <comment ref="AY22" authorId="15" shapeId="0">
      <text>
        <t>[Threaded comment]
Your version of Excel allows you to read this threaded comment; however, any edits to it will get removed if the file is opened in a newer version of Excel. Learn more: https://go.microsoft.com/fwlink/?linkid=870924
Comment:
    S3: MS 4/28/2025
S13: MS 7/16/2025</t>
      </text>
    </comment>
    <comment ref="AZ22" authorId="16" shapeId="0">
      <text>
        <t>[Threaded comment]
Your version of Excel allows you to read this threaded comment; however, any edits to it will get removed if the file is opened in a newer version of Excel. Learn more: https://go.microsoft.com/fwlink/?linkid=870924
Comment:
    S3: LSG 4/29/2025</t>
      </text>
    </comment>
    <comment ref="AX24" authorId="17" shapeId="0">
      <text>
        <t>[Threaded comment]
Your version of Excel allows you to read this threaded comment; however, any edits to it will get removed if the file is opened in a newer version of Excel. Learn more: https://go.microsoft.com/fwlink/?linkid=870924
Comment:
    S8: OPAA-0015 RMA
S14: /OPAA-0015 RMA
S17: /OPAA-0015 RMA</t>
      </text>
    </comment>
    <comment ref="AY24" authorId="18" shapeId="0">
      <text>
        <t>[Threaded comment]
Your version of Excel allows you to read this threaded comment; however, any edits to it will get removed if the file is opened in a newer version of Excel. Learn more: https://go.microsoft.com/fwlink/?linkid=870924
Comment:
    S3: MS 4/28/2025
S4: MS 4/28/2025
S8: MS 5/28/2025
S13: MS 7/16/2025</t>
      </text>
    </comment>
    <comment ref="AZ24" authorId="19" shapeId="0">
      <text>
        <t>[Threaded comment]
Your version of Excel allows you to read this threaded comment; however, any edits to it will get removed if the file is opened in a newer version of Excel. Learn more: https://go.microsoft.com/fwlink/?linkid=870924
Comment:
    S3: LSG 4/29/2025
S4: LSG 4/29/2025
S8: LSG 5/28/2025
S13: LSG 7/18/2025</t>
      </text>
    </comment>
    <comment ref="AX30" authorId="20" shapeId="0">
      <text>
        <t xml:space="preserve">[Threaded comment]
Your version of Excel allows you to read this threaded comment; however, any edits to it will get removed if the file is opened in a newer version of Excel. Learn more: https://go.microsoft.com/fwlink/?linkid=870924
Comment:
    S3: OPAA-0015 RMA and James Stuckey, Nick Alvarez, Richard Gonzalez
S7: OPAA-0015, OPAA-0020 RMA, CTS, and James Stuckey, Nick Alvarez, Richard Gonzalez
S8: OPAA-0015 RMA
S14: OPAA-0015, OPAA-0020 RMA, CTS, and James Stuckey, Nick Alvarez, Richard Gonzalez
S17: OPAA-0015 RMA / OPAA-0020 CTS
Reply:
    9/16/25: Delta 18 Edit: Stage 7 and Stage 14: listing of Brandon Doyel and Nathan Chalk in addition to previous.
</t>
      </text>
    </comment>
    <comment ref="AY30" authorId="21" shapeId="0">
      <text>
        <t>[Threaded comment]
Your version of Excel allows you to read this threaded comment; however, any edits to it will get removed if the file is opened in a newer version of Excel. Learn more: https://go.microsoft.com/fwlink/?linkid=870924
Comment:
    S3: MS 4/28/2025
S4: MS 4/28/2025
S8: N/A
S13: MS 7/16/2025</t>
      </text>
    </comment>
    <comment ref="AZ30" authorId="22" shapeId="0">
      <text>
        <t>[Threaded comment]
Your version of Excel allows you to read this threaded comment; however, any edits to it will get removed if the file is opened in a newer version of Excel. Learn more: https://go.microsoft.com/fwlink/?linkid=870924
Comment:
    S3: LSG 4/29/2025
S4:  LSG 4/29/2025
S8: N/A
S13: 7/18/2025</t>
      </text>
    </comment>
    <comment ref="AY45" authorId="23" shapeId="0">
      <text>
        <t>[Threaded comment]
Your version of Excel allows you to read this threaded comment; however, any edits to it will get removed if the file is opened in a newer version of Excel. Learn more: https://go.microsoft.com/fwlink/?linkid=870924
Comment:
    S13: MS 7/16/2025 &amp; NC</t>
      </text>
    </comment>
    <comment ref="AZ45" authorId="24" shapeId="0">
      <text>
        <t>[Threaded comment]
Your version of Excel allows you to read this threaded comment; however, any edits to it will get removed if the file is opened in a newer version of Excel. Learn more: https://go.microsoft.com/fwlink/?linkid=870924
Comment:
    S13: LSG 7/16/2025</t>
      </text>
    </comment>
    <comment ref="AX46" authorId="25" shapeId="0">
      <text>
        <t>[Threaded comment]
Your version of Excel allows you to read this threaded comment; however, any edits to it will get removed if the file is opened in a newer version of Excel. Learn more: https://go.microsoft.com/fwlink/?linkid=870924
Comment:
    S26: OPAA-0020 CTS
S41: OPAA-0020 CTS</t>
      </text>
    </comment>
    <comment ref="AY46" authorId="26" shapeId="0">
      <text>
        <t>[Threaded comment]
Your version of Excel allows you to read this threaded comment; however, any edits to it will get removed if the file is opened in a newer version of Excel. Learn more: https://go.microsoft.com/fwlink/?linkid=870924
Comment:
    S13: MS 7/16/2025 &amp; NC
Reply:
    S26: NC 9/18/25</t>
      </text>
    </comment>
    <comment ref="AZ46" authorId="27" shapeId="0">
      <text>
        <t xml:space="preserve">[Threaded comment]
Your version of Excel allows you to read this threaded comment; however, any edits to it will get removed if the file is opened in a newer version of Excel. Learn more: https://go.microsoft.com/fwlink/?linkid=870924
Comment:
    S13: LSG 7/18/2025
Reply:
    S26: LSG 9/18/2025
</t>
      </text>
    </comment>
    <comment ref="AY48" authorId="28" shapeId="0">
      <text>
        <t xml:space="preserve">[Threaded comment]
Your version of Excel allows you to read this threaded comment; however, any edits to it will get removed if the file is opened in a newer version of Excel. Learn more: https://go.microsoft.com/fwlink/?linkid=870924
Comment:
    S26: NC 9/18/25
</t>
      </text>
    </comment>
    <comment ref="AZ48" authorId="29" shapeId="0">
      <text>
        <t xml:space="preserve">[Threaded comment]
Your version of Excel allows you to read this threaded comment; however, any edits to it will get removed if the file is opened in a newer version of Excel. Learn more: https://go.microsoft.com/fwlink/?linkid=870924
Comment:
    S26: LSG 9/18/2025
</t>
      </text>
    </comment>
    <comment ref="AU61" authorId="30" shapeId="0">
      <text>
        <t>Required for projects that use aluminum as a structural material.</t>
      </text>
    </comment>
    <comment ref="AU62" authorId="30" shapeId="0">
      <text>
        <t>Required for projects that include glazing scope that uses structrual sealant.</t>
      </text>
    </comment>
    <comment ref="AU66" authorId="30" shapeId="0">
      <text>
        <t>Required for projects that include work that is unusual in nature. Work that includes construction with
alternatives to traditional materials and/or systems, unusual design applications, and/or manufacturer
installation requirements that are not shown in codes or standards.</t>
      </text>
    </comment>
    <comment ref="AU67" authorId="30" shapeId="0">
      <text>
        <t>Required for projects that include seismic isolators as part of the lateral force resisting system.</t>
      </text>
    </comment>
    <comment ref="AU68" authorId="30" shapeId="0">
      <text>
        <t>Required for projects that include energy dissipation devices as part of the lateral force resisting
system.</t>
      </text>
    </comment>
    <comment ref="AU75" authorId="30" shapeId="0">
      <text>
        <t>This is generally required on most new and remodel projects that include the installation or revisions
to existing distributive utility systems and their associated equipment.</t>
      </text>
    </comment>
    <comment ref="AU76" authorId="30" shapeId="0">
      <text>
        <t>Required on projects with equipment requiring special seismic certification.</t>
      </text>
    </comment>
    <comment ref="AU90" authorId="30" shapeId="0">
      <text>
        <t>For new, remodel, or replacement projects. This type of test is applied to floor, roof, and wall assemblies,
and structural members. Consider OPD-0091-13 for Fire-Resistive Standard Details.</t>
      </text>
    </comment>
    <comment ref="AU91" authorId="30" shapeId="0">
      <text>
        <t>Applicable for structural elements on new, remodel, or replacement projects.</t>
      </text>
    </comment>
    <comment ref="AU92" authorId="30" shapeId="0">
      <text>
        <t>For new, remodel, or replacement projects.</t>
      </text>
    </comment>
    <comment ref="AU93" authorId="30" shapeId="0">
      <text>
        <t>For new, remodel, or replacement projects.</t>
      </text>
    </comment>
    <comment ref="AU94" authorId="30" shapeId="0">
      <text>
        <t>For new, remodel, or replacement projects when having erection of ductwork and prior to concealment
for the purposes of leakage testing and recording of device location. Also prior to occupancy and after
sufficient completion for the purposes of pressure-difference testing, flow measurements, and detection
and control verification.</t>
      </text>
    </comment>
    <comment ref="AU95" authorId="30" shapeId="0">
      <text>
        <t>For new, remodel, or replacement projects when there is welding sprinkler pipe.</t>
      </text>
    </comment>
    <comment ref="AU96" authorId="30" shapeId="0">
      <text>
        <t>For new, remodel, or replacement projects when standpipe system piping is welded.</t>
      </text>
    </comment>
  </commentList>
</comments>
</file>

<file path=xl/comments/comment4.xml><?xml version="1.0" encoding="utf-8"?>
<comments xmlns="http://schemas.openxmlformats.org/spreadsheetml/2006/main">
  <authors>
    <author>Enzler, Jeffrey@OSHPD</author>
    <author>Ponce, Cesar@OSHPD</author>
    <author>tc={4FCDD634-6002-4CF2-A215-1570DE6096E9}</author>
    <author>tc={AE1B7D54-A0C3-4E73-9965-1F14781146AE}</author>
    <author>tc={343BA6B6-8ACF-4897-9A91-273A50F594C2}</author>
    <author>tc={C445A394-986C-461F-885A-786CBA2F7246}</author>
    <author>tc={A46C90FC-5CA0-4765-A264-46E737FCD23F}</author>
    <author>tc={4767AF1D-1E7E-4340-A28C-806EF460535A}</author>
    <author>tc={EB1CA7A7-C41B-44FC-914D-B27C629751D8}</author>
    <author>tc={ACC317AD-3C9D-480B-8111-A9BCA46858E1}</author>
    <author>tc={A6ED429D-1EA0-48E5-87E3-02B0477552ED}</author>
    <author>tc={A99E821A-80B5-49DA-BF3F-193275B0A4BE}</author>
    <author>tc={019228DA-9BE6-40AC-B25E-D3D6F4BEA410}</author>
    <author>tc={9AAC2D23-7FCC-4474-B773-5CFA83B79A6B}</author>
    <author>tc={5FE903D6-377A-428B-B073-5655334C2557}</author>
    <author>tc={EF99C3E6-B5C2-4926-9AB0-7E489DC0D727}</author>
    <author>tc={80DF0DFC-2B37-4C47-B9F0-A6B02BEAC27D}</author>
    <author>tc={1386CDA6-9AF9-424F-A9C0-DEFF84DE4E4A}</author>
    <author>tc={CB58F1D2-AEAD-4A85-942B-922BBC3A14CD}</author>
    <author>tc={9C3A29B0-7D9A-4CD5-A97E-CD2500824C49}</author>
    <author>tc={FB928D4D-3AA0-43F2-A022-874EE9D59E6B}</author>
    <author>tc={DD0BB21A-2D90-44FB-A4B1-2429FE3E1314}</author>
    <author>tc={43160316-0B2A-498F-910C-ADAEEF4AEA70}</author>
    <author>tc={38520267-838A-4746-8F7D-3BCE3B4EF3C7}</author>
    <author>tc={CF706FF9-7907-4916-B3FB-6BD77839DECC}</author>
    <author>tc={D908291A-02B0-4BF3-8BBF-C2565C12096E}</author>
    <author>tc={4E7B042E-81C8-431F-94AC-84223767088B}</author>
    <author>tc={E39B44BF-FF79-4038-BE14-26EA38F6E579}</author>
    <author>tc={0612EA9C-D15F-4262-81AC-C89AC436EAEA}</author>
    <author>tc={85560CA2-0D5C-4B1A-A7A6-80ADD8663354}</author>
    <author>tc={4E33B765-158A-4748-B969-FD37C0FAE36E}</author>
    <author>Davis, Chris@HCAI</author>
  </authors>
  <commentList>
    <comment ref="D3" authorId="0" shapeId="0">
      <text>
        <t xml:space="preserve">Do not enter anything on this row; project information is only entered on Section/Tab A
</t>
      </text>
    </comment>
    <comment ref="A5" authorId="0" shapeId="0">
      <text>
        <t xml:space="preserve">Click on the '+' sign to expand the section of the form. Click on the '-' sign to collapse the section
</t>
      </text>
    </comment>
    <comment ref="D5" authorId="0" shapeId="0">
      <text>
        <t>Note: Reference numbers will not be sequential once the form is compiled</t>
      </text>
    </comment>
    <comment ref="E5" authorId="0" shapeId="0">
      <text>
        <t>Place an 'X' in this column to indicate the test is required</t>
      </text>
    </comment>
    <comment ref="AU5" authorId="0" shapeId="0">
      <text>
        <t>Blank rows are provided to add any additional special inspections which may be required</t>
      </text>
    </comment>
    <comment ref="AX5" authorId="1" shapeId="0">
      <text>
        <t>Name of the OSHPD approved agency (or in some cases the individual) approved to perform the test (See Section/Tab I)</t>
      </text>
    </comment>
    <comment ref="AY5" authorId="0" shapeId="0">
      <text>
        <t>The IOR shall place their initials and date in this column to indicate all of the required testing for the item is satisfactorily completed and accepted</t>
      </text>
    </comment>
    <comment ref="AX9" authorId="2" shapeId="0">
      <text>
        <t>[Threaded comment]
Your version of Excel allows you to read this threaded comment; however, any edits to it will get removed if the file is opened in a newer version of Excel. Learn more: https://go.microsoft.com/fwlink/?linkid=870924
Comment:
    S14: /OPAA-0015 RMA
S17: /OPAA-0015 RMA</t>
      </text>
    </comment>
    <comment ref="AX10" authorId="3" shapeId="0">
      <text>
        <t>[Threaded comment]
Your version of Excel allows you to read this threaded comment; however, any edits to it will get removed if the file is opened in a newer version of Excel. Learn more: https://go.microsoft.com/fwlink/?linkid=870924
Comment:
    S14: /OPAA-0015 RMA
S17: /OPAA-0015 RMA</t>
      </text>
    </comment>
    <comment ref="AX11" authorId="4" shapeId="0">
      <text>
        <t>[Threaded comment]
Your version of Excel allows you to read this threaded comment; however, any edits to it will get removed if the file is opened in a newer version of Excel. Learn more: https://go.microsoft.com/fwlink/?linkid=870924
Comment:
    S8: OPAA-0015 RMA
S14: /OPAA-0015 RMA
S17: /OPAA-0015 RMA</t>
      </text>
    </comment>
    <comment ref="AY11" authorId="5" shapeId="0">
      <text>
        <t>[Threaded comment]
Your version of Excel allows you to read this threaded comment; however, any edits to it will get removed if the file is opened in a newer version of Excel. Learn more: https://go.microsoft.com/fwlink/?linkid=870924
Comment:
    S3: MS 4/28/2025
S4: MS 4/28/2025
S8: MS 5/28/2025
S13: MS 7/16/2025</t>
      </text>
    </comment>
    <comment ref="AZ11" authorId="6" shapeId="0">
      <text>
        <t>[Threaded comment]
Your version of Excel allows you to read this threaded comment; however, any edits to it will get removed if the file is opened in a newer version of Excel. Learn more: https://go.microsoft.com/fwlink/?linkid=870924
Comment:
    S3: LSG 4/29/2025
S4: LSG 4/29/2025
S8: LSG 6/3/2025
S13: LSG 7/18/2025</t>
      </text>
    </comment>
    <comment ref="AX14" authorId="7" shapeId="0">
      <text>
        <t>[Threaded comment]
Your version of Excel allows you to read this threaded comment; however, any edits to it will get removed if the file is opened in a newer version of Excel. Learn more: https://go.microsoft.com/fwlink/?linkid=870924
Comment:
    S8: OPAA-0015 RMA
S14: /OPAA-0015 RMA
S17: /OPAA-0015 RMA
S20: +OPAA-0016, Fenagh, CTS
S28: +OPAA-0016, Fenagh, CTS</t>
      </text>
    </comment>
    <comment ref="AY14" authorId="8" shapeId="0">
      <text>
        <t>[Threaded comment]
Your version of Excel allows you to read this threaded comment; however, any edits to it will get removed if the file is opened in a newer version of Excel. Learn more: https://go.microsoft.com/fwlink/?linkid=870924
Comment:
    S3: MS 4/28/2025
S4: MS 4/28/2025
S8: MS 5/28/2025
S13: MS 7/16/2025</t>
      </text>
    </comment>
    <comment ref="AZ14" authorId="9" shapeId="0">
      <text>
        <t>[Threaded comment]
Your version of Excel allows you to read this threaded comment; however, any edits to it will get removed if the file is opened in a newer version of Excel. Learn more: https://go.microsoft.com/fwlink/?linkid=870924
Comment:
    S3: LSG 4/29/2025
S4: LSG 4/29/2025
S8: LSG 6/3/2025
S13: LSG 7/18/2025</t>
      </text>
    </comment>
    <comment ref="AX15" authorId="10" shapeId="0">
      <text>
        <t>[Threaded comment]
Your version of Excel allows you to read this threaded comment; however, any edits to it will get removed if the file is opened in a newer version of Excel. Learn more: https://go.microsoft.com/fwlink/?linkid=870924
Comment:
    S14: /OPAA-0015 RMA
S17: /OPAA-0015 RMA</t>
      </text>
    </comment>
    <comment ref="AY15" authorId="11" shapeId="0">
      <text>
        <t>[Threaded comment]
Your version of Excel allows you to read this threaded comment; however, any edits to it will get removed if the file is opened in a newer version of Excel. Learn more: https://go.microsoft.com/fwlink/?linkid=870924
Comment:
    S1: MS 4/17/2025</t>
      </text>
    </comment>
    <comment ref="AZ15" authorId="12" shapeId="0">
      <text>
        <t>[Threaded comment]
Your version of Excel allows you to read this threaded comment; however, any edits to it will get removed if the file is opened in a newer version of Excel. Learn more: https://go.microsoft.com/fwlink/?linkid=870924
Comment:
    S1: LSG 4/29/2025</t>
      </text>
    </comment>
    <comment ref="AX22" authorId="13" shapeId="0">
      <text>
        <t xml:space="preserve">[Threaded comment]
Your version of Excel allows you to read this threaded comment; however, any edits to it will get removed if the file is opened in a newer version of Excel. Learn more: https://go.microsoft.com/fwlink/?linkid=870924
Comment:
    S14: + OPAA-0027
</t>
      </text>
    </comment>
    <comment ref="AY22" authorId="14" shapeId="0">
      <text>
        <t>[Threaded comment]
Your version of Excel allows you to read this threaded comment; however, any edits to it will get removed if the file is opened in a newer version of Excel. Learn more: https://go.microsoft.com/fwlink/?linkid=870924
Comment:
    S3: MS 4/28/2025
S4: MS 4/28/2025</t>
      </text>
    </comment>
    <comment ref="AZ22" authorId="15" shapeId="0">
      <text>
        <t>[Threaded comment]
Your version of Excel allows you to read this threaded comment; however, any edits to it will get removed if the file is opened in a newer version of Excel. Learn more: https://go.microsoft.com/fwlink/?linkid=870924
Comment:
    S3: LSG 4/29/2025
S4: LSG 4/29/2025</t>
      </text>
    </comment>
    <comment ref="AX23" authorId="16" shapeId="0">
      <text>
        <t xml:space="preserve">[Threaded comment]
Your version of Excel allows you to read this threaded comment; however, any edits to it will get removed if the file is opened in a newer version of Excel. Learn more: https://go.microsoft.com/fwlink/?linkid=870924
Comment:
    S14: + OPAA-0027
</t>
      </text>
    </comment>
    <comment ref="AY23" authorId="17" shapeId="0">
      <text>
        <t>[Threaded comment]
Your version of Excel allows you to read this threaded comment; however, any edits to it will get removed if the file is opened in a newer version of Excel. Learn more: https://go.microsoft.com/fwlink/?linkid=870924
Comment:
    S3: MS 4/28/2025
S4: MS 4/28/2025</t>
      </text>
    </comment>
    <comment ref="AZ23" authorId="18" shapeId="0">
      <text>
        <t>[Threaded comment]
Your version of Excel allows you to read this threaded comment; however, any edits to it will get removed if the file is opened in a newer version of Excel. Learn more: https://go.microsoft.com/fwlink/?linkid=870924
Comment:
    S3: LSG 4/29/2025
S4: LSG 4/29/2025</t>
      </text>
    </comment>
    <comment ref="AX29" authorId="19" shapeId="0">
      <text>
        <t>[Threaded comment]
Your version of Excel allows you to read this threaded comment; however, any edits to it will get removed if the file is opened in a newer version of Excel. Learn more: https://go.microsoft.com/fwlink/?linkid=870924
Comment:
    S3: OPAA-0011 RMA
S7: OPAA-0015 RMA
S9: OPAA-0015 RMA
S14: OPAA-0015/OPAA-0016, OPAA-0020 RMA, Fenagh, CTS
S26: OPAA-0015 RMA
Reply:
    CTS ONLY FOR STAGE 41.
Reply:
    Updated in Delta 16: 
S13: OPAA-0015 RMA, OPAA-0020 CTS
Reply:
    Updated in Delta 22: Stage 9: RMA OPAA-0015, FENAGH OPAA-0016, and CTS OPAA-0020</t>
      </text>
    </comment>
    <comment ref="AY29" authorId="20" shapeId="0">
      <text>
        <t xml:space="preserve">[Threaded comment]
Your version of Excel allows you to read this threaded comment; however, any edits to it will get removed if the file is opened in a newer version of Excel. Learn more: https://go.microsoft.com/fwlink/?linkid=870924
Comment:
    S3: MS 4/28/2025
S13: MS 7/16/2025 &amp; NC
Reply:
    S26: NC 9/18/25
</t>
      </text>
    </comment>
    <comment ref="AZ29" authorId="21" shapeId="0">
      <text>
        <t>[Threaded comment]
Your version of Excel allows you to read this threaded comment; however, any edits to it will get removed if the file is opened in a newer version of Excel. Learn more: https://go.microsoft.com/fwlink/?linkid=870924
Comment:
    S3: LSG 4/29/2025
S13: LSG 7/18/2025
Reply:
    S26: LSG 9/18/25</t>
      </text>
    </comment>
    <comment ref="AX30" authorId="22" shapeId="0">
      <text>
        <t>[Threaded comment]
Your version of Excel allows you to read this threaded comment; however, any edits to it will get removed if the file is opened in a newer version of Excel. Learn more: https://go.microsoft.com/fwlink/?linkid=870924
Comment:
    S9: OPAA-0015 RMA
S14: OPAA-0015/OPAA-0016, OPAA-0020 RMA, Fenagh, CTS
S26: OPAA-0015 RMA
Reply:
    CTS ONLY FOR STAGE 41.
Reply:
    Updated in Delta 16: 
S13: OPAA-0015 RMA, OPAA-0020 CTS
Reply:
    Updated in Delta 22: Stage 9: RMA OPAA-0015, FENAGH OPAA-0016, and CTS OPAA-0020</t>
      </text>
    </comment>
    <comment ref="AY30" authorId="23" shapeId="0">
      <text>
        <t xml:space="preserve">[Threaded comment]
Your version of Excel allows you to read this threaded comment; however, any edits to it will get removed if the file is opened in a newer version of Excel. Learn more: https://go.microsoft.com/fwlink/?linkid=870924
Comment:
    S13: MS 7/16/2025 &amp; NC
Reply:
    S26: NC 9/18/25
</t>
      </text>
    </comment>
    <comment ref="AZ30" authorId="24" shapeId="0">
      <text>
        <t xml:space="preserve">[Threaded comment]
Your version of Excel allows you to read this threaded comment; however, any edits to it will get removed if the file is opened in a newer version of Excel. Learn more: https://go.microsoft.com/fwlink/?linkid=870924
Comment:
    S13: LSG 7/18/2025
Reply:
    S26: LSG 9/18/25
</t>
      </text>
    </comment>
    <comment ref="AX31" authorId="25" shapeId="0">
      <text>
        <t xml:space="preserve">[Threaded comment]
Your version of Excel allows you to read this threaded comment; however, any edits to it will get removed if the file is opened in a newer version of Excel. Learn more: https://go.microsoft.com/fwlink/?linkid=870924
Comment:
    S7: OPAA-0015 RMA
S14: OPAA-0015/OPAA-0016, OPAA-0020 RMA, Fenagh, CTS
S26: OPAA-0015 RMA
Reply:
    CTS ONLY FOR STAGE 41.
Reply:
    Updated in Delta 16: 
S13: OPAA-0015 RMA, OPAA-0020 CTS
</t>
      </text>
    </comment>
    <comment ref="AY31" authorId="26" shapeId="0">
      <text>
        <t xml:space="preserve">[Threaded comment]
Your version of Excel allows you to read this threaded comment; however, any edits to it will get removed if the file is opened in a newer version of Excel. Learn more: https://go.microsoft.com/fwlink/?linkid=870924
Comment:
    S13: MS 7/16/2025 &amp; NC
Reply:
    S26: NC 9/18/25
</t>
      </text>
    </comment>
    <comment ref="AZ31" authorId="27" shapeId="0">
      <text>
        <t xml:space="preserve">[Threaded comment]
Your version of Excel allows you to read this threaded comment; however, any edits to it will get removed if the file is opened in a newer version of Excel. Learn more: https://go.microsoft.com/fwlink/?linkid=870924
Comment:
    S13: LSG 7/18/2025
Reply:
    S26: LSG 9/18/25
</t>
      </text>
    </comment>
    <comment ref="AX32" authorId="28" shapeId="0">
      <text>
        <t>[Threaded comment]
Your version of Excel allows you to read this threaded comment; however, any edits to it will get removed if the file is opened in a newer version of Excel. Learn more: https://go.microsoft.com/fwlink/?linkid=870924
Comment:
    S7: OPAA-0015 RMA
S14: OPAA-0015/OPAA-0016, OPAA-0020 RMA, Fenagh, CTS
S26: OPAA-0015, OPAA-0016, OPAA-0020 RMA, Fenagh, CTS
Reply:
    CTS ONLY FOR STAGE 41.
Reply:
    Updated in Delta 16: 
S13: OPAA-0015 RMA, OPAA-0020 CTS</t>
      </text>
    </comment>
    <comment ref="AY32" authorId="29" shapeId="0">
      <text>
        <t xml:space="preserve">[Threaded comment]
Your version of Excel allows you to read this threaded comment; however, any edits to it will get removed if the file is opened in a newer version of Excel. Learn more: https://go.microsoft.com/fwlink/?linkid=870924
Comment:
    S13: MS 7/16/2025 &amp; NC
Reply:
    S26: NC 9/18/25
</t>
      </text>
    </comment>
    <comment ref="AZ32" authorId="30" shapeId="0">
      <text>
        <t xml:space="preserve">[Threaded comment]
Your version of Excel allows you to read this threaded comment; however, any edits to it will get removed if the file is opened in a newer version of Excel. Learn more: https://go.microsoft.com/fwlink/?linkid=870924
Comment:
    S13: LSG 7/18/2025
Reply:
    S26: LSG 9/18/25
</t>
      </text>
    </comment>
    <comment ref="AU45" authorId="31" shapeId="0">
      <text>
        <t>Required for projects that use aluminum as a structural material.</t>
      </text>
    </comment>
    <comment ref="AU46" authorId="31" shapeId="0">
      <text>
        <t>Required for projects that include glazing scope that uses structrual sealant.</t>
      </text>
    </comment>
    <comment ref="AU49" authorId="31" shapeId="0">
      <text>
        <t>Required for projects that include work that is unusual in nature. Work that includes construction with
alternatives to traditional materials and/or systems, unusual design applications, and/or manufacturer
installation requirements that are not shown in codes or standards.</t>
      </text>
    </comment>
    <comment ref="AU50" authorId="31" shapeId="0">
      <text>
        <t>Required for projects that include seismic isolators as part of the lateral force resisting system.</t>
      </text>
    </comment>
    <comment ref="AU51" authorId="31" shapeId="0">
      <text>
        <t>Required for projects that include energy dissipation devices as part of the lateral force resisting
system.</t>
      </text>
    </comment>
    <comment ref="AU58" authorId="31" shapeId="0">
      <text>
        <t>This is generally required on most new and remodel projects that include the installation or revisions
to existing distributive utility systems and their associated equipment.</t>
      </text>
    </comment>
    <comment ref="AU59" authorId="31" shapeId="0">
      <text>
        <t>Required on projects with equipment requiring special seismic certification.</t>
      </text>
    </comment>
    <comment ref="AU69" authorId="31" shapeId="0">
      <text>
        <t>For new, remodel, or replacement projects. This type of test is applied to floor, roof, and wall assemblies,
and structural members. Consider OPD-0091-13 for Fire-Resistive Standard Details.</t>
      </text>
    </comment>
    <comment ref="AU70" authorId="31" shapeId="0">
      <text>
        <t>Applicable for structural elements on new, remodel, or replacement projects.</t>
      </text>
    </comment>
    <comment ref="AU71" authorId="31" shapeId="0">
      <text>
        <t>For new, remodel, or replacement projects.</t>
      </text>
    </comment>
    <comment ref="AU72" authorId="31" shapeId="0">
      <text>
        <t>For new, remodel, or replacement projects.</t>
      </text>
    </comment>
    <comment ref="AU73" authorId="31" shapeId="0">
      <text>
        <t>Applicable for new, remodel, replacement, repair projects when having erection of ductwork and prior
to concealment for the purposes of leakage testing and recording of device location. Also prior to
occupancy and after sufficient completion for the purposes of pressure-difference testing, flow measurements,
and detection and control verification.</t>
      </text>
    </comment>
    <comment ref="AU74" authorId="31" shapeId="0">
      <text>
        <t>For new, remodel, or replacement projects when there is welding sprinkler pipe.</t>
      </text>
    </comment>
    <comment ref="AU75" authorId="31" shapeId="0">
      <text>
        <t>For new, remodel, or replacement projects when standpipe system piping is welded.</t>
      </text>
    </comment>
  </commentList>
</comments>
</file>

<file path=xl/comments/comment5.xml><?xml version="1.0" encoding="utf-8"?>
<comments xmlns="http://schemas.openxmlformats.org/spreadsheetml/2006/main">
  <authors>
    <author>Enzler, Jeffrey@OSHPD</author>
    <author>Chris.Davis@OSHPD</author>
  </authors>
  <commentList>
    <comment ref="D3" authorId="0" shapeId="0">
      <text>
        <t xml:space="preserve">Do not enter anything on this row; project information is only entered on Section/Tab A
</t>
      </text>
    </comment>
    <comment ref="F5" authorId="0" shapeId="0">
      <text>
        <t xml:space="preserve">Describe each project stage, milestone, or interval for which one or more Verified Compliance Report is required.  per CAC 7-141(i) and 7-151(f). A milestone or interval can include multiple stages.
</t>
      </text>
    </comment>
    <comment ref="G6" authorId="0" shapeId="0">
      <text>
        <t xml:space="preserve">GEOR = Geotechnical Engineer of Record
</t>
      </text>
    </comment>
    <comment ref="H6" authorId="0" shapeId="0">
      <text>
        <t xml:space="preserve">AOR = Architect or Record (often the Architect in Responsible Charge of the entire project)
</t>
      </text>
    </comment>
    <comment ref="I6" authorId="0" shapeId="0">
      <text>
        <t xml:space="preserve">SEOR = Structural Engineer of Record
</t>
      </text>
    </comment>
    <comment ref="J6" authorId="0" shapeId="0">
      <text>
        <t>MEOR = Mechanical Engineer of Record</t>
      </text>
    </comment>
    <comment ref="K6" authorId="0" shapeId="0">
      <text>
        <t xml:space="preserve">EEOR = Electrical Engineer of Record
</t>
      </text>
    </comment>
    <comment ref="L6" authorId="0" shapeId="0">
      <text>
        <t>CONT = Contractor</t>
      </text>
    </comment>
    <comment ref="M6" authorId="0" shapeId="0">
      <text>
        <t>IOR = Inspector of Record</t>
      </text>
    </comment>
    <comment ref="N6" authorId="0" shapeId="0">
      <text>
        <t>SP INSP = Special Inspector Employed by Approved Inspection Agency</t>
      </text>
    </comment>
    <comment ref="O6" authorId="0" shapeId="0">
      <text>
        <t xml:space="preserve">TEST LAB = Approved Testing Agency
</t>
      </text>
    </comment>
    <comment ref="P6" authorId="0" shapeId="0">
      <text>
        <t xml:space="preserve">Additional column may be added here. For large projects attachments may be required to identify all Verified Report Requirements
</t>
      </text>
    </comment>
    <comment ref="F86" authorId="1" shapeId="0">
      <text>
        <t>Aligns with Assembly Bill 2789</t>
      </text>
    </comment>
    <comment ref="F87" authorId="1" shapeId="0">
      <text>
        <t>Aligns with Assembly Bill 2789</t>
      </text>
    </comment>
  </commentList>
</comments>
</file>

<file path=xl/comments/comment6.xml><?xml version="1.0" encoding="utf-8"?>
<comments xmlns="http://schemas.openxmlformats.org/spreadsheetml/2006/main">
  <authors>
    <author>Enzler, Jeffrey@OSHPD</author>
  </authors>
  <commentList>
    <comment ref="D3" authorId="0" shapeId="0">
      <text>
        <t xml:space="preserve">Do not enter anything on this row; project information is only entered on Section/Tab A
</t>
      </text>
    </comment>
  </commentList>
</comments>
</file>

<file path=xl/comments/comment7.xml><?xml version="1.0" encoding="utf-8"?>
<comments xmlns="http://schemas.openxmlformats.org/spreadsheetml/2006/main">
  <authors>
    <author>Enzler, Jeffrey@OSHPD</author>
    <author>Ponce, Cesar@OSHPD</author>
  </authors>
  <commentList>
    <comment ref="D3" authorId="0" shapeId="0">
      <text>
        <t>Do not enter anything on this row; project information is only entered on Section/Tab A</t>
      </text>
    </comment>
    <comment ref="A5" authorId="0" shapeId="0">
      <text>
        <t>Click on the '+' sign to expand the section of the form. Click on the '-' sign to collapse the section</t>
      </text>
    </comment>
    <comment ref="D5" authorId="0" shapeId="0">
      <text>
        <t>Note: Reference numbers will not be sequential once the form is compiled</t>
      </text>
    </comment>
    <comment ref="E5" authorId="0" shapeId="0">
      <text>
        <t>Place an 'X' in this column to indicate the test is required</t>
      </text>
    </comment>
    <comment ref="F5" authorId="0" shapeId="0">
      <text>
        <t>Blank rows are provided to add any additional documentation required by local AHJs or other entities specific to the project</t>
      </text>
    </comment>
    <comment ref="G5" authorId="1" shapeId="0">
      <text>
        <t xml:space="preserve">Name of the installing contractor which under their purview the items  were installed and/or to meet the requirements documented in the NRCC, NRCA and approved construction documents
</t>
      </text>
    </comment>
    <comment ref="I5" authorId="0" shapeId="0">
      <text>
        <t>The IOR shall place their initials and date in this column to indicate they received all of the required documentation for the installation and/or testing for the item(s) required by the NRCI, NRCA and approved construction documents.</t>
      </text>
    </comment>
  </commentList>
</comments>
</file>

<file path=xl/comments/comment8.xml><?xml version="1.0" encoding="utf-8"?>
<comments xmlns="http://schemas.openxmlformats.org/spreadsheetml/2006/main">
  <authors>
    <author>Enzler, Jeffrey@OSHPD</author>
  </authors>
  <commentList>
    <comment ref="D3" authorId="0" shapeId="0">
      <text>
        <t xml:space="preserve">Do not enter anything on this row; project information is only entered on Section/Tab A
</t>
      </text>
    </comment>
  </commentList>
</comments>
</file>

<file path=xl/comments/comment9.xml><?xml version="1.0" encoding="utf-8"?>
<comments xmlns="http://schemas.openxmlformats.org/spreadsheetml/2006/main">
  <authors>
    <author>Enzler, Jeffrey@OSHPD</author>
  </authors>
  <commentList>
    <comment ref="D3" authorId="0" shapeId="0">
      <text>
        <t xml:space="preserve">Do not enter anything on this row; project information is only entered on Section/Tab A
</t>
      </text>
    </comment>
  </commentList>
</comments>
</file>

<file path=xl/comments/comment10.xml><?xml version="1.0" encoding="utf-8"?>
<comments xmlns="http://schemas.openxmlformats.org/spreadsheetml/2006/main">
  <authors>
    <author>Enzler, Jeffrey@OSHPD</author>
  </authors>
  <commentList>
    <comment ref="D3" authorId="0" shapeId="0">
      <text>
        <t xml:space="preserve">Do not enter anything on this row; project information is only entered on Section/Tab A
</t>
      </text>
    </comment>
    <comment ref="D6" authorId="0" shapeId="0">
      <text>
        <t xml:space="preserve">Enter a Revision Number for each change to the TIO Form
</t>
      </text>
    </comment>
    <comment ref="E6" authorId="0" shapeId="0">
      <text>
        <t xml:space="preserve">Brief description of the change to the form
</t>
      </text>
    </comment>
    <comment ref="F6" authorId="0" shapeId="0">
      <text>
        <t xml:space="preserve">Place initials in the box to indicate the architect or engineer in responsible charge has reviewed and approved the changes
</t>
      </text>
    </comment>
    <comment ref="G6" authorId="0" shapeId="0">
      <text>
        <t xml:space="preserve">Place initials in the box to indicate the structural engineer has reviewed and approved the changes (not required for changes which don't affect structural)
</t>
      </text>
    </comment>
    <comment ref="H6" authorId="0" shapeId="0">
      <text>
        <t xml:space="preserve">Effective date of the change
</t>
      </text>
    </comment>
  </commentList>
</comments>
</file>

<file path=xl/drawings/_rels/vmlDrawing1.v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3.vml.rels><?xml version="1.0" encoding="UTF-8" standalone="yes"?>
<Relationships xmlns="http://schemas.openxmlformats.org/package/2006/relationships"><Relationship Id="rId3" Type="http://schemas.openxmlformats.org/officeDocument/2006/relationships/image" Target="../media/image17.emf"/><Relationship Id="rId2" Type="http://schemas.openxmlformats.org/officeDocument/2006/relationships/image" Target="../media/image16.emf"/><Relationship Id="rId1" Type="http://schemas.openxmlformats.org/officeDocument/2006/relationships/image" Target="../media/image15.emf"/><Relationship Id="rId6" Type="http://schemas.openxmlformats.org/officeDocument/2006/relationships/image" Target="../media/image20.emf"/><Relationship Id="rId5" Type="http://schemas.openxmlformats.org/officeDocument/2006/relationships/image" Target="../media/image19.emf"/><Relationship Id="rId4" Type="http://schemas.openxmlformats.org/officeDocument/2006/relationships/image" Target="../media/image18.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5.vml.rels><?xml version="1.0" encoding="UTF-8" standalone="yes"?>
<Relationships xmlns="http://schemas.openxmlformats.org/package/2006/relationships"><Relationship Id="rId8" Type="http://schemas.openxmlformats.org/officeDocument/2006/relationships/image" Target="../media/image28.emf"/><Relationship Id="rId3" Type="http://schemas.openxmlformats.org/officeDocument/2006/relationships/image" Target="../media/image23.emf"/><Relationship Id="rId7" Type="http://schemas.openxmlformats.org/officeDocument/2006/relationships/image" Target="../media/image27.emf"/><Relationship Id="rId2" Type="http://schemas.openxmlformats.org/officeDocument/2006/relationships/image" Target="../media/image22.emf"/><Relationship Id="rId1" Type="http://schemas.openxmlformats.org/officeDocument/2006/relationships/image" Target="../media/image21.emf"/><Relationship Id="rId6" Type="http://schemas.openxmlformats.org/officeDocument/2006/relationships/image" Target="../media/image26.emf"/><Relationship Id="rId5" Type="http://schemas.openxmlformats.org/officeDocument/2006/relationships/image" Target="../media/image25.emf"/><Relationship Id="rId4" Type="http://schemas.openxmlformats.org/officeDocument/2006/relationships/image" Target="../media/image24.emf"/><Relationship Id="rId9" Type="http://schemas.openxmlformats.org/officeDocument/2006/relationships/image" Target="../media/image19.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33.emf"/><Relationship Id="rId3" Type="http://schemas.openxmlformats.org/officeDocument/2006/relationships/image" Target="../media/image23.emf"/><Relationship Id="rId7" Type="http://schemas.openxmlformats.org/officeDocument/2006/relationships/image" Target="../media/image24.emf"/><Relationship Id="rId2" Type="http://schemas.openxmlformats.org/officeDocument/2006/relationships/image" Target="../media/image30.emf"/><Relationship Id="rId1" Type="http://schemas.openxmlformats.org/officeDocument/2006/relationships/image" Target="../media/image29.emf"/><Relationship Id="rId6" Type="http://schemas.openxmlformats.org/officeDocument/2006/relationships/image" Target="../media/image26.emf"/><Relationship Id="rId5" Type="http://schemas.openxmlformats.org/officeDocument/2006/relationships/image" Target="../media/image32.emf"/><Relationship Id="rId10" Type="http://schemas.openxmlformats.org/officeDocument/2006/relationships/image" Target="../media/image19.emf"/><Relationship Id="rId4" Type="http://schemas.openxmlformats.org/officeDocument/2006/relationships/image" Target="../media/image31.emf"/><Relationship Id="rId9" Type="http://schemas.openxmlformats.org/officeDocument/2006/relationships/image" Target="../media/image2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9.vml.rels><?xml version="1.0" encoding="UTF-8" standalone="yes"?>
<Relationships xmlns="http://schemas.openxmlformats.org/package/2006/relationships"><Relationship Id="rId8" Type="http://schemas.openxmlformats.org/officeDocument/2006/relationships/image" Target="../media/image37.emf"/><Relationship Id="rId3" Type="http://schemas.openxmlformats.org/officeDocument/2006/relationships/image" Target="../media/image23.emf"/><Relationship Id="rId7" Type="http://schemas.openxmlformats.org/officeDocument/2006/relationships/image" Target="../media/image36.emf"/><Relationship Id="rId2" Type="http://schemas.openxmlformats.org/officeDocument/2006/relationships/image" Target="../media/image35.emf"/><Relationship Id="rId1" Type="http://schemas.openxmlformats.org/officeDocument/2006/relationships/image" Target="../media/image34.emf"/><Relationship Id="rId6" Type="http://schemas.openxmlformats.org/officeDocument/2006/relationships/image" Target="../media/image24.emf"/><Relationship Id="rId5" Type="http://schemas.openxmlformats.org/officeDocument/2006/relationships/image" Target="../media/image32.emf"/><Relationship Id="rId10" Type="http://schemas.openxmlformats.org/officeDocument/2006/relationships/image" Target="../media/image19.emf"/><Relationship Id="rId4" Type="http://schemas.openxmlformats.org/officeDocument/2006/relationships/image" Target="../media/image25.emf"/><Relationship Id="rId9" Type="http://schemas.openxmlformats.org/officeDocument/2006/relationships/image" Target="../media/image38.emf"/></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vmlDrawing3.vml" Id="anysvml" /></Relationships>
</file>

<file path=xl/worksheets/_rels/sheet4.xml.rels><Relationships xmlns="http://schemas.openxmlformats.org/package/2006/relationships"><Relationship Type="http://schemas.openxmlformats.org/officeDocument/2006/relationships/comments" Target="/xl/comments/comment2.xml" Id="comments" /><Relationship Type="http://schemas.openxmlformats.org/officeDocument/2006/relationships/vmlDrawing" Target="/xl/drawings/vmlDrawing5.vml" Id="anysvml" /></Relationships>
</file>

<file path=xl/worksheets/_rels/sheet5.xml.rels><Relationships xmlns="http://schemas.openxmlformats.org/package/2006/relationships"><Relationship Type="http://schemas.openxmlformats.org/officeDocument/2006/relationships/comments" Target="/xl/comments/comment3.xml" Id="comments" /><Relationship Type="http://schemas.openxmlformats.org/officeDocument/2006/relationships/vmlDrawing" Target="/xl/drawings/vmlDrawing7.vml" Id="anysvml" /></Relationships>
</file>

<file path=xl/worksheets/_rels/sheet6.xml.rels><Relationships xmlns="http://schemas.openxmlformats.org/package/2006/relationships"><Relationship Type="http://schemas.openxmlformats.org/officeDocument/2006/relationships/comments" Target="/xl/comments/comment4.xml" Id="comments" /><Relationship Type="http://schemas.openxmlformats.org/officeDocument/2006/relationships/vmlDrawing" Target="/xl/drawings/vmlDrawing9.vml" Id="anysvml" /></Relationships>
</file>

<file path=xl/worksheets/_rels/sheet7.xml.rels><Relationships xmlns="http://schemas.openxmlformats.org/package/2006/relationships"><Relationship Type="http://schemas.openxmlformats.org/officeDocument/2006/relationships/comments" Target="/xl/comments/comment5.xml" Id="comments" /><Relationship Type="http://schemas.openxmlformats.org/officeDocument/2006/relationships/vmlDrawing" Target="/xl/drawings/vmlDrawing11.vml" Id="anysvml" /></Relationships>
</file>

<file path=xl/worksheets/_rels/sheet8.xml.rels><Relationships xmlns="http://schemas.openxmlformats.org/package/2006/relationships"><Relationship Type="http://schemas.openxmlformats.org/officeDocument/2006/relationships/comments" Target="/xl/comments/comment6.xml" Id="comments" /><Relationship Type="http://schemas.openxmlformats.org/officeDocument/2006/relationships/vmlDrawing" Target="/xl/drawings/vmlDrawing13.vml" Id="anysvml" /></Relationships>
</file>

<file path=xl/worksheets/_rels/sheet9.xml.rels><Relationships xmlns="http://schemas.openxmlformats.org/package/2006/relationships"><Relationship Type="http://schemas.openxmlformats.org/officeDocument/2006/relationships/comments" Target="/xl/comments/comment7.xml" Id="comments" /><Relationship Type="http://schemas.openxmlformats.org/officeDocument/2006/relationships/vmlDrawing" Target="/xl/drawings/vmlDrawing15.vml" Id="anysvml" /></Relationships>
</file>

<file path=xl/worksheets/_rels/sheet10.xml.rels><Relationships xmlns="http://schemas.openxmlformats.org/package/2006/relationships"><Relationship Type="http://schemas.openxmlformats.org/officeDocument/2006/relationships/comments" Target="/xl/comments/comment8.xml" Id="comments" /><Relationship Type="http://schemas.openxmlformats.org/officeDocument/2006/relationships/vmlDrawing" Target="/xl/drawings/vmlDrawing17.vml" Id="anysvml" /></Relationships>
</file>

<file path=xl/worksheets/_rels/sheet11.xml.rels><Relationships xmlns="http://schemas.openxmlformats.org/package/2006/relationships"><Relationship Type="http://schemas.openxmlformats.org/officeDocument/2006/relationships/comments" Target="/xl/comments/comment9.xml" Id="comments" /><Relationship Type="http://schemas.openxmlformats.org/officeDocument/2006/relationships/vmlDrawing" Target="/xl/drawings/vmlDrawing19.vml" Id="anysvml" /></Relationships>
</file>

<file path=xl/worksheets/_rels/sheet12.xml.rels><Relationships xmlns="http://schemas.openxmlformats.org/package/2006/relationships"><Relationship Type="http://schemas.openxmlformats.org/officeDocument/2006/relationships/comments" Target="/xl/comments/comment10.xml" Id="comments" /><Relationship Type="http://schemas.openxmlformats.org/officeDocument/2006/relationships/vmlDrawing" Target="/xl/drawings/vmlDrawing21.vml" Id="anysvml" /></Relationships>
</file>

<file path=xl/worksheets/_rels/sheet14.xml.rels><Relationships xmlns="http://schemas.openxmlformats.org/package/2006/relationships"><Relationship Type="http://schemas.openxmlformats.org/officeDocument/2006/relationships/hyperlink" Target="https://sft.oshpd.ca.gov/s/NcX76NxTSBzHq9T" TargetMode="External" Id="rId1" /><Relationship Type="http://schemas.openxmlformats.org/officeDocument/2006/relationships/vmlDrawing" Target="/xl/drawings/vmlDrawing24.vml" Id="anysvml" /></Relationships>
</file>

<file path=xl/worksheets/sheet1.xml><?xml version="1.0" encoding="utf-8"?>
<worksheet xmlns="http://schemas.openxmlformats.org/spreadsheetml/2006/main">
  <sheetPr codeName="Sheet4">
    <tabColor theme="7" tint="0.7999816888943144"/>
    <outlinePr summaryBelow="1" summaryRight="1"/>
    <pageSetUpPr/>
  </sheetPr>
  <dimension ref="A2:A2"/>
  <sheetViews>
    <sheetView topLeftCell="A21" zoomScaleNormal="100" workbookViewId="0">
      <selection activeCell="V10" sqref="V10"/>
    </sheetView>
  </sheetViews>
  <sheetFormatPr baseColWidth="10" defaultColWidth="8.83203125" defaultRowHeight="15"/>
  <cols>
    <col width="9.1640625" customWidth="1" min="21" max="21"/>
  </cols>
  <sheetData>
    <row r="2" ht="26" customHeight="1">
      <c r="A2" s="64" t="inlineStr">
        <is>
          <t xml:space="preserve">Macro Instructions </t>
        </is>
      </c>
    </row>
  </sheetData>
  <sheetProtection selectLockedCells="1" selectUnlockedCells="1" algorithmName="SHA-512" sheet="1" objects="1" insertRows="0" insertHyperlinks="1" autoFilter="1" scenarios="0" formatColumns="0" deleteColumns="1" insertColumns="1" pivotTables="1" deleteRows="0" formatCells="0" saltValue="gL+l9fBM86Bq0kh0h/gFcg==" formatRows="0" sort="1" spinCount="100000" hashValue="JYVZF4xgJaEl4jWuKM6Qf1iMzkxzbv80eIAszJwXcxExc0OPVeoX8ukUSp3mZO0Jrdogh3cBaacCL7E+0RNpqQ=="/>
  <printOptions horizontalCentered="1"/>
  <pageMargins left="0.3" right="0.3" top="1.6" bottom="0.3" header="0" footer="0"/>
  <pageSetup orientation="portrait" scale="85" useFirstPageNumber="1"/>
  <headerFooter>
    <oddHeader/>
    <oddFooter>&amp;CSTATE OF CALIFORNIA - HEALTH AND HUMAN SERVICES AGENCY&amp;RS-M&amp;P&amp;LOSH-FD-303A (R04.26)</oddFooter>
    <evenHeader/>
    <evenFooter/>
    <firstHeader/>
    <firstFooter/>
  </headerFooter>
</worksheet>
</file>

<file path=xl/worksheets/sheet2.xml><?xml version="1.0" encoding="utf-8"?>
<worksheet xmlns="http://schemas.openxmlformats.org/spreadsheetml/2006/main">
  <sheetPr codeName="Sheet15">
    <tabColor theme="7" tint="0.7999816888943144"/>
    <outlinePr summaryBelow="1" summaryRight="1"/>
    <pageSetUpPr/>
  </sheetPr>
  <dimension ref="A1:A1"/>
  <sheetViews>
    <sheetView zoomScale="85" zoomScaleNormal="85" workbookViewId="0">
      <selection activeCell="AB14" sqref="AB14"/>
    </sheetView>
  </sheetViews>
  <sheetFormatPr baseColWidth="10" defaultColWidth="8.83203125" defaultRowHeight="15"/>
  <sheetData/>
  <sheetProtection selectLockedCells="0" selectUnlockedCells="0" algorithmName="SHA-512" sheet="1" objects="1" insertRows="0" insertHyperlinks="1" autoFilter="1" scenarios="0" formatColumns="0" deleteColumns="1" insertColumns="1" pivotTables="1" deleteRows="0" formatCells="0" saltValue="yriCtzDsQedT/M5iFeFu5g==" formatRows="0" sort="1" spinCount="100000" hashValue="6izC4EXey51sPKBkjjtTempLHT1zYaazyNI5eT5EM/dgfJ9iiVMVjBURyDeA/TwyYdEB9B4SuMt2E5frxivkuA=="/>
  <pageMargins left="0.7" right="0.7" top="0.75" bottom="0.75" header="0.3" footer="0.3"/>
  <pageSetup orientation="portrait" useFirstPageNumber="1" horizontalDpi="1200" verticalDpi="1200"/>
  <headerFooter>
    <oddHeader/>
    <oddFooter>&amp;RS-T&amp;P&amp;LOSH-FD-303A (R04.26)</oddFooter>
    <evenHeader/>
    <evenFooter/>
    <firstHeader/>
    <firstFooter/>
  </headerFooter>
</worksheet>
</file>

<file path=xl/worksheets/sheet3.xml><?xml version="1.0" encoding="utf-8"?>
<worksheet xmlns="http://schemas.openxmlformats.org/spreadsheetml/2006/main">
  <sheetPr codeName="Sheet2">
    <tabColor theme="4" tint="-0.249977111117893"/>
    <outlinePr summaryBelow="1" summaryRight="1"/>
    <pageSetUpPr/>
  </sheetPr>
  <dimension ref="B7:U74"/>
  <sheetViews>
    <sheetView view="pageBreakPreview" zoomScaleNormal="100" zoomScaleSheetLayoutView="100" workbookViewId="0">
      <selection activeCell="D25" sqref="D25:E25"/>
    </sheetView>
  </sheetViews>
  <sheetFormatPr baseColWidth="10" defaultColWidth="9" defaultRowHeight="15"/>
  <cols>
    <col width="3.6640625" customWidth="1" min="1" max="1"/>
    <col width="3.33203125" customWidth="1" min="2" max="2"/>
    <col width="1.33203125" customWidth="1" min="3" max="3"/>
    <col width="3.33203125" customWidth="1" min="4" max="4"/>
    <col width="8.6640625" customWidth="1" min="5" max="5"/>
    <col width="32" customWidth="1" min="6" max="6"/>
    <col width="20.6640625" customWidth="1" min="7" max="7"/>
    <col width="16.83203125" customWidth="1" min="8" max="8"/>
    <col width="16" customWidth="1" min="9" max="9"/>
    <col width="1" customWidth="1" min="10" max="10"/>
    <col width="4" customWidth="1" min="11" max="11"/>
    <col width="10.33203125" customWidth="1" min="12" max="12"/>
    <col width="9.1640625" customWidth="1" min="13" max="16"/>
    <col width="9" customWidth="1" min="18" max="18"/>
  </cols>
  <sheetData>
    <row r="5" ht="12.75" customHeight="1"/>
    <row r="6" ht="6.75" customHeight="1"/>
    <row r="7" ht="25.25" customHeight="1">
      <c r="D7" s="582" t="inlineStr">
        <is>
          <t>Testing, Inspection, and Observation Program</t>
        </is>
      </c>
      <c r="N7" s="160" t="n"/>
    </row>
    <row r="8" ht="18" customHeight="1">
      <c r="D8" s="583" t="inlineStr">
        <is>
          <t>2019 California Building Standards Code OSHPD 1</t>
        </is>
      </c>
      <c r="N8" s="161" t="n"/>
    </row>
    <row r="9" ht="40.25" customHeight="1" thickBot="1">
      <c r="C9" s="8" t="n"/>
      <c r="D9" s="584" t="inlineStr">
        <is>
          <t>This program is prepared and submitted for an OSHPD 1 project.  OSHPD 1 projects include all construction and remodel projects for: general acute care hospitals, acute psychiatric hospitals, and general acute care hospitals providing only acute medical rehabilitation center services (2019 CBC 1224.1).</t>
        </is>
      </c>
    </row>
    <row r="10" ht="25.25" customHeight="1" thickBot="1">
      <c r="C10" s="8" t="n"/>
      <c r="D10" s="752" t="inlineStr">
        <is>
          <t>SECTION A</t>
        </is>
      </c>
      <c r="E10" s="158" t="n"/>
      <c r="F10" s="753" t="n"/>
      <c r="G10" s="754" t="inlineStr">
        <is>
          <t>PROJECT INFORMATION</t>
        </is>
      </c>
      <c r="H10" s="158" t="n"/>
      <c r="I10" s="158" t="n"/>
      <c r="J10" s="158" t="n"/>
      <c r="K10" s="158" t="n"/>
      <c r="L10" s="159" t="n"/>
      <c r="S10" s="156" t="n"/>
    </row>
    <row r="11" ht="25.25" customHeight="1">
      <c r="C11" s="8" t="n"/>
      <c r="D11" s="755" t="inlineStr">
        <is>
          <t>Facility #:</t>
        </is>
      </c>
      <c r="E11" s="756" t="n"/>
      <c r="F11" s="570" t="inlineStr">
        <is>
          <t>Facility Name:</t>
        </is>
      </c>
      <c r="G11" s="757" t="n"/>
      <c r="H11" s="758" t="n"/>
      <c r="I11" s="759" t="inlineStr">
        <is>
          <t>Project #:</t>
        </is>
      </c>
      <c r="J11" s="757" t="n"/>
      <c r="K11" s="757" t="n"/>
      <c r="L11" s="760" t="n"/>
      <c r="N11" s="78" t="n"/>
      <c r="U11" s="181" t="n"/>
    </row>
    <row r="12" ht="25.25" customHeight="1" thickBot="1">
      <c r="C12" s="8" t="n"/>
      <c r="D12" s="571">
        <f>_xlfn.IFNA(INDEX(FacilityNbr,MATCH(Facility,FacilityName,0)),"")</f>
        <v/>
      </c>
      <c r="E12" s="761" t="n"/>
      <c r="F12" s="573">
        <f>IFERROR(TRIM(LEFT(Inputs!C5,FIND("(",Inputs!C5)-1)),"")</f>
        <v/>
      </c>
      <c r="G12" s="2" t="n"/>
      <c r="H12" s="2" t="n"/>
      <c r="I12" s="762" t="inlineStr">
        <is>
          <t>I210012-38-02</t>
        </is>
      </c>
      <c r="J12" s="763" t="n"/>
      <c r="K12" s="763" t="n"/>
      <c r="L12" s="764" t="n"/>
    </row>
    <row r="13" ht="25.25" customHeight="1">
      <c r="B13" s="9" t="n"/>
      <c r="D13" s="566" t="inlineStr">
        <is>
          <t>Street Address:</t>
        </is>
      </c>
      <c r="E13" s="758" t="n"/>
      <c r="F13" s="569">
        <f>_xlfn.IFNA(INDEX(StrAddress,MATCH(Facility,FacilityName,0)),"")</f>
        <v/>
      </c>
      <c r="G13" s="757" t="n"/>
      <c r="H13" s="757" t="n"/>
      <c r="I13" s="757" t="n"/>
      <c r="J13" s="757" t="n"/>
      <c r="K13" s="757" t="n"/>
      <c r="L13" s="760" t="n"/>
    </row>
    <row r="14" ht="25.25" customHeight="1">
      <c r="B14" s="10" t="n"/>
      <c r="D14" s="765" t="inlineStr">
        <is>
          <t>City:</t>
        </is>
      </c>
      <c r="E14" s="766" t="n"/>
      <c r="F14" s="559">
        <f>_xlfn.IFNA(INDEX(City,MATCH(Facility,FacilityName,0)),"")</f>
        <v/>
      </c>
      <c r="G14" s="37" t="inlineStr">
        <is>
          <t>County:</t>
        </is>
      </c>
      <c r="H14" s="767">
        <f>_xlfn.IFNA(INDEX(County,MATCH(Facility,FacilityName,0)),"")</f>
        <v/>
      </c>
      <c r="I14" s="768" t="n"/>
      <c r="J14" s="768" t="n"/>
      <c r="K14" s="768" t="n"/>
      <c r="L14" s="769" t="n"/>
      <c r="O14" s="149" t="n"/>
    </row>
    <row r="15" ht="25.25" customHeight="1" thickBot="1">
      <c r="D15" s="552" t="inlineStr">
        <is>
          <t>Record Name (Scope of Project):</t>
        </is>
      </c>
      <c r="E15" s="770" t="n"/>
      <c r="F15" s="771" t="n"/>
      <c r="G15" s="772" t="inlineStr">
        <is>
          <t>INC 2 - Foundation and Underground Utilities</t>
        </is>
      </c>
      <c r="H15" s="763" t="n"/>
      <c r="I15" s="763" t="n"/>
      <c r="J15" s="763" t="n"/>
      <c r="K15" s="763" t="n"/>
      <c r="L15" s="764" t="n"/>
    </row>
    <row r="16" ht="15" customHeight="1">
      <c r="D16" s="563" t="inlineStr">
        <is>
          <t xml:space="preserve">Abbreviations:
</t>
        </is>
      </c>
      <c r="E16" s="158" t="n"/>
      <c r="F16" s="158" t="n"/>
      <c r="G16" s="565" t="n"/>
      <c r="H16" s="158" t="n"/>
      <c r="I16" s="158" t="n"/>
      <c r="J16" s="158" t="n"/>
      <c r="K16" s="158" t="n"/>
      <c r="L16" s="159" t="n"/>
    </row>
    <row r="17" ht="15" customHeight="1">
      <c r="D17" s="549" t="inlineStr">
        <is>
          <t>CAC: California Administrative Code</t>
        </is>
      </c>
      <c r="G17" s="551" t="inlineStr">
        <is>
          <t>AAMA: American Architectural Manufacturers Association</t>
        </is>
      </c>
      <c r="L17" s="155" t="n"/>
    </row>
    <row r="18" ht="15" customHeight="1">
      <c r="D18" s="549" t="inlineStr">
        <is>
          <t>CBC: California Building Code</t>
        </is>
      </c>
      <c r="G18" s="551" t="inlineStr">
        <is>
          <t>NFPA: National Fire Protection Association</t>
        </is>
      </c>
      <c r="L18" s="155" t="n"/>
    </row>
    <row r="19" ht="15" customHeight="1">
      <c r="D19" s="549" t="inlineStr">
        <is>
          <t>CEC: California Electrical Code</t>
        </is>
      </c>
      <c r="G19" s="551" t="inlineStr">
        <is>
          <t>FM: FM Approval Standards</t>
        </is>
      </c>
      <c r="L19" s="155" t="n"/>
    </row>
    <row r="20">
      <c r="D20" s="549" t="inlineStr">
        <is>
          <t>CMC: California Mechanical Code</t>
        </is>
      </c>
      <c r="G20" s="551" t="inlineStr">
        <is>
          <t>DPOR: Design Professional of Record</t>
        </is>
      </c>
      <c r="L20" s="155" t="n"/>
    </row>
    <row r="21" ht="16" customHeight="1" thickBot="1">
      <c r="D21" s="592" t="inlineStr">
        <is>
          <t>CPC: California Plumbing Code</t>
        </is>
      </c>
      <c r="E21" s="773" t="n"/>
      <c r="F21" s="773" t="n"/>
      <c r="G21" s="594" t="n"/>
      <c r="H21" s="773" t="n"/>
      <c r="I21" s="773" t="n"/>
      <c r="J21" s="773" t="n"/>
      <c r="K21" s="773" t="n"/>
      <c r="L21" s="774" t="n"/>
      <c r="P21" s="156" t="n"/>
    </row>
    <row r="22">
      <c r="D22" s="157" t="n"/>
      <c r="E22" s="158" t="n"/>
      <c r="F22" s="158" t="n"/>
      <c r="G22" s="158" t="n"/>
      <c r="H22" s="158" t="n"/>
      <c r="I22" s="158" t="n"/>
      <c r="J22" s="158" t="n"/>
      <c r="K22" s="158" t="n"/>
      <c r="L22" s="159" t="n"/>
    </row>
    <row r="23" ht="24" customHeight="1" thickBot="1">
      <c r="D23" s="775" t="inlineStr">
        <is>
          <t>Testing, Inspection, and Observation Stages</t>
        </is>
      </c>
      <c r="E23" s="768" t="n"/>
      <c r="F23" s="768" t="n"/>
      <c r="G23" s="768" t="n"/>
      <c r="H23" s="768" t="n"/>
      <c r="I23" s="768" t="n"/>
      <c r="J23" s="768" t="n"/>
      <c r="K23" s="768" t="n"/>
      <c r="L23" s="769" t="n"/>
    </row>
    <row r="24" ht="16" customHeight="1" thickBot="1">
      <c r="D24" s="604" t="inlineStr">
        <is>
          <t>Stage No.</t>
        </is>
      </c>
      <c r="E24" s="776" t="n"/>
      <c r="F24" s="606" t="inlineStr">
        <is>
          <t>Stage Name</t>
        </is>
      </c>
      <c r="G24" s="777" t="inlineStr">
        <is>
          <t>Stage Scope / Description</t>
        </is>
      </c>
      <c r="H24" s="776" t="n"/>
      <c r="I24" s="776" t="n"/>
      <c r="J24" s="776" t="n"/>
      <c r="K24" s="776" t="n"/>
      <c r="L24" s="778" t="n"/>
    </row>
    <row r="25" ht="42" customHeight="1">
      <c r="D25" s="608" t="n">
        <v>1</v>
      </c>
      <c r="E25" s="779" t="n"/>
      <c r="F25" s="273" t="inlineStr">
        <is>
          <t>Piers</t>
        </is>
      </c>
      <c r="G25" s="611" t="inlineStr">
        <is>
          <t>Drilled pier excavation, reinforcing &amp; concrete placement 
to ultimate cutoff elevation prior to mass excavation
(See identifier &amp; sequence map for reference Mark#)</t>
        </is>
      </c>
      <c r="H25" s="780" t="n"/>
      <c r="I25" s="780" t="n"/>
      <c r="J25" s="780" t="n"/>
      <c r="K25" s="780" t="n"/>
      <c r="L25" s="781" t="n"/>
    </row>
    <row r="26" ht="30" customHeight="1">
      <c r="D26" s="545" t="n">
        <v>2</v>
      </c>
      <c r="E26" s="782" t="n"/>
      <c r="F26" s="274" t="inlineStr">
        <is>
          <t>Mass Ex</t>
        </is>
      </c>
      <c r="G26" s="548" t="inlineStr">
        <is>
          <t>Mass excavation &amp; removal of sacrificial rebar cages</t>
        </is>
      </c>
      <c r="H26" s="251" t="n"/>
      <c r="I26" s="251" t="n"/>
      <c r="J26" s="251" t="n"/>
      <c r="K26" s="251" t="n"/>
      <c r="L26" s="783" t="n"/>
    </row>
    <row r="27" ht="30" customHeight="1">
      <c r="D27" s="545" t="n">
        <v>3</v>
      </c>
      <c r="E27" s="782" t="n"/>
      <c r="F27" s="274" t="inlineStr">
        <is>
          <t>Initial Pier/Column Cap</t>
        </is>
      </c>
      <c r="G27" s="548" t="inlineStr">
        <is>
          <t>Initial Pier/Column Cap reinforcement prior to placement of concrete
(See identifier &amp; sequence map for reference Mark#)</t>
        </is>
      </c>
      <c r="H27" s="251" t="n"/>
      <c r="I27" s="251" t="n"/>
      <c r="J27" s="251" t="n"/>
      <c r="K27" s="251" t="n"/>
      <c r="L27" s="783" t="n"/>
    </row>
    <row r="28" ht="30" customHeight="1">
      <c r="D28" s="545" t="n">
        <v>4</v>
      </c>
      <c r="E28" s="782" t="n"/>
      <c r="F28" s="274" t="inlineStr">
        <is>
          <t>Initial Wall Cap</t>
        </is>
      </c>
      <c r="G28" s="548" t="inlineStr">
        <is>
          <t>Inital Wall Cap reinforcement prior to plcement of concrete
(See identifier &amp; sequence map for reference Mark#)</t>
        </is>
      </c>
      <c r="H28" s="251" t="n"/>
      <c r="I28" s="251" t="n"/>
      <c r="J28" s="251" t="n"/>
      <c r="K28" s="251" t="n"/>
      <c r="L28" s="783" t="n"/>
    </row>
    <row r="29" ht="64.25" customHeight="1">
      <c r="D29" s="545" t="n">
        <v>5</v>
      </c>
      <c r="E29" s="782" t="n"/>
      <c r="F29" s="274" t="inlineStr">
        <is>
          <t>B1L Waterproofing</t>
        </is>
      </c>
      <c r="G29" s="548" t="inlineStr">
        <is>
          <t>B1L Waterproofing &amp; Vapor Barrier
(Including EG75 WP grout over piles at elevator pits, see structural dwgs for thickness)
(See identifier &amp; sequence map for reference area)</t>
        </is>
      </c>
      <c r="H29" s="251" t="n"/>
      <c r="I29" s="251" t="n"/>
      <c r="J29" s="251" t="n"/>
      <c r="K29" s="251" t="n"/>
      <c r="L29" s="783" t="n"/>
    </row>
    <row r="30" ht="62.5" customHeight="1">
      <c r="D30" s="545" t="n">
        <v>6</v>
      </c>
      <c r="E30" s="782" t="n"/>
      <c r="F30" s="274" t="inlineStr">
        <is>
          <t>B1L Utilities</t>
        </is>
      </c>
      <c r="G30" s="548" t="inlineStr">
        <is>
          <t>B1L Underslab Plumbing (Includes Slab &amp; Wall Drainage) &amp; Electrical, Grounding &amp; Bonding
Through foundation elements
(See identifier &amp; sequence map for reference Area)</t>
        </is>
      </c>
      <c r="H30" s="251" t="n"/>
      <c r="I30" s="251" t="n"/>
      <c r="J30" s="251" t="n"/>
      <c r="K30" s="251" t="n"/>
      <c r="L30" s="783" t="n"/>
    </row>
    <row r="31" ht="30" customHeight="1">
      <c r="D31" s="545" t="n">
        <v>7</v>
      </c>
      <c r="E31" s="782" t="n"/>
      <c r="F31" s="547" t="inlineStr">
        <is>
          <t>B1L Column Cap, Wall Cap &amp; Deep Grade Beam</t>
        </is>
      </c>
      <c r="G31" s="548" t="inlineStr">
        <is>
          <t>B1L Column Caps, Wall Caps, and Deep Grade Beams reinforcement and concrete
(See identifier &amp; sequence map for reference Mark#)</t>
        </is>
      </c>
      <c r="H31" s="251" t="n"/>
      <c r="I31" s="251" t="n"/>
      <c r="J31" s="251" t="n"/>
      <c r="K31" s="251" t="n"/>
      <c r="L31" s="783" t="n"/>
    </row>
    <row r="32" ht="45.5" customHeight="1">
      <c r="D32" s="545" t="n">
        <v>8</v>
      </c>
      <c r="E32" s="782" t="n"/>
      <c r="F32" s="274" t="inlineStr">
        <is>
          <t>Initial Deep Grade Beam</t>
        </is>
      </c>
      <c r="G32" s="548" t="inlineStr">
        <is>
          <t>Initial Grade Beam below slab-on-grade (deep grade beam) 
excavation &amp; reinforcement prior to placement of concrete
(See identifier &amp; sequence map for reference Mark#)</t>
        </is>
      </c>
      <c r="H32" s="251" t="n"/>
      <c r="I32" s="251" t="n"/>
      <c r="J32" s="251" t="n"/>
      <c r="K32" s="251" t="n"/>
      <c r="L32" s="783" t="n"/>
    </row>
    <row r="33" ht="30" customHeight="1">
      <c r="D33" s="545" t="n">
        <v>9</v>
      </c>
      <c r="E33" s="782" t="n"/>
      <c r="F33" s="274" t="inlineStr">
        <is>
          <t>Elevator Pit Slabs</t>
        </is>
      </c>
      <c r="G33" s="548" t="inlineStr">
        <is>
          <t>Waterproofing, Reinforcement &amp; placement of concrete</t>
        </is>
      </c>
      <c r="H33" s="251" t="n"/>
      <c r="I33" s="251" t="n"/>
      <c r="J33" s="251" t="n"/>
      <c r="K33" s="251" t="n"/>
      <c r="L33" s="783" t="n"/>
    </row>
    <row r="34" ht="30" customHeight="1">
      <c r="D34" s="545" t="n">
        <v>10</v>
      </c>
      <c r="E34" s="782" t="n"/>
      <c r="F34" s="274" t="inlineStr">
        <is>
          <t>Elevator Pit Walls</t>
        </is>
      </c>
      <c r="G34" s="548" t="inlineStr">
        <is>
          <t>Waterproofing, Reinforcement &amp; placement of concrete</t>
        </is>
      </c>
      <c r="H34" s="251" t="n"/>
      <c r="I34" s="251" t="n"/>
      <c r="J34" s="251" t="n"/>
      <c r="K34" s="251" t="n"/>
      <c r="L34" s="783" t="n"/>
    </row>
    <row r="35" ht="49.75" customHeight="1">
      <c r="D35" s="545" t="n">
        <v>11</v>
      </c>
      <c r="E35" s="782" t="n"/>
      <c r="F35" s="274" t="inlineStr">
        <is>
          <t>Initial Slab on Grade</t>
        </is>
      </c>
      <c r="G35" s="548" t="inlineStr">
        <is>
          <t>Initial SOG &amp; Grade Beams within SOG (Shallow Grade Beam)
reinforcement prior to placement of concrete
(See identifier &amp; sequence map for reference Area)</t>
        </is>
      </c>
      <c r="H35" s="251" t="n"/>
      <c r="I35" s="251" t="n"/>
      <c r="J35" s="251" t="n"/>
      <c r="K35" s="251" t="n"/>
      <c r="L35" s="783" t="n"/>
    </row>
    <row r="36" ht="55.25" customHeight="1">
      <c r="D36" s="545" t="n">
        <v>12</v>
      </c>
      <c r="E36" s="782" t="n"/>
      <c r="F36" s="274" t="inlineStr">
        <is>
          <t>Initial Concrete Perimeter Wall</t>
        </is>
      </c>
      <c r="G36" s="548" t="inlineStr">
        <is>
          <t>Initial Perimeter Retaining Wall, including waterproofing, prior to placement of concrete
(See identifier &amp; sequence map for reference Mark#)</t>
        </is>
      </c>
      <c r="H36" s="251" t="n"/>
      <c r="I36" s="251" t="n"/>
      <c r="J36" s="251" t="n"/>
      <c r="K36" s="251" t="n"/>
      <c r="L36" s="783" t="n"/>
    </row>
    <row r="37" ht="30" customHeight="1">
      <c r="D37" s="545" t="n">
        <v>13</v>
      </c>
      <c r="E37" s="782" t="n"/>
      <c r="F37" s="274" t="inlineStr">
        <is>
          <t>Initial Shear Wall</t>
        </is>
      </c>
      <c r="G37" s="548" t="inlineStr">
        <is>
          <t>Initial Shear Wall prior to placement of concrete
(See identifier &amp; sequence map for reference Mark#)</t>
        </is>
      </c>
      <c r="H37" s="251" t="n"/>
      <c r="I37" s="251" t="n"/>
      <c r="J37" s="251" t="n"/>
      <c r="K37" s="251" t="n"/>
      <c r="L37" s="783" t="n"/>
    </row>
    <row r="38" ht="60.5" customHeight="1">
      <c r="D38" s="545" t="n">
        <v>14</v>
      </c>
      <c r="E38" s="782" t="n"/>
      <c r="F38" s="274" t="inlineStr">
        <is>
          <t>Pier &amp; Wall Caps &amp; Deep Grade Beams</t>
        </is>
      </c>
      <c r="G38" s="548" t="inlineStr">
        <is>
          <t>Waterproofing, Subslab drainage reinforcement &amp; concrete for deep grade beams and all remaining pier and wall caps.
(See identifier &amp; sequence map for reference Mark#, and Special Inspector 
RMA Scope Clarification Exhibit)</t>
        </is>
      </c>
      <c r="H38" s="251" t="n"/>
      <c r="I38" s="251" t="n"/>
      <c r="J38" s="251" t="n"/>
      <c r="K38" s="251" t="n"/>
      <c r="L38" s="783" t="n"/>
    </row>
    <row r="39" ht="30" customHeight="1">
      <c r="D39" s="545" t="n">
        <v>15</v>
      </c>
      <c r="E39" s="782" t="n"/>
      <c r="F39" s="274" t="inlineStr">
        <is>
          <t>Utility Racks</t>
        </is>
      </c>
      <c r="G39" s="548" t="inlineStr">
        <is>
          <t>Fabrication of basement above-ceiling utility racks.
(Installation in future Increment)</t>
        </is>
      </c>
      <c r="H39" s="251" t="n"/>
      <c r="I39" s="251" t="n"/>
      <c r="J39" s="251" t="n"/>
      <c r="K39" s="251" t="n"/>
      <c r="L39" s="783" t="n"/>
    </row>
    <row r="40" ht="48.5" customHeight="1">
      <c r="D40" s="545" t="n">
        <v>16</v>
      </c>
      <c r="E40" s="782" t="n"/>
      <c r="F40" s="274" t="inlineStr">
        <is>
          <t>Area A Underslab Utilities</t>
        </is>
      </c>
      <c r="G40" s="548" t="inlineStr">
        <is>
          <t>Underslab Plumbing (Includes Slab &amp; Wall Drainage) &amp; Electrical, Grounding &amp; Bonding
Through foundation elements
(See identifier &amp; sequence map for reference Area)</t>
        </is>
      </c>
      <c r="H40" s="251" t="n"/>
      <c r="I40" s="251" t="n"/>
      <c r="J40" s="251" t="n"/>
      <c r="K40" s="251" t="n"/>
      <c r="L40" s="783" t="n"/>
    </row>
    <row r="41" ht="30" customHeight="1">
      <c r="D41" s="545" t="n">
        <v>17</v>
      </c>
      <c r="E41" s="782" t="n"/>
      <c r="F41" s="274" t="inlineStr">
        <is>
          <t>Not Used</t>
        </is>
      </c>
      <c r="G41" s="548" t="inlineStr">
        <is>
          <t>Not Used</t>
        </is>
      </c>
      <c r="H41" s="251" t="n"/>
      <c r="I41" s="251" t="n"/>
      <c r="J41" s="251" t="n"/>
      <c r="K41" s="251" t="n"/>
      <c r="L41" s="783" t="n"/>
    </row>
    <row r="42" ht="47.5" customHeight="1">
      <c r="D42" s="545" t="n">
        <v>18</v>
      </c>
      <c r="E42" s="782" t="n"/>
      <c r="F42" s="274" t="inlineStr">
        <is>
          <t>Slab on Grades &amp; Shallow Grade Beams</t>
        </is>
      </c>
      <c r="G42" s="548" t="inlineStr">
        <is>
          <t>SOG &amp; Grade Beams within SOG (Shallow Grade Beams)
dampproofing reinforcement &amp; concrete
(See identifier &amp; sequence map for reference Area)</t>
        </is>
      </c>
      <c r="H42" s="251" t="n"/>
      <c r="I42" s="251" t="n"/>
      <c r="J42" s="251" t="n"/>
      <c r="K42" s="251" t="n"/>
      <c r="L42" s="783" t="n"/>
    </row>
    <row r="43" ht="48.5" customHeight="1">
      <c r="D43" s="545" t="n">
        <v>19</v>
      </c>
      <c r="E43" s="782" t="n"/>
      <c r="F43" s="274" t="inlineStr">
        <is>
          <t>Perimeter Concrete Walls</t>
        </is>
      </c>
      <c r="G43" s="548" t="inlineStr">
        <is>
          <t>Perimeter Retaining Walls reinforcement, concrete &amp; waterproofing
MEP sleeves or firestop penetrations
(See identifier &amp; sequence map for reference Mark#)</t>
        </is>
      </c>
      <c r="H43" s="251" t="n"/>
      <c r="I43" s="251" t="n"/>
      <c r="J43" s="251" t="n"/>
      <c r="K43" s="251" t="n"/>
      <c r="L43" s="783" t="n"/>
    </row>
    <row r="44" ht="39.5" customHeight="1">
      <c r="D44" s="545" t="n">
        <v>20</v>
      </c>
      <c r="E44" s="782" t="n"/>
      <c r="F44" s="274" t="inlineStr">
        <is>
          <t>Shear Walls</t>
        </is>
      </c>
      <c r="G44" s="548" t="inlineStr">
        <is>
          <t>Shear Walls reinforcement &amp; concrete
(See identifier &amp; sequence map for reference Mark#)</t>
        </is>
      </c>
      <c r="H44" s="251" t="n"/>
      <c r="I44" s="251" t="n"/>
      <c r="J44" s="251" t="n"/>
      <c r="K44" s="251" t="n"/>
      <c r="L44" s="783" t="n"/>
    </row>
    <row r="45" ht="30" customHeight="1">
      <c r="D45" s="545" t="n">
        <v>21</v>
      </c>
      <c r="E45" s="782" t="n"/>
      <c r="F45" s="274" t="inlineStr">
        <is>
          <t>Not Used</t>
        </is>
      </c>
      <c r="G45" s="548" t="inlineStr">
        <is>
          <t>Not Used</t>
        </is>
      </c>
      <c r="H45" s="251" t="n"/>
      <c r="I45" s="251" t="n"/>
      <c r="J45" s="251" t="n"/>
      <c r="K45" s="251" t="n"/>
      <c r="L45" s="783" t="n"/>
    </row>
    <row r="46" ht="30" customHeight="1">
      <c r="D46" s="545" t="n">
        <v>22</v>
      </c>
      <c r="E46" s="782" t="n"/>
      <c r="F46" s="274" t="inlineStr">
        <is>
          <t>Tieback cover</t>
        </is>
      </c>
      <c r="G46" s="548" t="inlineStr">
        <is>
          <t>Tieback cover
(include substrate prep, tieback cover inst, WP memb inst around tieback cover)</t>
        </is>
      </c>
      <c r="H46" s="251" t="n"/>
      <c r="I46" s="251" t="n"/>
      <c r="J46" s="251" t="n"/>
      <c r="K46" s="251" t="n"/>
      <c r="L46" s="783" t="n"/>
    </row>
    <row r="47" ht="30" customHeight="1">
      <c r="D47" s="545" t="n">
        <v>23</v>
      </c>
      <c r="E47" s="782" t="n"/>
      <c r="F47" s="274" t="inlineStr">
        <is>
          <t>Not Used</t>
        </is>
      </c>
      <c r="G47" s="548" t="inlineStr">
        <is>
          <t>Not Used</t>
        </is>
      </c>
      <c r="H47" s="251" t="n"/>
      <c r="I47" s="251" t="n"/>
      <c r="J47" s="251" t="n"/>
      <c r="K47" s="251" t="n"/>
      <c r="L47" s="783" t="n"/>
    </row>
    <row r="48" ht="30" customHeight="1">
      <c r="D48" s="545" t="n">
        <v>24</v>
      </c>
      <c r="E48" s="782" t="n"/>
      <c r="F48" s="274" t="inlineStr">
        <is>
          <t>Concrete Tank Floors</t>
        </is>
      </c>
      <c r="G48" s="548" t="inlineStr">
        <is>
          <t>Initial Concrete tank floor</t>
        </is>
      </c>
      <c r="H48" s="251" t="n"/>
      <c r="I48" s="251" t="n"/>
      <c r="J48" s="251" t="n"/>
      <c r="K48" s="251" t="n"/>
      <c r="L48" s="783" t="n"/>
    </row>
    <row r="49" ht="30" customHeight="1">
      <c r="D49" s="545" t="n">
        <v>25</v>
      </c>
      <c r="E49" s="782" t="n"/>
      <c r="F49" s="274" t="inlineStr">
        <is>
          <t>Interior Tank Shear Walls</t>
        </is>
      </c>
      <c r="G49" s="548" t="inlineStr">
        <is>
          <t>Initial interior concrete tank shear walls</t>
        </is>
      </c>
      <c r="H49" s="251" t="n"/>
      <c r="I49" s="251" t="n"/>
      <c r="J49" s="251" t="n"/>
      <c r="K49" s="251" t="n"/>
      <c r="L49" s="783" t="n"/>
    </row>
    <row r="50" ht="30" customHeight="1">
      <c r="D50" s="545" t="n">
        <v>26</v>
      </c>
      <c r="E50" s="782" t="n"/>
      <c r="F50" s="274" t="inlineStr">
        <is>
          <t>Stub Columns</t>
        </is>
      </c>
      <c r="G50" s="548" t="inlineStr">
        <is>
          <t>Installation of Structural Steel Stub Columns</t>
        </is>
      </c>
      <c r="H50" s="251" t="n"/>
      <c r="I50" s="251" t="n"/>
      <c r="J50" s="251" t="n"/>
      <c r="K50" s="251" t="n"/>
      <c r="L50" s="783" t="n"/>
    </row>
    <row r="51" ht="30" customHeight="1">
      <c r="D51" s="545" t="n">
        <v>27</v>
      </c>
      <c r="E51" s="782" t="n"/>
      <c r="F51" s="274" t="inlineStr">
        <is>
          <t>Trestle SOG infills</t>
        </is>
      </c>
      <c r="G51" s="548" t="inlineStr">
        <is>
          <t>Complete Trestle pipe pile SOG infills &amp; UG elec completion at a singular pile location (Q4 2025)</t>
        </is>
      </c>
      <c r="H51" s="251" t="n"/>
      <c r="I51" s="251" t="n"/>
      <c r="J51" s="251" t="n"/>
      <c r="K51" s="251" t="n"/>
      <c r="L51" s="783" t="n"/>
    </row>
    <row r="52" ht="30" customHeight="1">
      <c r="D52" s="545" t="n">
        <v>28</v>
      </c>
      <c r="E52" s="782" t="n"/>
      <c r="F52" s="274" t="inlineStr">
        <is>
          <t>Interior Shear Walls</t>
        </is>
      </c>
      <c r="G52" s="548" t="inlineStr">
        <is>
          <t>Complete Interior shear walls that connect to L1 steel (2026)</t>
        </is>
      </c>
      <c r="H52" s="251" t="n"/>
      <c r="I52" s="251" t="n"/>
      <c r="J52" s="251" t="n"/>
      <c r="K52" s="251" t="n"/>
      <c r="L52" s="783" t="n"/>
    </row>
    <row r="53" ht="30" customHeight="1">
      <c r="D53" s="545" t="n">
        <v>29</v>
      </c>
      <c r="E53" s="782" t="n"/>
      <c r="F53" s="547" t="inlineStr">
        <is>
          <t>SOG, Chiller Room, &amp; Tank Wall leave-outs</t>
        </is>
      </c>
      <c r="G53" s="548" t="inlineStr">
        <is>
          <t>Completion of leave-outs as listed (2026)</t>
        </is>
      </c>
      <c r="H53" s="251" t="n"/>
      <c r="I53" s="251" t="n"/>
      <c r="J53" s="251" t="n"/>
      <c r="K53" s="251" t="n"/>
      <c r="L53" s="783" t="n"/>
    </row>
    <row r="54" ht="30" customHeight="1">
      <c r="D54" s="545" t="n">
        <v>30</v>
      </c>
      <c r="E54" s="782" t="n"/>
      <c r="F54" s="274" t="inlineStr">
        <is>
          <t>Not Used</t>
        </is>
      </c>
      <c r="G54" s="548" t="inlineStr">
        <is>
          <t>Not Used</t>
        </is>
      </c>
      <c r="H54" s="251" t="n"/>
      <c r="I54" s="251" t="n"/>
      <c r="J54" s="251" t="n"/>
      <c r="K54" s="251" t="n"/>
      <c r="L54" s="783" t="n"/>
    </row>
    <row r="55" ht="30" customHeight="1">
      <c r="D55" s="545" t="n">
        <v>31</v>
      </c>
      <c r="E55" s="782" t="n"/>
      <c r="F55" s="274" t="inlineStr">
        <is>
          <t>Not Used</t>
        </is>
      </c>
      <c r="G55" s="548" t="inlineStr">
        <is>
          <t>Not Used</t>
        </is>
      </c>
      <c r="H55" s="251" t="n"/>
      <c r="I55" s="251" t="n"/>
      <c r="J55" s="251" t="n"/>
      <c r="K55" s="251" t="n"/>
      <c r="L55" s="783" t="n"/>
    </row>
    <row r="56" ht="30" customHeight="1">
      <c r="D56" s="545" t="n">
        <v>32</v>
      </c>
      <c r="E56" s="782" t="n"/>
      <c r="F56" s="274" t="inlineStr">
        <is>
          <t>Not Used</t>
        </is>
      </c>
      <c r="G56" s="548" t="inlineStr">
        <is>
          <t>Not Used</t>
        </is>
      </c>
      <c r="H56" s="251" t="n"/>
      <c r="I56" s="251" t="n"/>
      <c r="J56" s="251" t="n"/>
      <c r="K56" s="251" t="n"/>
      <c r="L56" s="783" t="n"/>
    </row>
    <row r="57" ht="30" customHeight="1">
      <c r="D57" s="545" t="n">
        <v>33</v>
      </c>
      <c r="E57" s="782" t="n"/>
      <c r="F57" s="274" t="inlineStr">
        <is>
          <t>Tower Crane 1 SOG infills</t>
        </is>
      </c>
      <c r="G57" s="548" t="inlineStr">
        <is>
          <t>Complete Tower Crane 1 concrete infill at pipe pile (2028)</t>
        </is>
      </c>
      <c r="H57" s="251" t="n"/>
      <c r="I57" s="251" t="n"/>
      <c r="J57" s="251" t="n"/>
      <c r="K57" s="251" t="n"/>
      <c r="L57" s="783" t="n"/>
    </row>
    <row r="58" ht="30" customHeight="1">
      <c r="D58" s="545" t="n">
        <v>34</v>
      </c>
      <c r="E58" s="782" t="n"/>
      <c r="F58" s="274" t="inlineStr">
        <is>
          <t>Temp Switchgear Conduit Grout</t>
        </is>
      </c>
      <c r="G58" s="548" t="inlineStr">
        <is>
          <t>Complete Temp switchgear conduit grouting after gear removal (2028)</t>
        </is>
      </c>
      <c r="H58" s="251" t="n"/>
      <c r="I58" s="251" t="n"/>
      <c r="J58" s="251" t="n"/>
      <c r="K58" s="251" t="n"/>
      <c r="L58" s="783" t="n"/>
    </row>
    <row r="59" ht="30" customHeight="1">
      <c r="D59" s="545" t="n">
        <v>35</v>
      </c>
      <c r="E59" s="782" t="n"/>
      <c r="F59" s="274" t="inlineStr">
        <is>
          <t>Not Used</t>
        </is>
      </c>
      <c r="G59" s="548" t="inlineStr">
        <is>
          <t>Not Used</t>
        </is>
      </c>
      <c r="H59" s="251" t="n"/>
      <c r="I59" s="251" t="n"/>
      <c r="J59" s="251" t="n"/>
      <c r="K59" s="251" t="n"/>
      <c r="L59" s="783" t="n"/>
    </row>
    <row r="60" ht="44.5" customHeight="1">
      <c r="D60" s="545" t="n">
        <v>36</v>
      </c>
      <c r="E60" s="782" t="n"/>
      <c r="F60" s="274" t="inlineStr">
        <is>
          <t>Area B Underslab Utilities</t>
        </is>
      </c>
      <c r="G60" s="548" t="inlineStr">
        <is>
          <t>Underslab Plumbing (Includes Slab &amp; Wall Drainage) &amp; Electrical, Grounding &amp; Bonding
Through foundation elements
(See identifier &amp; sequence map for reference Area)</t>
        </is>
      </c>
      <c r="H60" s="251" t="n"/>
      <c r="I60" s="251" t="n"/>
      <c r="J60" s="251" t="n"/>
      <c r="K60" s="251" t="n"/>
      <c r="L60" s="783" t="n"/>
    </row>
    <row r="61" ht="30" customHeight="1">
      <c r="D61" s="545" t="n">
        <v>37</v>
      </c>
      <c r="E61" s="782" t="n"/>
      <c r="F61" s="274" t="inlineStr">
        <is>
          <t>Not Used</t>
        </is>
      </c>
      <c r="G61" s="548" t="inlineStr">
        <is>
          <t>Not Used</t>
        </is>
      </c>
      <c r="H61" s="251" t="n"/>
      <c r="I61" s="251" t="n"/>
      <c r="J61" s="251" t="n"/>
      <c r="K61" s="251" t="n"/>
      <c r="L61" s="783" t="n"/>
    </row>
    <row r="62" ht="49.25" customHeight="1">
      <c r="D62" s="545" t="n">
        <v>38</v>
      </c>
      <c r="E62" s="782" t="n"/>
      <c r="F62" s="274" t="inlineStr">
        <is>
          <t>Area C Underslab Utilities</t>
        </is>
      </c>
      <c r="G62" s="548" t="inlineStr">
        <is>
          <t>Underslab Plumbing (Includes Slab &amp; Wall Drainage) &amp; Electrical, Grounding &amp; Bonding
Through foundation elements
(See identifier &amp; sequence map for reference Area)</t>
        </is>
      </c>
      <c r="H62" s="251" t="n"/>
      <c r="I62" s="251" t="n"/>
      <c r="J62" s="251" t="n"/>
      <c r="K62" s="251" t="n"/>
      <c r="L62" s="783" t="n"/>
    </row>
    <row r="63" ht="30" customHeight="1">
      <c r="D63" s="545" t="n">
        <v>39</v>
      </c>
      <c r="E63" s="782" t="n"/>
      <c r="F63" s="274" t="inlineStr">
        <is>
          <t>Not Used</t>
        </is>
      </c>
      <c r="G63" s="548" t="inlineStr">
        <is>
          <t>Not Used</t>
        </is>
      </c>
      <c r="H63" s="251" t="n"/>
      <c r="I63" s="251" t="n"/>
      <c r="J63" s="251" t="n"/>
      <c r="K63" s="251" t="n"/>
      <c r="L63" s="783" t="n"/>
    </row>
    <row r="64" ht="46.75" customHeight="1">
      <c r="D64" s="545" t="n">
        <v>40</v>
      </c>
      <c r="E64" s="782" t="n"/>
      <c r="F64" s="274" t="inlineStr">
        <is>
          <t>Area D Underslab Utilities</t>
        </is>
      </c>
      <c r="G64" s="548" t="inlineStr">
        <is>
          <t>Underslab Plumbing (Includes Slab &amp; Wall Drainage) &amp; Electrical, Grounding &amp; Bonding
Through foundation elements
(See identifier &amp; sequence map for reference Area)</t>
        </is>
      </c>
      <c r="H64" s="251" t="n"/>
      <c r="I64" s="251" t="n"/>
      <c r="J64" s="251" t="n"/>
      <c r="K64" s="251" t="n"/>
      <c r="L64" s="783" t="n"/>
    </row>
    <row r="65" ht="30" customHeight="1">
      <c r="D65" s="545" t="n">
        <v>41</v>
      </c>
      <c r="E65" s="782" t="n"/>
      <c r="F65" s="274" t="inlineStr">
        <is>
          <t>Column Base Plates</t>
        </is>
      </c>
      <c r="G65" s="548" t="inlineStr">
        <is>
          <t>Column Base Plates attached to Inc 3 Columns (shop fabrication &amp; erection)</t>
        </is>
      </c>
      <c r="H65" s="251" t="n"/>
      <c r="I65" s="251" t="n"/>
      <c r="J65" s="251" t="n"/>
      <c r="K65" s="251" t="n"/>
      <c r="L65" s="783" t="n"/>
    </row>
    <row r="66" ht="30" customHeight="1">
      <c r="D66" s="545" t="n">
        <v>42</v>
      </c>
      <c r="E66" s="782" t="n"/>
      <c r="F66" s="274" t="inlineStr">
        <is>
          <t>Construction Final</t>
        </is>
      </c>
      <c r="G66" s="548" t="inlineStr">
        <is>
          <t>All scope not captured in other stages</t>
        </is>
      </c>
      <c r="H66" s="251" t="n"/>
      <c r="I66" s="251" t="n"/>
      <c r="J66" s="251" t="n"/>
      <c r="K66" s="251" t="n"/>
      <c r="L66" s="783" t="n"/>
    </row>
    <row r="67" ht="23" customHeight="1">
      <c r="D67" s="775" t="inlineStr">
        <is>
          <t>DESIGN PROFESSIONAL OF RECORD RESPONSIBILITY</t>
        </is>
      </c>
      <c r="E67" s="768" t="n"/>
      <c r="F67" s="768" t="n"/>
      <c r="G67" s="768" t="n"/>
      <c r="H67" s="768" t="n"/>
      <c r="I67" s="768" t="n"/>
      <c r="J67" s="768" t="n"/>
      <c r="K67" s="768" t="n"/>
      <c r="L67" s="769" t="n"/>
    </row>
    <row r="68" ht="112.75" customHeight="1">
      <c r="D68" s="784" t="inlineStr">
        <is>
          <t>The administration of the work of construction, including this TIO, shall be under the responsible charge of an architect and structural engineer. When a structural engineer is not substantially involved, the architect shall be solely responsible. Where neither structural nor architectural elements are substantially involved, a mechanical or electrical engineer registered in the branch of engineering most applicable to the project may be in responsible charge. (CAC 7-141(a))</t>
        </is>
      </c>
      <c r="L68" s="155" t="n"/>
    </row>
    <row r="69">
      <c r="D69" s="154" t="n"/>
      <c r="L69" s="155" t="n"/>
    </row>
    <row r="70" ht="49.75" customHeight="1">
      <c r="D70" s="785" t="inlineStr">
        <is>
          <t>Note: HCAI plan review staff must provide verification that the TIO program has been "Reviewed" prior to plan approval to confirm the applicability of the tests and inspections identified in the TIO program for work scope,  building systems, and the construction materials shown in the design drawings.  Field staff will issue subsequent "TIO Program Approval".</t>
        </is>
      </c>
      <c r="L70" s="155" t="n"/>
    </row>
    <row r="71">
      <c r="D71" s="601" t="n"/>
      <c r="E71" s="602" t="n"/>
      <c r="F71" s="602" t="n"/>
      <c r="G71" s="602" t="n"/>
      <c r="H71" s="602" t="n"/>
      <c r="I71" s="602" t="n"/>
      <c r="J71" s="602" t="n"/>
      <c r="K71" s="602" t="n"/>
      <c r="L71" s="603" t="n"/>
    </row>
    <row r="72" ht="33" customHeight="1">
      <c r="D72" s="786" t="inlineStr">
        <is>
          <t>The "TIO Program Approval" from HCAI field staff must be obtained and included with the notice of start of construction required by CAC Section 7-137(a)4) and 7-145(a)5.A)</t>
        </is>
      </c>
      <c r="L72" s="155" t="n"/>
    </row>
    <row r="73">
      <c r="D73" s="601" t="n"/>
      <c r="E73" s="602" t="n"/>
      <c r="F73" s="602" t="n"/>
      <c r="G73" s="602" t="n"/>
      <c r="H73" s="602" t="n"/>
      <c r="I73" s="602" t="n"/>
      <c r="J73" s="602" t="n"/>
      <c r="K73" s="602" t="n"/>
      <c r="L73" s="603" t="n"/>
    </row>
    <row r="74" ht="36.75" customHeight="1" thickBot="1">
      <c r="D74" s="787" t="inlineStr">
        <is>
          <t xml:space="preserve">Construction shall not commence until the health facility has obtained from HCAI "TIO Program Approval".
(CAC Section 7-135(a)3) </t>
        </is>
      </c>
      <c r="E74" s="773" t="n"/>
      <c r="F74" s="773" t="n"/>
      <c r="G74" s="773" t="n"/>
      <c r="H74" s="773" t="n"/>
      <c r="I74" s="773" t="n"/>
      <c r="J74" s="773" t="n"/>
      <c r="K74" s="773" t="n"/>
      <c r="L74" s="774" t="n"/>
    </row>
  </sheetData>
  <sheetProtection selectLockedCells="0" selectUnlockedCells="0" algorithmName="SHA-512" sheet="1" objects="1" insertRows="0" insertHyperlinks="1" autoFilter="1" scenarios="0" formatColumns="0" deleteColumns="1" insertColumns="1" pivotTables="1" deleteRows="0" formatCells="0" saltValue="/Q22i9IBnW9EKpwqLEd5Xg==" formatRows="0" sort="1" spinCount="100000" hashValue="7hPh4h7D9amHuRatv10szLpPJXUYaL+ePO5uxYW+DbkhCS7VRKBkH9PbsgT4FMY8RNew/1KevkQzNhJ5xAn3Pw=="/>
  <mergeCells count="121">
    <mergeCell ref="D60:E60"/>
    <mergeCell ref="F13:L13"/>
    <mergeCell ref="G19:L19"/>
    <mergeCell ref="G28:L28"/>
    <mergeCell ref="D70:L70"/>
    <mergeCell ref="D36:E36"/>
    <mergeCell ref="D31:E31"/>
    <mergeCell ref="D45:E45"/>
    <mergeCell ref="G30:L30"/>
    <mergeCell ref="D7:L7"/>
    <mergeCell ref="D72:L72"/>
    <mergeCell ref="D13:E13"/>
    <mergeCell ref="D61:E61"/>
    <mergeCell ref="G55:L55"/>
    <mergeCell ref="D48:E48"/>
    <mergeCell ref="G32:L32"/>
    <mergeCell ref="G46:L46"/>
    <mergeCell ref="G40:L40"/>
    <mergeCell ref="D62:E62"/>
    <mergeCell ref="D56:E56"/>
    <mergeCell ref="D24:E24"/>
    <mergeCell ref="D64:E64"/>
    <mergeCell ref="D33:E33"/>
    <mergeCell ref="D51:E51"/>
    <mergeCell ref="F12:H12"/>
    <mergeCell ref="D26:E26"/>
    <mergeCell ref="D35:E35"/>
    <mergeCell ref="G57:L57"/>
    <mergeCell ref="G10:L10"/>
    <mergeCell ref="G66:L66"/>
    <mergeCell ref="D34:E34"/>
    <mergeCell ref="G18:L18"/>
    <mergeCell ref="G53:L53"/>
    <mergeCell ref="D17:F17"/>
    <mergeCell ref="G34:L34"/>
    <mergeCell ref="G58:L58"/>
    <mergeCell ref="D11:E11"/>
    <mergeCell ref="G45:L45"/>
    <mergeCell ref="D9:L9"/>
    <mergeCell ref="D66:E66"/>
    <mergeCell ref="G20:L20"/>
    <mergeCell ref="G29:L29"/>
    <mergeCell ref="D53:E53"/>
    <mergeCell ref="D47:E47"/>
    <mergeCell ref="G47:L47"/>
    <mergeCell ref="D23:L23"/>
    <mergeCell ref="G44:L44"/>
    <mergeCell ref="D37:E37"/>
    <mergeCell ref="G31:L31"/>
    <mergeCell ref="F11:H11"/>
    <mergeCell ref="G21:L21"/>
    <mergeCell ref="D39:E39"/>
    <mergeCell ref="D29:E29"/>
    <mergeCell ref="D38:E38"/>
    <mergeCell ref="G48:L48"/>
    <mergeCell ref="D21:F21"/>
    <mergeCell ref="G38:L38"/>
    <mergeCell ref="D63:E63"/>
    <mergeCell ref="G62:L62"/>
    <mergeCell ref="G49:L49"/>
    <mergeCell ref="D65:E65"/>
    <mergeCell ref="D16:F16"/>
    <mergeCell ref="G33:L33"/>
    <mergeCell ref="D52:E52"/>
    <mergeCell ref="G65:L65"/>
    <mergeCell ref="D49:E49"/>
    <mergeCell ref="D27:E27"/>
    <mergeCell ref="D18:F18"/>
    <mergeCell ref="G35:L35"/>
    <mergeCell ref="I11:L11"/>
    <mergeCell ref="G25:L25"/>
    <mergeCell ref="D67:L67"/>
    <mergeCell ref="G60:L60"/>
    <mergeCell ref="D28:E28"/>
    <mergeCell ref="D20:F20"/>
    <mergeCell ref="G59:L59"/>
    <mergeCell ref="D12:E12"/>
    <mergeCell ref="D25:E25"/>
    <mergeCell ref="D55:E55"/>
    <mergeCell ref="D30:E30"/>
    <mergeCell ref="G61:L61"/>
    <mergeCell ref="D14:E14"/>
    <mergeCell ref="G39:L39"/>
    <mergeCell ref="D54:E54"/>
    <mergeCell ref="G37:L37"/>
    <mergeCell ref="D46:E46"/>
    <mergeCell ref="D40:E40"/>
    <mergeCell ref="G15:L15"/>
    <mergeCell ref="G24:L24"/>
    <mergeCell ref="D57:E57"/>
    <mergeCell ref="G64:L64"/>
    <mergeCell ref="D32:E32"/>
    <mergeCell ref="D41:E41"/>
    <mergeCell ref="G51:L51"/>
    <mergeCell ref="G26:L26"/>
    <mergeCell ref="D8:L8"/>
    <mergeCell ref="D15:F15"/>
    <mergeCell ref="D74:L74"/>
    <mergeCell ref="G54:L54"/>
    <mergeCell ref="D68:L68"/>
    <mergeCell ref="G63:L63"/>
    <mergeCell ref="G41:L41"/>
    <mergeCell ref="G16:L16"/>
    <mergeCell ref="G50:L50"/>
    <mergeCell ref="D43:E43"/>
    <mergeCell ref="G56:L56"/>
    <mergeCell ref="D58:E58"/>
    <mergeCell ref="G43:L43"/>
    <mergeCell ref="G52:L52"/>
    <mergeCell ref="D10:F10"/>
    <mergeCell ref="D19:F19"/>
    <mergeCell ref="G27:L27"/>
    <mergeCell ref="D42:E42"/>
    <mergeCell ref="G36:L36"/>
    <mergeCell ref="G42:L42"/>
    <mergeCell ref="I12:L12"/>
    <mergeCell ref="G17:L17"/>
    <mergeCell ref="H14:L14"/>
    <mergeCell ref="D50:E50"/>
    <mergeCell ref="D44:E44"/>
    <mergeCell ref="D59:E59"/>
  </mergeCells>
  <dataValidations disablePrompts="1" count="1">
    <dataValidation sqref="F12:H12" showDropDown="0" showInputMessage="1" showErrorMessage="0" allowBlank="1" promptTitle="Select Facility from Drop Down"/>
  </dataValidations>
  <printOptions horizontalCentered="1"/>
  <pageMargins left="0.3" right="0.3" top="1.7" bottom="0.5" header="0" footer="0"/>
  <pageSetup orientation="portrait" scale="84" fitToHeight="0" useFirstPageNumber="1"/>
  <headerFooter>
    <oddHeader>&amp;C&amp;"-,Regular"&amp;15 &amp;G_x000a_Testing, Inspection, and Observation Program_x000a_2019 California Building Standards Code - OSHPD 1</oddHeader>
    <oddFooter>&amp;CSTATE OF CALIFORNIA - HEALTH AND HUMAN SERVICES AGENCY&amp;RS-A&amp;P&amp;LOSH-FD-303A (R04.26)</oddFooter>
    <evenHeader/>
    <evenFooter/>
    <firstHeader/>
    <firstFooter/>
  </headerFooter>
  <colBreaks count="1" manualBreakCount="1">
    <brk id="12" min="0" max="36" man="1"/>
  </colBreaks>
  <legacyDrawing xmlns:r="http://schemas.openxmlformats.org/officeDocument/2006/relationships" r:id="anysvml"/>
</worksheet>
</file>

<file path=xl/worksheets/sheet4.xml><?xml version="1.0" encoding="utf-8"?>
<worksheet xmlns="http://schemas.openxmlformats.org/spreadsheetml/2006/main">
  <sheetPr codeName="Sheet1">
    <tabColor theme="4" tint="-0.249977111117893"/>
    <outlinePr summaryBelow="1" summaryRight="1"/>
    <pageSetUpPr/>
  </sheetPr>
  <dimension ref="A1:BH205"/>
  <sheetViews>
    <sheetView view="pageBreakPreview" zoomScale="70" zoomScaleNormal="100" zoomScaleSheetLayoutView="70" zoomScalePageLayoutView="115" workbookViewId="0">
      <pane xSplit="4" ySplit="5" topLeftCell="E6" activePane="bottomRight" state="frozen"/>
      <selection pane="topRight" activeCell="E1" sqref="E1"/>
      <selection pane="bottomLeft" activeCell="A6" sqref="A6"/>
      <selection pane="bottomRight" activeCell="AU30" sqref="AU30"/>
    </sheetView>
  </sheetViews>
  <sheetFormatPr baseColWidth="10" defaultColWidth="9" defaultRowHeight="15"/>
  <cols>
    <col width="3.33203125" customWidth="1" style="3" min="1" max="1"/>
    <col width="3.33203125" customWidth="1" style="54" min="2" max="2"/>
    <col width="1.33203125" customWidth="1" style="55" min="3" max="3"/>
    <col width="5.1640625" customWidth="1" style="2" min="4" max="46"/>
    <col width="36" customWidth="1" style="2" min="47" max="47"/>
    <col width="8.6640625" customWidth="1" style="52" min="48" max="48"/>
    <col width="11.33203125" customWidth="1" style="52" min="49" max="49"/>
    <col width="25.6640625" customWidth="1" style="2" min="50" max="50"/>
    <col width="10.6640625" customWidth="1" style="52" min="51" max="51"/>
    <col width="10.6640625" customWidth="1" style="2" min="52" max="52"/>
    <col width="3.33203125" customWidth="1" style="2" min="53" max="53"/>
    <col width="34.83203125" customWidth="1" style="2" min="54" max="54"/>
    <col width="11.83203125" customWidth="1" style="2" min="55" max="55"/>
    <col width="9" customWidth="1" style="2" min="56" max="56"/>
    <col width="9" customWidth="1" style="385" min="57" max="57"/>
    <col width="41.1640625" customWidth="1" style="385" min="58" max="58"/>
    <col width="9" customWidth="1" style="2" min="59" max="16384"/>
  </cols>
  <sheetData>
    <row r="1" ht="34.25" customHeight="1" thickBot="1" thickTop="1">
      <c r="A1" s="1" t="n"/>
      <c r="B1" s="1" t="n"/>
      <c r="D1" s="788" t="inlineStr">
        <is>
          <t>SECTION B</t>
        </is>
      </c>
      <c r="E1" s="789" t="n"/>
      <c r="F1" s="789" t="n"/>
      <c r="G1" s="789" t="n"/>
      <c r="H1" s="789" t="n"/>
      <c r="I1" s="789" t="n"/>
      <c r="J1" s="789" t="n"/>
      <c r="K1" s="789" t="n"/>
      <c r="L1" s="789" t="n"/>
      <c r="M1" s="789" t="n"/>
      <c r="N1" s="789" t="n"/>
      <c r="O1" s="789" t="n"/>
      <c r="P1" s="789" t="n"/>
      <c r="Q1" s="789" t="n"/>
      <c r="R1" s="789" t="n"/>
      <c r="S1" s="789" t="n"/>
      <c r="T1" s="789" t="n"/>
      <c r="U1" s="789" t="n"/>
      <c r="V1" s="789" t="n"/>
      <c r="W1" s="789" t="n"/>
      <c r="X1" s="789" t="n"/>
      <c r="Y1" s="789" t="n"/>
      <c r="Z1" s="789" t="n"/>
      <c r="AA1" s="789" t="n"/>
      <c r="AB1" s="789" t="n"/>
      <c r="AC1" s="789" t="n"/>
      <c r="AD1" s="789" t="n"/>
      <c r="AE1" s="789" t="n"/>
      <c r="AF1" s="789" t="n"/>
      <c r="AG1" s="789" t="n"/>
      <c r="AH1" s="789" t="n"/>
      <c r="AI1" s="789" t="n"/>
      <c r="AJ1" s="789" t="n"/>
      <c r="AK1" s="789" t="n"/>
      <c r="AL1" s="789" t="n"/>
      <c r="AM1" s="789" t="n"/>
      <c r="AN1" s="789" t="n"/>
      <c r="AO1" s="789" t="n"/>
      <c r="AP1" s="789" t="n"/>
      <c r="AQ1" s="789" t="n"/>
      <c r="AR1" s="789" t="n"/>
      <c r="AS1" s="789" t="n"/>
      <c r="AT1" s="789" t="n"/>
      <c r="AU1" s="790" t="n"/>
      <c r="AV1" s="616" t="inlineStr">
        <is>
          <t xml:space="preserve">NOTE: Approved agencies, individuals, and all changes to the TIO program shall be identified, evaluated by the DPOR and approved by HCAI prior to proceeding with the related work. </t>
        </is>
      </c>
      <c r="AW1" s="789" t="n"/>
      <c r="AX1" s="789" t="n"/>
      <c r="AY1" s="789" t="n"/>
      <c r="AZ1" s="790" t="n"/>
      <c r="BE1" s="392" t="n"/>
      <c r="BF1" s="392" t="n"/>
    </row>
    <row r="2" ht="11.25" customHeight="1">
      <c r="A2" s="1" t="n"/>
      <c r="B2" s="1" t="n"/>
      <c r="D2" s="791" t="inlineStr">
        <is>
          <t>Facility #:</t>
        </is>
      </c>
      <c r="E2" s="779" t="n"/>
      <c r="F2" s="779" t="n"/>
      <c r="G2" s="779" t="n"/>
      <c r="H2" s="779" t="n"/>
      <c r="I2" s="779" t="n"/>
      <c r="J2" s="779" t="n"/>
      <c r="K2" s="779" t="n"/>
      <c r="L2" s="779" t="n"/>
      <c r="M2" s="779" t="n"/>
      <c r="N2" s="779" t="n"/>
      <c r="O2" s="779" t="n"/>
      <c r="P2" s="779" t="n"/>
      <c r="Q2" s="779" t="n"/>
      <c r="R2" s="779" t="n"/>
      <c r="S2" s="779" t="n"/>
      <c r="T2" s="779" t="n"/>
      <c r="U2" s="779" t="n"/>
      <c r="V2" s="779" t="n"/>
      <c r="W2" s="779" t="n"/>
      <c r="X2" s="779" t="n"/>
      <c r="Y2" s="779" t="n"/>
      <c r="Z2" s="779" t="n"/>
      <c r="AA2" s="779" t="n"/>
      <c r="AB2" s="779" t="n"/>
      <c r="AC2" s="779" t="n"/>
      <c r="AD2" s="779" t="n"/>
      <c r="AE2" s="779" t="n"/>
      <c r="AF2" s="779" t="n"/>
      <c r="AG2" s="779" t="n"/>
      <c r="AH2" s="779" t="n"/>
      <c r="AI2" s="779" t="n"/>
      <c r="AJ2" s="779" t="n"/>
      <c r="AK2" s="779" t="n"/>
      <c r="AL2" s="779" t="n"/>
      <c r="AM2" s="779" t="n"/>
      <c r="AN2" s="779" t="n"/>
      <c r="AO2" s="779" t="n"/>
      <c r="AP2" s="779" t="n"/>
      <c r="AQ2" s="779" t="n"/>
      <c r="AR2" s="779" t="n"/>
      <c r="AS2" s="779" t="n"/>
      <c r="AT2" s="756" t="n"/>
      <c r="AU2" s="56" t="inlineStr">
        <is>
          <t>Facility Name:</t>
        </is>
      </c>
      <c r="AV2" s="792" t="inlineStr">
        <is>
          <t>Project #:</t>
        </is>
      </c>
      <c r="AW2" s="779" t="n"/>
      <c r="AX2" s="779" t="n"/>
      <c r="AY2" s="779" t="n"/>
      <c r="AZ2" s="793" t="n"/>
      <c r="BE2" s="392" t="n"/>
      <c r="BF2" s="392" t="n"/>
    </row>
    <row r="3" ht="25.25" customHeight="1" thickBot="1">
      <c r="A3" s="1" t="n"/>
      <c r="B3" s="1" t="n"/>
      <c r="D3" s="794">
        <f>IF('A-Project Info'!D12="","",'A-Project Info'!D12)</f>
        <v/>
      </c>
      <c r="E3" s="770" t="n"/>
      <c r="F3" s="770" t="n"/>
      <c r="G3" s="770" t="n"/>
      <c r="H3" s="770" t="n"/>
      <c r="I3" s="770" t="n"/>
      <c r="J3" s="770" t="n"/>
      <c r="K3" s="770" t="n"/>
      <c r="L3" s="770" t="n"/>
      <c r="M3" s="770" t="n"/>
      <c r="N3" s="770" t="n"/>
      <c r="O3" s="770" t="n"/>
      <c r="P3" s="770" t="n"/>
      <c r="Q3" s="770" t="n"/>
      <c r="R3" s="770" t="n"/>
      <c r="S3" s="770" t="n"/>
      <c r="T3" s="770" t="n"/>
      <c r="U3" s="770" t="n"/>
      <c r="V3" s="770" t="n"/>
      <c r="W3" s="770" t="n"/>
      <c r="X3" s="770" t="n"/>
      <c r="Y3" s="770" t="n"/>
      <c r="Z3" s="770" t="n"/>
      <c r="AA3" s="770" t="n"/>
      <c r="AB3" s="770" t="n"/>
      <c r="AC3" s="770" t="n"/>
      <c r="AD3" s="770" t="n"/>
      <c r="AE3" s="770" t="n"/>
      <c r="AF3" s="770" t="n"/>
      <c r="AG3" s="770" t="n"/>
      <c r="AH3" s="770" t="n"/>
      <c r="AI3" s="770" t="n"/>
      <c r="AJ3" s="770" t="n"/>
      <c r="AK3" s="770" t="n"/>
      <c r="AL3" s="770" t="n"/>
      <c r="AM3" s="770" t="n"/>
      <c r="AN3" s="770" t="n"/>
      <c r="AO3" s="770" t="n"/>
      <c r="AP3" s="770" t="n"/>
      <c r="AQ3" s="770" t="n"/>
      <c r="AR3" s="770" t="n"/>
      <c r="AS3" s="770" t="n"/>
      <c r="AT3" s="795" t="n"/>
      <c r="AU3" s="148">
        <f>IF('A-Project Info'!F12="","",'A-Project Info'!F12)</f>
        <v/>
      </c>
      <c r="AV3" s="796">
        <f>IF('A-Project Info'!I12="","",'A-Project Info'!I12)</f>
        <v/>
      </c>
      <c r="AW3" s="770" t="n"/>
      <c r="AX3" s="770" t="n"/>
      <c r="AY3" s="770" t="n"/>
      <c r="AZ3" s="797" t="n"/>
      <c r="BE3" s="392" t="n"/>
      <c r="BF3" s="392" t="n"/>
    </row>
    <row r="4" ht="35" customFormat="1" customHeight="1" s="32" thickBot="1">
      <c r="A4" s="94" t="n"/>
      <c r="B4" s="94" t="n"/>
      <c r="D4" s="620" t="n"/>
      <c r="E4" s="776" t="n"/>
      <c r="F4" s="776" t="n"/>
      <c r="G4" s="776" t="n"/>
      <c r="H4" s="776" t="n"/>
      <c r="I4" s="776" t="n"/>
      <c r="J4" s="776" t="n"/>
      <c r="K4" s="776" t="n"/>
      <c r="L4" s="776" t="n"/>
      <c r="M4" s="776" t="n"/>
      <c r="N4" s="776" t="n"/>
      <c r="O4" s="776" t="n"/>
      <c r="P4" s="776" t="n"/>
      <c r="Q4" s="776" t="n"/>
      <c r="R4" s="776" t="n"/>
      <c r="S4" s="776" t="n"/>
      <c r="T4" s="776" t="n"/>
      <c r="U4" s="776" t="n"/>
      <c r="V4" s="776" t="n"/>
      <c r="W4" s="776" t="n"/>
      <c r="X4" s="776" t="n"/>
      <c r="Y4" s="776" t="n"/>
      <c r="Z4" s="776" t="n"/>
      <c r="AA4" s="776" t="n"/>
      <c r="AB4" s="776" t="n"/>
      <c r="AC4" s="776" t="n"/>
      <c r="AD4" s="776" t="n"/>
      <c r="AE4" s="776" t="n"/>
      <c r="AF4" s="776" t="n"/>
      <c r="AG4" s="776" t="n"/>
      <c r="AH4" s="776" t="n"/>
      <c r="AI4" s="776" t="n"/>
      <c r="AJ4" s="776" t="n"/>
      <c r="AK4" s="776" t="n"/>
      <c r="AL4" s="776" t="n"/>
      <c r="AM4" s="776" t="n"/>
      <c r="AN4" s="776" t="n"/>
      <c r="AO4" s="776" t="n"/>
      <c r="AP4" s="776" t="n"/>
      <c r="AQ4" s="776" t="n"/>
      <c r="AR4" s="776" t="n"/>
      <c r="AS4" s="776" t="n"/>
      <c r="AT4" s="776" t="n"/>
      <c r="AU4" s="778" t="n"/>
      <c r="AV4" s="529" t="inlineStr">
        <is>
          <t>Select with "X" or provide required OPAA information:</t>
        </is>
      </c>
      <c r="AW4" s="776" t="n"/>
      <c r="AX4" s="798" t="n"/>
      <c r="AY4" s="776" t="n"/>
      <c r="AZ4" s="778" t="n"/>
      <c r="BE4" s="405" t="n"/>
      <c r="BF4" s="405" t="n"/>
    </row>
    <row r="5" ht="78.75" customHeight="1" thickBot="1">
      <c r="A5" s="1" t="n"/>
      <c r="B5" s="1" t="n"/>
      <c r="D5" s="137" t="inlineStr">
        <is>
          <t>Index #</t>
        </is>
      </c>
      <c r="E5" s="57" t="inlineStr">
        <is>
          <t>Stage 1 Required
(Select with "X")</t>
        </is>
      </c>
      <c r="F5" s="57" t="inlineStr">
        <is>
          <t>Stage 2 Required
(Select with "X")</t>
        </is>
      </c>
      <c r="G5" s="57" t="inlineStr">
        <is>
          <t>Stage 3 Required
(Select with "X")</t>
        </is>
      </c>
      <c r="H5" s="57" t="inlineStr">
        <is>
          <t>Stage 4 Required
(Select with "X")</t>
        </is>
      </c>
      <c r="I5" s="57" t="inlineStr">
        <is>
          <t>Stage 5 Required
(Select with "X")</t>
        </is>
      </c>
      <c r="J5" s="57" t="inlineStr">
        <is>
          <t>Stage 6 Required
(Select with "X")</t>
        </is>
      </c>
      <c r="K5" s="57" t="inlineStr">
        <is>
          <t>Stage 7 Required
(Select with "X")</t>
        </is>
      </c>
      <c r="L5" s="57" t="inlineStr">
        <is>
          <t>Stage 8 Required
(Select with "X")</t>
        </is>
      </c>
      <c r="M5" s="57" t="inlineStr">
        <is>
          <t>Stage 9 Required
(Select with "X")</t>
        </is>
      </c>
      <c r="N5" s="57" t="inlineStr">
        <is>
          <t>Stage 10 Required
(Select with "X")</t>
        </is>
      </c>
      <c r="O5" s="57" t="inlineStr">
        <is>
          <t>Stage 11 Required
(Select with "X")</t>
        </is>
      </c>
      <c r="P5" s="57" t="inlineStr">
        <is>
          <t>Stage 12 Required
(Select with "X")</t>
        </is>
      </c>
      <c r="Q5" s="57" t="inlineStr">
        <is>
          <t>Stage 13 Required
(Select with "X")</t>
        </is>
      </c>
      <c r="R5" s="57" t="inlineStr">
        <is>
          <t>Stage 14 Required
(Select with "X")</t>
        </is>
      </c>
      <c r="S5" s="57" t="inlineStr">
        <is>
          <t>Stage 15 Required
(Select with "X")</t>
        </is>
      </c>
      <c r="T5" s="57" t="inlineStr">
        <is>
          <t>Stage 16 Required
(Select with "X")</t>
        </is>
      </c>
      <c r="U5" s="57" t="inlineStr">
        <is>
          <t>Stage 17 Required
(Select with "X")</t>
        </is>
      </c>
      <c r="V5" s="57" t="inlineStr">
        <is>
          <t>Stage 18 Required
(Select with "X")</t>
        </is>
      </c>
      <c r="W5" s="57" t="inlineStr">
        <is>
          <t>Stage 19 Required
(Select with "X")</t>
        </is>
      </c>
      <c r="X5" s="57" t="inlineStr">
        <is>
          <t>Stage 20 Required
(Select with "X")</t>
        </is>
      </c>
      <c r="Y5" s="57" t="inlineStr">
        <is>
          <t>Stage 21 Required
(Select with "X")</t>
        </is>
      </c>
      <c r="Z5" s="57" t="inlineStr">
        <is>
          <t>Stage 22 Required
(Select with "X")</t>
        </is>
      </c>
      <c r="AA5" s="57" t="inlineStr">
        <is>
          <t>Stage 23 Required
(Select with "X")</t>
        </is>
      </c>
      <c r="AB5" s="57" t="inlineStr">
        <is>
          <t>Stage 24 Required
(Select with "X")</t>
        </is>
      </c>
      <c r="AC5" s="57" t="inlineStr">
        <is>
          <t>Stage 25 Required
(Select with "X")</t>
        </is>
      </c>
      <c r="AD5" s="57" t="inlineStr">
        <is>
          <t>Stage 26 Required
(Select with "X")</t>
        </is>
      </c>
      <c r="AE5" s="57" t="inlineStr">
        <is>
          <t>Stage 27 Required
(Select with "X")</t>
        </is>
      </c>
      <c r="AF5" s="57" t="inlineStr">
        <is>
          <t>Stage 28 Required
(Select with "X")</t>
        </is>
      </c>
      <c r="AG5" s="57" t="inlineStr">
        <is>
          <t>Stage 29 Required
(Select with "X")</t>
        </is>
      </c>
      <c r="AH5" s="57" t="inlineStr">
        <is>
          <t>Stage 30 Required
(Select with "X")</t>
        </is>
      </c>
      <c r="AI5" s="57" t="inlineStr">
        <is>
          <t>Stage 31 Required
(Select with "X")</t>
        </is>
      </c>
      <c r="AJ5" s="57" t="inlineStr">
        <is>
          <t>Stage 32 Required
(Select with "X")</t>
        </is>
      </c>
      <c r="AK5" s="57" t="inlineStr">
        <is>
          <t>Stage 33 Required
(Select with "X")</t>
        </is>
      </c>
      <c r="AL5" s="57" t="inlineStr">
        <is>
          <t>Stage 34 Required
(Select with "X")</t>
        </is>
      </c>
      <c r="AM5" s="57" t="inlineStr">
        <is>
          <t>Stage 35 Required
(Select with "X")</t>
        </is>
      </c>
      <c r="AN5" s="57" t="inlineStr">
        <is>
          <t>Stage 36 Required
(Select with "X")</t>
        </is>
      </c>
      <c r="AO5" s="57" t="inlineStr">
        <is>
          <t>Stage 37 Required
(Select with "X")</t>
        </is>
      </c>
      <c r="AP5" s="57" t="inlineStr">
        <is>
          <t>Stage 38 Required
(Select with "X")</t>
        </is>
      </c>
      <c r="AQ5" s="57" t="inlineStr">
        <is>
          <t>Stage 39 Required
(Select with "X")</t>
        </is>
      </c>
      <c r="AR5" s="57" t="inlineStr">
        <is>
          <t>Stage 40 Required
(Select with "X")</t>
        </is>
      </c>
      <c r="AS5" s="57" t="inlineStr">
        <is>
          <t>Stage 41 Required
(Select with "X")</t>
        </is>
      </c>
      <c r="AT5" s="57" t="inlineStr">
        <is>
          <t>Stage 42 Required
(Select with "X")</t>
        </is>
      </c>
      <c r="AU5" s="11" t="inlineStr">
        <is>
          <t>TESTS</t>
        </is>
      </c>
      <c r="AV5" s="147" t="inlineStr">
        <is>
          <t>Samples of Test &amp; Inspection Reports Included</t>
        </is>
      </c>
      <c r="AW5" s="57" t="inlineStr">
        <is>
          <t>OPAA No. and Expiration Date</t>
        </is>
      </c>
      <c r="AX5" s="645" t="inlineStr">
        <is>
          <t xml:space="preserve"> Responsible Approved Agency
And/Or Individual</t>
        </is>
      </c>
      <c r="AY5" s="70" t="inlineStr">
        <is>
          <t>Compliance Verification by IOR
(Initial/Date)</t>
        </is>
      </c>
      <c r="AZ5" s="70" t="inlineStr">
        <is>
          <t>HCAI/FDD Use
(Initial/Date)</t>
        </is>
      </c>
      <c r="BB5" s="169" t="n"/>
      <c r="BC5" s="73" t="n"/>
      <c r="BD5" s="73" t="n"/>
      <c r="BE5" s="406" t="n"/>
      <c r="BF5" s="392" t="n"/>
    </row>
    <row r="6" ht="18" customHeight="1" thickBot="1">
      <c r="A6" s="95" t="inlineStr">
        <is>
          <t>x1</t>
        </is>
      </c>
      <c r="B6" s="38" t="inlineStr">
        <is>
          <t>STRUCTURAL TESTS</t>
        </is>
      </c>
      <c r="C6" s="17" t="n"/>
      <c r="D6" s="17" t="n"/>
      <c r="E6" s="17" t="n"/>
      <c r="F6" s="227" t="n"/>
      <c r="G6" s="227" t="n"/>
      <c r="H6" s="227" t="n"/>
      <c r="I6" s="227" t="n"/>
      <c r="J6" s="227" t="n"/>
      <c r="K6" s="227" t="n"/>
      <c r="L6" s="227" t="n"/>
      <c r="M6" s="227" t="n"/>
      <c r="N6" s="227" t="n"/>
      <c r="O6" s="227" t="n"/>
      <c r="P6" s="227" t="n"/>
      <c r="Q6" s="227" t="n"/>
      <c r="R6" s="227" t="n"/>
      <c r="S6" s="227" t="n"/>
      <c r="T6" s="227" t="n"/>
      <c r="U6" s="227" t="n"/>
      <c r="V6" s="227" t="n"/>
      <c r="W6" s="227" t="n"/>
      <c r="X6" s="227" t="n"/>
      <c r="Y6" s="227" t="n"/>
      <c r="Z6" s="227" t="n"/>
      <c r="AA6" s="227" t="n"/>
      <c r="AB6" s="227" t="n"/>
      <c r="AC6" s="227" t="n"/>
      <c r="AD6" s="227" t="n"/>
      <c r="AE6" s="227" t="n"/>
      <c r="AF6" s="227" t="n"/>
      <c r="AG6" s="227" t="n"/>
      <c r="AH6" s="227" t="n"/>
      <c r="AI6" s="227" t="n"/>
      <c r="AJ6" s="227" t="n"/>
      <c r="AK6" s="227" t="n"/>
      <c r="AL6" s="227" t="n"/>
      <c r="AM6" s="227" t="n"/>
      <c r="AN6" s="227" t="n"/>
      <c r="AO6" s="227" t="n"/>
      <c r="AP6" s="227" t="n"/>
      <c r="AQ6" s="227" t="n"/>
      <c r="AR6" s="227" t="n"/>
      <c r="AS6" s="227" t="n"/>
      <c r="AT6" s="227" t="n"/>
      <c r="AU6" s="17" t="n"/>
      <c r="AV6" s="48" t="n"/>
      <c r="AW6" s="48" t="n"/>
      <c r="AX6" s="194" t="n"/>
      <c r="AY6" s="17" t="n"/>
      <c r="AZ6" s="18" t="n"/>
      <c r="BE6" s="392" t="n"/>
      <c r="BF6" s="392" t="n"/>
    </row>
    <row r="7" ht="18" customHeight="1" thickBot="1">
      <c r="A7" s="3" t="n"/>
      <c r="B7" s="3" t="inlineStr">
        <is>
          <t>x11</t>
        </is>
      </c>
      <c r="C7" s="162" t="inlineStr">
        <is>
          <t>Foundation</t>
        </is>
      </c>
      <c r="D7" s="82" t="n"/>
      <c r="E7" s="165" t="n"/>
      <c r="F7" s="165" t="n"/>
      <c r="G7" s="165" t="n"/>
      <c r="H7" s="165" t="n"/>
      <c r="I7" s="165" t="n"/>
      <c r="J7" s="165" t="n"/>
      <c r="K7" s="165" t="n"/>
      <c r="L7" s="165" t="n"/>
      <c r="M7" s="165" t="n"/>
      <c r="N7" s="165" t="n"/>
      <c r="O7" s="165" t="n"/>
      <c r="P7" s="165" t="n"/>
      <c r="Q7" s="165" t="n"/>
      <c r="R7" s="165" t="n"/>
      <c r="S7" s="165" t="n"/>
      <c r="T7" s="165" t="n"/>
      <c r="U7" s="165" t="n"/>
      <c r="V7" s="165" t="n"/>
      <c r="W7" s="165" t="n"/>
      <c r="X7" s="165" t="n"/>
      <c r="Y7" s="165" t="n"/>
      <c r="Z7" s="165" t="n"/>
      <c r="AA7" s="165" t="n"/>
      <c r="AB7" s="165" t="n"/>
      <c r="AC7" s="165" t="n"/>
      <c r="AD7" s="165" t="n"/>
      <c r="AE7" s="165" t="n"/>
      <c r="AF7" s="165" t="n"/>
      <c r="AG7" s="165" t="n"/>
      <c r="AH7" s="165" t="n"/>
      <c r="AI7" s="165" t="n"/>
      <c r="AJ7" s="165" t="n"/>
      <c r="AK7" s="165" t="n"/>
      <c r="AL7" s="165" t="n"/>
      <c r="AM7" s="165" t="n"/>
      <c r="AN7" s="165" t="n"/>
      <c r="AO7" s="165" t="n"/>
      <c r="AP7" s="165" t="n"/>
      <c r="AQ7" s="165" t="n"/>
      <c r="AR7" s="165" t="n"/>
      <c r="AS7" s="165" t="n"/>
      <c r="AT7" s="165" t="n"/>
      <c r="AU7" s="82" t="n"/>
      <c r="AV7" s="150" t="n"/>
      <c r="AW7" s="150" t="n"/>
      <c r="AX7" s="195" t="n"/>
      <c r="AY7" s="30" t="n"/>
      <c r="AZ7" s="31" t="n"/>
      <c r="BE7" s="392" t="n"/>
      <c r="BF7" s="392" t="n"/>
    </row>
    <row r="8" ht="37" customHeight="1" thickBot="1">
      <c r="A8" s="3" t="n"/>
      <c r="B8" s="3" t="n"/>
      <c r="C8" s="2" t="n"/>
      <c r="D8" s="136" t="inlineStr">
        <is>
          <t>B-F1</t>
        </is>
      </c>
      <c r="E8" s="276" t="n"/>
      <c r="F8" s="277" t="n"/>
      <c r="G8" s="277" t="n"/>
      <c r="H8" s="277" t="n"/>
      <c r="I8" s="277" t="n"/>
      <c r="J8" s="277" t="n"/>
      <c r="K8" s="277" t="n"/>
      <c r="L8" s="277" t="n"/>
      <c r="M8" s="277" t="inlineStr">
        <is>
          <t>X</t>
        </is>
      </c>
      <c r="N8" s="277" t="inlineStr">
        <is>
          <t>X</t>
        </is>
      </c>
      <c r="O8" s="277" t="inlineStr">
        <is>
          <t>X</t>
        </is>
      </c>
      <c r="P8" s="277" t="n"/>
      <c r="Q8" s="277" t="n"/>
      <c r="R8" s="277" t="n"/>
      <c r="S8" s="277" t="n"/>
      <c r="T8" s="277" t="n"/>
      <c r="U8" s="277" t="n"/>
      <c r="V8" s="277" t="n">
        <v>1</v>
      </c>
      <c r="W8" s="277" t="n"/>
      <c r="X8" s="277" t="inlineStr">
        <is>
          <t>X</t>
        </is>
      </c>
      <c r="Y8" s="277" t="n"/>
      <c r="Z8" s="277" t="n"/>
      <c r="AA8" s="277" t="n"/>
      <c r="AB8" s="277" t="n">
        <v>1</v>
      </c>
      <c r="AC8" s="277" t="n"/>
      <c r="AD8" s="277" t="n"/>
      <c r="AE8" s="277" t="n"/>
      <c r="AF8" s="277" t="n"/>
      <c r="AG8" s="277" t="n"/>
      <c r="AH8" s="277" t="n"/>
      <c r="AI8" s="277" t="n"/>
      <c r="AJ8" s="277" t="n"/>
      <c r="AK8" s="277" t="inlineStr">
        <is>
          <t>X</t>
        </is>
      </c>
      <c r="AL8" s="277" t="n"/>
      <c r="AM8" s="277" t="n"/>
      <c r="AN8" s="277" t="n"/>
      <c r="AO8" s="277" t="n"/>
      <c r="AP8" s="277" t="n"/>
      <c r="AQ8" s="277" t="n"/>
      <c r="AR8" s="277" t="n"/>
      <c r="AS8" s="277" t="n"/>
      <c r="AT8" s="278" t="n"/>
      <c r="AU8" s="285" t="inlineStr">
        <is>
          <t>Soil fill
CBC 1705A.6
Fill material acceptance test</t>
        </is>
      </c>
      <c r="AV8" s="664" t="n"/>
      <c r="AW8" s="664" t="inlineStr">
        <is>
          <t>OPAA-0020</t>
        </is>
      </c>
      <c r="AX8" s="259" t="inlineStr">
        <is>
          <t>CTS</t>
        </is>
      </c>
      <c r="AY8" s="286" t="n"/>
      <c r="AZ8" s="403" t="n"/>
      <c r="BD8" s="129" t="n"/>
      <c r="BE8" s="392" t="n"/>
      <c r="BF8" s="392" t="n"/>
    </row>
    <row r="9" ht="37" customHeight="1" thickBot="1">
      <c r="A9" s="3" t="n"/>
      <c r="B9" s="3" t="n"/>
      <c r="C9" s="2" t="n"/>
      <c r="D9" s="136" t="inlineStr">
        <is>
          <t>B-F2</t>
        </is>
      </c>
      <c r="E9" s="279" t="n"/>
      <c r="F9" s="280" t="n"/>
      <c r="G9" s="280" t="n"/>
      <c r="H9" s="280" t="n"/>
      <c r="I9" s="280" t="n"/>
      <c r="J9" s="280" t="n"/>
      <c r="K9" s="280" t="n"/>
      <c r="L9" s="280" t="n"/>
      <c r="M9" s="280" t="inlineStr">
        <is>
          <t>X</t>
        </is>
      </c>
      <c r="N9" s="280" t="inlineStr">
        <is>
          <t>X</t>
        </is>
      </c>
      <c r="O9" s="280" t="inlineStr">
        <is>
          <t>X</t>
        </is>
      </c>
      <c r="P9" s="280" t="n"/>
      <c r="Q9" s="280" t="n"/>
      <c r="R9" s="280" t="n"/>
      <c r="S9" s="280" t="n"/>
      <c r="T9" s="280" t="n"/>
      <c r="U9" s="280" t="n"/>
      <c r="V9" s="280" t="n">
        <v>1</v>
      </c>
      <c r="W9" s="280" t="n"/>
      <c r="X9" s="280" t="inlineStr">
        <is>
          <t>X</t>
        </is>
      </c>
      <c r="Y9" s="280" t="n"/>
      <c r="Z9" s="280" t="n"/>
      <c r="AA9" s="280" t="n"/>
      <c r="AB9" s="280" t="n">
        <v>1</v>
      </c>
      <c r="AC9" s="280" t="n"/>
      <c r="AD9" s="280" t="n"/>
      <c r="AE9" s="280" t="n"/>
      <c r="AF9" s="280" t="n"/>
      <c r="AG9" s="280" t="n"/>
      <c r="AH9" s="280" t="n"/>
      <c r="AI9" s="280" t="n"/>
      <c r="AJ9" s="280" t="n"/>
      <c r="AK9" s="280" t="inlineStr">
        <is>
          <t>X</t>
        </is>
      </c>
      <c r="AL9" s="280" t="n"/>
      <c r="AM9" s="280" t="n"/>
      <c r="AN9" s="280" t="n"/>
      <c r="AO9" s="280" t="n"/>
      <c r="AP9" s="280" t="n"/>
      <c r="AQ9" s="280" t="n"/>
      <c r="AR9" s="280" t="n"/>
      <c r="AS9" s="280" t="n"/>
      <c r="AT9" s="281" t="n"/>
      <c r="AU9" s="287" t="inlineStr">
        <is>
          <t>Soil fill
CBC 1705A.6
Compaction test</t>
        </is>
      </c>
      <c r="AV9" s="663" t="n"/>
      <c r="AW9" s="663" t="inlineStr">
        <is>
          <t>OPAA-0020</t>
        </is>
      </c>
      <c r="AX9" s="261" t="inlineStr">
        <is>
          <t>CTS</t>
        </is>
      </c>
      <c r="AY9" s="288" t="n"/>
      <c r="AZ9" s="400" t="n"/>
      <c r="BD9" s="129" t="n"/>
      <c r="BE9" s="511" t="n"/>
      <c r="BF9" s="392" t="n"/>
    </row>
    <row r="10" hidden="1" ht="37" customHeight="1" thickBot="1">
      <c r="A10" s="3" t="n"/>
      <c r="B10" s="3" t="n"/>
      <c r="C10" s="2" t="n"/>
      <c r="D10" s="136" t="inlineStr">
        <is>
          <t>B-F3</t>
        </is>
      </c>
      <c r="E10" s="279" t="n"/>
      <c r="F10" s="280" t="n"/>
      <c r="G10" s="280" t="n"/>
      <c r="H10" s="280" t="n"/>
      <c r="I10" s="280" t="n"/>
      <c r="J10" s="280" t="n"/>
      <c r="K10" s="280" t="n"/>
      <c r="L10" s="280" t="n"/>
      <c r="M10" s="280" t="n"/>
      <c r="N10" s="280" t="n"/>
      <c r="O10" s="280" t="n"/>
      <c r="P10" s="280" t="n"/>
      <c r="Q10" s="280" t="n"/>
      <c r="R10" s="280" t="n"/>
      <c r="S10" s="280" t="n"/>
      <c r="T10" s="280" t="n"/>
      <c r="U10" s="280" t="n"/>
      <c r="V10" s="280" t="n"/>
      <c r="W10" s="280" t="n"/>
      <c r="X10" s="280" t="n"/>
      <c r="Y10" s="280" t="n"/>
      <c r="Z10" s="280" t="n"/>
      <c r="AA10" s="280" t="n"/>
      <c r="AB10" s="280" t="n"/>
      <c r="AC10" s="280" t="n"/>
      <c r="AD10" s="280" t="n"/>
      <c r="AE10" s="280" t="n"/>
      <c r="AF10" s="280" t="n"/>
      <c r="AG10" s="280" t="n"/>
      <c r="AH10" s="280" t="n"/>
      <c r="AI10" s="280" t="n"/>
      <c r="AJ10" s="280" t="n"/>
      <c r="AK10" s="280" t="n"/>
      <c r="AL10" s="280" t="n"/>
      <c r="AM10" s="280" t="n"/>
      <c r="AN10" s="280" t="n"/>
      <c r="AO10" s="280" t="n"/>
      <c r="AP10" s="280" t="n"/>
      <c r="AQ10" s="280" t="n"/>
      <c r="AR10" s="280" t="n"/>
      <c r="AS10" s="280" t="n"/>
      <c r="AT10" s="281" t="n"/>
      <c r="AU10" s="289" t="inlineStr">
        <is>
          <t>Soil and rock anchors
CBC 1811A
Load test</t>
        </is>
      </c>
      <c r="AV10" s="663" t="n"/>
      <c r="AW10" s="663" t="n"/>
      <c r="AX10" s="290" t="n"/>
      <c r="AY10" s="288" t="n"/>
      <c r="AZ10" s="4" t="n"/>
      <c r="BD10" s="129" t="n"/>
      <c r="BE10" s="392" t="n"/>
      <c r="BF10" s="392" t="n"/>
    </row>
    <row r="11" hidden="1" ht="49" customHeight="1" thickBot="1">
      <c r="A11" s="3" t="n"/>
      <c r="B11" s="3" t="n"/>
      <c r="C11" s="2" t="n"/>
      <c r="D11" s="136" t="inlineStr">
        <is>
          <t>B-F4</t>
        </is>
      </c>
      <c r="E11" s="279" t="n"/>
      <c r="F11" s="280" t="n"/>
      <c r="G11" s="280" t="n"/>
      <c r="H11" s="280" t="n"/>
      <c r="I11" s="280" t="n"/>
      <c r="J11" s="280" t="n"/>
      <c r="K11" s="280" t="n"/>
      <c r="L11" s="280" t="n"/>
      <c r="M11" s="280" t="n"/>
      <c r="N11" s="280" t="n"/>
      <c r="O11" s="280" t="n"/>
      <c r="P11" s="280" t="n"/>
      <c r="Q11" s="280" t="n"/>
      <c r="R11" s="280" t="n"/>
      <c r="S11" s="280" t="n"/>
      <c r="T11" s="280" t="n"/>
      <c r="U11" s="280" t="n"/>
      <c r="V11" s="280" t="n"/>
      <c r="W11" s="280" t="n"/>
      <c r="X11" s="280" t="n"/>
      <c r="Y11" s="280" t="n"/>
      <c r="Z11" s="280" t="n"/>
      <c r="AA11" s="280" t="n"/>
      <c r="AB11" s="280" t="n"/>
      <c r="AC11" s="280" t="n"/>
      <c r="AD11" s="280" t="n"/>
      <c r="AE11" s="280" t="n"/>
      <c r="AF11" s="280" t="n"/>
      <c r="AG11" s="280" t="n"/>
      <c r="AH11" s="280" t="n"/>
      <c r="AI11" s="280" t="n"/>
      <c r="AJ11" s="280" t="n"/>
      <c r="AK11" s="280" t="n"/>
      <c r="AL11" s="280" t="n"/>
      <c r="AM11" s="280" t="n"/>
      <c r="AN11" s="280" t="n"/>
      <c r="AO11" s="280" t="n"/>
      <c r="AP11" s="280" t="n"/>
      <c r="AQ11" s="280" t="n"/>
      <c r="AR11" s="280" t="n"/>
      <c r="AS11" s="280" t="n"/>
      <c r="AT11" s="281" t="n"/>
      <c r="AU11" s="287" t="inlineStr">
        <is>
          <t>Deep foundation elements
CBC 1810A.3.3.1.2, 1810A.3.1.5.1, 1810A.3.3.1.5, 1810A.3.3.2, &amp; 1810A.3.10.4
Load test</t>
        </is>
      </c>
      <c r="AV11" s="663" t="n"/>
      <c r="AW11" s="663" t="inlineStr">
        <is>
          <t>OPAA-0015</t>
        </is>
      </c>
      <c r="AX11" s="261" t="inlineStr">
        <is>
          <t>RMA</t>
        </is>
      </c>
      <c r="AY11" s="288" t="n"/>
      <c r="AZ11" s="4" t="n"/>
      <c r="BD11" s="129" t="n"/>
      <c r="BE11" s="392" t="n"/>
      <c r="BF11" s="392" t="n"/>
    </row>
    <row r="12" hidden="1" ht="37" customHeight="1" thickBot="1">
      <c r="B12" s="3" t="n"/>
      <c r="C12" s="2" t="n"/>
      <c r="D12" s="136" t="inlineStr">
        <is>
          <t>B-F5</t>
        </is>
      </c>
      <c r="E12" s="279" t="n"/>
      <c r="F12" s="280" t="n"/>
      <c r="G12" s="280" t="n"/>
      <c r="H12" s="280" t="n"/>
      <c r="I12" s="280" t="n"/>
      <c r="J12" s="280" t="n"/>
      <c r="K12" s="280" t="n"/>
      <c r="L12" s="280" t="n"/>
      <c r="M12" s="280" t="n"/>
      <c r="N12" s="280" t="n"/>
      <c r="O12" s="280" t="n"/>
      <c r="P12" s="280" t="n"/>
      <c r="Q12" s="280" t="n"/>
      <c r="R12" s="280" t="n"/>
      <c r="S12" s="280" t="n"/>
      <c r="T12" s="280" t="n"/>
      <c r="U12" s="280" t="n"/>
      <c r="V12" s="280" t="n"/>
      <c r="W12" s="280" t="n"/>
      <c r="X12" s="280" t="n"/>
      <c r="Y12" s="280" t="n"/>
      <c r="Z12" s="280" t="n"/>
      <c r="AA12" s="280" t="n"/>
      <c r="AB12" s="280" t="n"/>
      <c r="AC12" s="280" t="n"/>
      <c r="AD12" s="280" t="n"/>
      <c r="AE12" s="280" t="n"/>
      <c r="AF12" s="280" t="n"/>
      <c r="AG12" s="280" t="n"/>
      <c r="AH12" s="280" t="n"/>
      <c r="AI12" s="280" t="n"/>
      <c r="AJ12" s="280" t="n"/>
      <c r="AK12" s="280" t="n"/>
      <c r="AL12" s="280" t="n"/>
      <c r="AM12" s="280" t="n"/>
      <c r="AN12" s="280" t="n"/>
      <c r="AO12" s="280" t="n"/>
      <c r="AP12" s="280" t="n"/>
      <c r="AQ12" s="280" t="n"/>
      <c r="AR12" s="280" t="n"/>
      <c r="AS12" s="280" t="n"/>
      <c r="AT12" s="281" t="n"/>
      <c r="AU12" s="289" t="inlineStr">
        <is>
          <t>Shoring
CBC 1812A
Tie-Back Anchors</t>
        </is>
      </c>
      <c r="AV12" s="663" t="n"/>
      <c r="AW12" s="663" t="n"/>
      <c r="AX12" s="290" t="n"/>
      <c r="AY12" s="288" t="n"/>
      <c r="AZ12" s="4" t="n"/>
      <c r="BD12" s="129" t="n"/>
    </row>
    <row r="13" hidden="1" ht="37" customHeight="1" thickBot="1">
      <c r="B13" s="3" t="n"/>
      <c r="C13" s="2" t="n"/>
      <c r="D13" s="136" t="inlineStr">
        <is>
          <t>B-F6</t>
        </is>
      </c>
      <c r="E13" s="279" t="n"/>
      <c r="F13" s="280" t="n"/>
      <c r="G13" s="280" t="n"/>
      <c r="H13" s="280" t="n"/>
      <c r="I13" s="280" t="n"/>
      <c r="J13" s="280" t="n"/>
      <c r="K13" s="280" t="n"/>
      <c r="L13" s="280" t="n"/>
      <c r="M13" s="280" t="n"/>
      <c r="N13" s="280" t="n"/>
      <c r="O13" s="280" t="n"/>
      <c r="P13" s="280" t="n"/>
      <c r="Q13" s="280" t="n"/>
      <c r="R13" s="280" t="n"/>
      <c r="S13" s="280" t="n"/>
      <c r="T13" s="280" t="n"/>
      <c r="U13" s="280" t="n"/>
      <c r="V13" s="280" t="n"/>
      <c r="W13" s="280" t="n"/>
      <c r="X13" s="280" t="n"/>
      <c r="Y13" s="280" t="n"/>
      <c r="Z13" s="280" t="n"/>
      <c r="AA13" s="280" t="n"/>
      <c r="AB13" s="280" t="n"/>
      <c r="AC13" s="280" t="n"/>
      <c r="AD13" s="280" t="n"/>
      <c r="AE13" s="280" t="n"/>
      <c r="AF13" s="280" t="n"/>
      <c r="AG13" s="280" t="n"/>
      <c r="AH13" s="280" t="n"/>
      <c r="AI13" s="280" t="n"/>
      <c r="AJ13" s="280" t="n"/>
      <c r="AK13" s="280" t="n"/>
      <c r="AL13" s="280" t="n"/>
      <c r="AM13" s="280" t="n"/>
      <c r="AN13" s="280" t="n"/>
      <c r="AO13" s="280" t="n"/>
      <c r="AP13" s="280" t="n"/>
      <c r="AQ13" s="280" t="n"/>
      <c r="AR13" s="280" t="n"/>
      <c r="AS13" s="280" t="n"/>
      <c r="AT13" s="281" t="n"/>
      <c r="AU13" s="289" t="inlineStr">
        <is>
          <t>Vibro Stone Columns (VSC)
CBC 1813A
Acceptance Test</t>
        </is>
      </c>
      <c r="AV13" s="663" t="n"/>
      <c r="AW13" s="663" t="n"/>
      <c r="AX13" s="290" t="n"/>
      <c r="AY13" s="288" t="n"/>
      <c r="AZ13" s="6" t="n"/>
      <c r="BD13" s="129" t="n"/>
    </row>
    <row r="14" hidden="1" ht="24" customHeight="1" thickBot="1">
      <c r="B14" s="3" t="n"/>
      <c r="C14" s="2" t="n"/>
      <c r="D14" s="136" t="inlineStr">
        <is>
          <t>B-F7</t>
        </is>
      </c>
      <c r="E14" s="279" t="n"/>
      <c r="F14" s="280" t="n"/>
      <c r="G14" s="280" t="n"/>
      <c r="H14" s="280" t="n"/>
      <c r="I14" s="280" t="n"/>
      <c r="J14" s="280" t="n"/>
      <c r="K14" s="280" t="n"/>
      <c r="L14" s="280" t="n"/>
      <c r="M14" s="280" t="n"/>
      <c r="N14" s="280" t="n"/>
      <c r="O14" s="280" t="n"/>
      <c r="P14" s="280" t="n"/>
      <c r="Q14" s="280" t="n"/>
      <c r="R14" s="280" t="n"/>
      <c r="S14" s="280" t="n"/>
      <c r="T14" s="280" t="n"/>
      <c r="U14" s="280" t="n"/>
      <c r="V14" s="280" t="n"/>
      <c r="W14" s="280" t="n"/>
      <c r="X14" s="280" t="n"/>
      <c r="Y14" s="280" t="n"/>
      <c r="Z14" s="280" t="n"/>
      <c r="AA14" s="280" t="n"/>
      <c r="AB14" s="280" t="n"/>
      <c r="AC14" s="280" t="n"/>
      <c r="AD14" s="280" t="n"/>
      <c r="AE14" s="280" t="n"/>
      <c r="AF14" s="280" t="n"/>
      <c r="AG14" s="280" t="n"/>
      <c r="AH14" s="280" t="n"/>
      <c r="AI14" s="280" t="n"/>
      <c r="AJ14" s="280" t="n"/>
      <c r="AK14" s="280" t="n"/>
      <c r="AL14" s="280" t="n"/>
      <c r="AM14" s="280" t="n"/>
      <c r="AN14" s="280" t="n"/>
      <c r="AO14" s="280" t="n"/>
      <c r="AP14" s="280" t="n"/>
      <c r="AQ14" s="280" t="n"/>
      <c r="AR14" s="280" t="n"/>
      <c r="AS14" s="280" t="n"/>
      <c r="AT14" s="281" t="n"/>
      <c r="AU14" s="287" t="n"/>
      <c r="AV14" s="663" t="n"/>
      <c r="AW14" s="663" t="n"/>
      <c r="AX14" s="290" t="n"/>
      <c r="AY14" s="288" t="n"/>
      <c r="AZ14" s="6" t="n"/>
      <c r="BD14" s="126" t="n"/>
    </row>
    <row r="15" hidden="1" ht="24" customHeight="1" thickBot="1">
      <c r="B15" s="3" t="n"/>
      <c r="C15" s="2" t="n"/>
      <c r="D15" s="136" t="inlineStr">
        <is>
          <t>B-F8</t>
        </is>
      </c>
      <c r="E15" s="282" t="n"/>
      <c r="F15" s="283" t="n"/>
      <c r="G15" s="283" t="n"/>
      <c r="H15" s="283" t="n"/>
      <c r="I15" s="283" t="n"/>
      <c r="J15" s="283" t="n"/>
      <c r="K15" s="283" t="n"/>
      <c r="L15" s="283" t="n"/>
      <c r="M15" s="283" t="n"/>
      <c r="N15" s="283" t="n"/>
      <c r="O15" s="283" t="n"/>
      <c r="P15" s="283" t="n"/>
      <c r="Q15" s="283" t="n"/>
      <c r="R15" s="283" t="n"/>
      <c r="S15" s="283" t="n"/>
      <c r="T15" s="283" t="n"/>
      <c r="U15" s="283" t="n"/>
      <c r="V15" s="283" t="n"/>
      <c r="W15" s="283" t="n"/>
      <c r="X15" s="283" t="n"/>
      <c r="Y15" s="283" t="n"/>
      <c r="Z15" s="283" t="n"/>
      <c r="AA15" s="283" t="n"/>
      <c r="AB15" s="283" t="n"/>
      <c r="AC15" s="283" t="n"/>
      <c r="AD15" s="283" t="n"/>
      <c r="AE15" s="283" t="n"/>
      <c r="AF15" s="283" t="n"/>
      <c r="AG15" s="283" t="n"/>
      <c r="AH15" s="283" t="n"/>
      <c r="AI15" s="283" t="n"/>
      <c r="AJ15" s="283" t="n"/>
      <c r="AK15" s="283" t="n"/>
      <c r="AL15" s="283" t="n"/>
      <c r="AM15" s="283" t="n"/>
      <c r="AN15" s="283" t="n"/>
      <c r="AO15" s="283" t="n"/>
      <c r="AP15" s="283" t="n"/>
      <c r="AQ15" s="283" t="n"/>
      <c r="AR15" s="283" t="n"/>
      <c r="AS15" s="283" t="n"/>
      <c r="AT15" s="284" t="n"/>
      <c r="AU15" s="291" t="n"/>
      <c r="AV15" s="670" t="n"/>
      <c r="AW15" s="670" t="n"/>
      <c r="AX15" s="293" t="n"/>
      <c r="AY15" s="294" t="n"/>
      <c r="AZ15" s="6" t="n"/>
      <c r="BD15" s="126" t="n"/>
    </row>
    <row r="16" ht="18" customHeight="1" thickBot="1">
      <c r="B16" s="3" t="inlineStr">
        <is>
          <t>x12</t>
        </is>
      </c>
      <c r="C16" s="19" t="inlineStr">
        <is>
          <t>Concrete</t>
        </is>
      </c>
      <c r="D16" s="20" t="n"/>
      <c r="E16" s="163" t="n"/>
      <c r="F16" s="163" t="n"/>
      <c r="G16" s="163" t="n"/>
      <c r="H16" s="163" t="n"/>
      <c r="I16" s="163" t="n"/>
      <c r="J16" s="163" t="n"/>
      <c r="K16" s="163" t="n"/>
      <c r="L16" s="163" t="n"/>
      <c r="M16" s="163" t="n"/>
      <c r="N16" s="163" t="n"/>
      <c r="O16" s="163" t="n"/>
      <c r="P16" s="163" t="n"/>
      <c r="Q16" s="163" t="n"/>
      <c r="R16" s="163" t="n"/>
      <c r="S16" s="163" t="n"/>
      <c r="T16" s="163" t="n"/>
      <c r="U16" s="163" t="n"/>
      <c r="V16" s="163" t="n"/>
      <c r="W16" s="163" t="n"/>
      <c r="X16" s="163" t="n"/>
      <c r="Y16" s="163" t="n"/>
      <c r="Z16" s="163" t="n"/>
      <c r="AA16" s="163" t="n"/>
      <c r="AB16" s="163" t="n"/>
      <c r="AC16" s="163" t="n"/>
      <c r="AD16" s="163" t="n"/>
      <c r="AE16" s="163" t="n"/>
      <c r="AF16" s="163" t="n"/>
      <c r="AG16" s="163" t="n"/>
      <c r="AH16" s="163" t="n"/>
      <c r="AI16" s="163" t="n"/>
      <c r="AJ16" s="163" t="n"/>
      <c r="AK16" s="163" t="n"/>
      <c r="AL16" s="163" t="n"/>
      <c r="AM16" s="163" t="n"/>
      <c r="AN16" s="163" t="n"/>
      <c r="AO16" s="163" t="n"/>
      <c r="AP16" s="163" t="n"/>
      <c r="AQ16" s="163" t="n"/>
      <c r="AR16" s="163" t="n"/>
      <c r="AS16" s="163" t="n"/>
      <c r="AT16" s="163" t="n"/>
      <c r="AU16" s="20" t="n"/>
      <c r="AV16" s="49" t="n"/>
      <c r="AW16" s="49" t="n"/>
      <c r="AX16" s="196" t="n"/>
      <c r="AY16" s="49" t="n"/>
      <c r="AZ16" s="22" t="n"/>
      <c r="BD16" s="126" t="n"/>
      <c r="BF16" s="506" t="n"/>
      <c r="BG16" s="507" t="n"/>
      <c r="BH16" s="53" t="n"/>
    </row>
    <row r="17" ht="37" customHeight="1" thickBot="1">
      <c r="B17" s="3" t="n"/>
      <c r="C17" s="2" t="n"/>
      <c r="D17" s="136" t="inlineStr">
        <is>
          <t>B-C1</t>
        </is>
      </c>
      <c r="E17" s="276" t="n"/>
      <c r="F17" s="277" t="n"/>
      <c r="G17" s="277" t="n"/>
      <c r="H17" s="277" t="n"/>
      <c r="I17" s="277" t="n"/>
      <c r="J17" s="277" t="n"/>
      <c r="K17" s="277" t="inlineStr">
        <is>
          <t>X</t>
        </is>
      </c>
      <c r="L17" s="277" t="n"/>
      <c r="M17" s="277" t="inlineStr">
        <is>
          <t>X</t>
        </is>
      </c>
      <c r="N17" s="277" t="inlineStr">
        <is>
          <t>X</t>
        </is>
      </c>
      <c r="O17" s="277" t="n"/>
      <c r="P17" s="277" t="n"/>
      <c r="Q17" s="277" t="n"/>
      <c r="R17" s="277" t="n">
        <v>1</v>
      </c>
      <c r="S17" s="277" t="n"/>
      <c r="T17" s="277" t="n"/>
      <c r="U17" s="277" t="n"/>
      <c r="V17" s="277" t="n">
        <v>1</v>
      </c>
      <c r="W17" s="277" t="n">
        <v>1</v>
      </c>
      <c r="X17" s="277" t="n">
        <v>1</v>
      </c>
      <c r="Y17" s="277" t="n"/>
      <c r="Z17" s="277" t="n"/>
      <c r="AA17" s="277" t="n"/>
      <c r="AB17" s="277" t="n">
        <v>1</v>
      </c>
      <c r="AC17" s="277" t="n">
        <v>1</v>
      </c>
      <c r="AD17" s="277" t="n"/>
      <c r="AE17" s="277" t="n">
        <v>1</v>
      </c>
      <c r="AF17" s="277" t="n">
        <v>1</v>
      </c>
      <c r="AG17" s="277" t="n">
        <v>1</v>
      </c>
      <c r="AH17" s="277" t="n"/>
      <c r="AI17" s="277" t="n"/>
      <c r="AJ17" s="277" t="n"/>
      <c r="AK17" s="277" t="n">
        <v>1</v>
      </c>
      <c r="AL17" s="277" t="n"/>
      <c r="AM17" s="277" t="n"/>
      <c r="AN17" s="277" t="n"/>
      <c r="AO17" s="277" t="n"/>
      <c r="AP17" s="277" t="n"/>
      <c r="AQ17" s="277" t="n"/>
      <c r="AR17" s="277" t="n"/>
      <c r="AS17" s="277" t="n"/>
      <c r="AT17" s="278" t="n"/>
      <c r="AU17" s="296" t="inlineStr">
        <is>
          <t>Concrete
CBC 1705A.3, 1903A.6 &amp; 1910A.1; ACI-318 1.9.1 &amp; 26.4
Cementitious materials</t>
        </is>
      </c>
      <c r="AV17" s="297" t="n"/>
      <c r="AW17" s="297" t="inlineStr">
        <is>
          <t>OPAA-0020</t>
        </is>
      </c>
      <c r="AX17" s="298" t="inlineStr">
        <is>
          <t>CTS</t>
        </is>
      </c>
      <c r="AY17" s="299" t="n"/>
      <c r="AZ17" s="403" t="n"/>
      <c r="BD17" s="129" t="n"/>
    </row>
    <row r="18" ht="37" customHeight="1" thickBot="1">
      <c r="B18" s="3" t="n"/>
      <c r="C18" s="2" t="n"/>
      <c r="D18" s="136" t="inlineStr">
        <is>
          <t>B-C2</t>
        </is>
      </c>
      <c r="E18" s="279" t="n"/>
      <c r="F18" s="280" t="n"/>
      <c r="G18" s="280" t="n"/>
      <c r="H18" s="280" t="n"/>
      <c r="I18" s="280" t="n"/>
      <c r="J18" s="280" t="n"/>
      <c r="K18" s="280" t="inlineStr">
        <is>
          <t>X</t>
        </is>
      </c>
      <c r="L18" s="280" t="n"/>
      <c r="M18" s="280" t="inlineStr">
        <is>
          <t>X</t>
        </is>
      </c>
      <c r="N18" s="280" t="inlineStr">
        <is>
          <t>X</t>
        </is>
      </c>
      <c r="O18" s="280" t="n"/>
      <c r="P18" s="280" t="n"/>
      <c r="Q18" s="280" t="n"/>
      <c r="R18" s="280" t="n">
        <v>1</v>
      </c>
      <c r="S18" s="280" t="n"/>
      <c r="T18" s="280" t="n"/>
      <c r="U18" s="280" t="n"/>
      <c r="V18" s="280" t="n">
        <v>1</v>
      </c>
      <c r="W18" s="280" t="n">
        <v>1</v>
      </c>
      <c r="X18" s="280" t="n">
        <v>1</v>
      </c>
      <c r="Y18" s="280" t="n"/>
      <c r="Z18" s="280" t="n"/>
      <c r="AA18" s="280" t="n"/>
      <c r="AB18" s="280" t="n">
        <v>1</v>
      </c>
      <c r="AC18" s="280" t="n">
        <v>1</v>
      </c>
      <c r="AD18" s="280" t="n"/>
      <c r="AE18" s="280" t="n">
        <v>1</v>
      </c>
      <c r="AF18" s="280" t="n">
        <v>1</v>
      </c>
      <c r="AG18" s="280" t="n">
        <v>1</v>
      </c>
      <c r="AH18" s="280" t="n"/>
      <c r="AI18" s="280" t="n"/>
      <c r="AJ18" s="280" t="n"/>
      <c r="AK18" s="280" t="n">
        <v>1</v>
      </c>
      <c r="AL18" s="280" t="n"/>
      <c r="AM18" s="280" t="n"/>
      <c r="AN18" s="280" t="n"/>
      <c r="AO18" s="280" t="n"/>
      <c r="AP18" s="280" t="n"/>
      <c r="AQ18" s="280" t="n"/>
      <c r="AR18" s="280" t="n"/>
      <c r="AS18" s="280" t="n"/>
      <c r="AT18" s="281" t="n"/>
      <c r="AU18" s="300" t="inlineStr">
        <is>
          <t>Concrete
CBC 1705A.3, 1903A.5; ACI-318 1.9.1 &amp; 26.4
Aggregates/Reactive aggregates</t>
        </is>
      </c>
      <c r="AV18" s="301" t="n"/>
      <c r="AW18" s="301" t="inlineStr">
        <is>
          <t>OPAA-0020</t>
        </is>
      </c>
      <c r="AX18" s="302" t="inlineStr">
        <is>
          <t>CTS</t>
        </is>
      </c>
      <c r="AY18" s="303" t="n"/>
      <c r="AZ18" s="400" t="n"/>
      <c r="BD18" s="129" t="n"/>
      <c r="BG18" s="387" t="n"/>
    </row>
    <row r="19" ht="37" customHeight="1" thickBot="1">
      <c r="B19" s="3" t="n"/>
      <c r="C19" s="2" t="n"/>
      <c r="D19" s="136" t="inlineStr">
        <is>
          <t>B-C3</t>
        </is>
      </c>
      <c r="E19" s="279" t="n"/>
      <c r="F19" s="280" t="n"/>
      <c r="G19" s="280" t="n"/>
      <c r="H19" s="280" t="n"/>
      <c r="I19" s="280" t="n"/>
      <c r="J19" s="280" t="n"/>
      <c r="K19" s="280" t="inlineStr">
        <is>
          <t>X</t>
        </is>
      </c>
      <c r="L19" s="280" t="n"/>
      <c r="M19" s="280" t="inlineStr">
        <is>
          <t>X</t>
        </is>
      </c>
      <c r="N19" s="280" t="inlineStr">
        <is>
          <t>X</t>
        </is>
      </c>
      <c r="O19" s="280" t="n"/>
      <c r="P19" s="280" t="n"/>
      <c r="Q19" s="280" t="n"/>
      <c r="R19" s="280" t="n">
        <v>1</v>
      </c>
      <c r="S19" s="280" t="n"/>
      <c r="T19" s="280" t="n"/>
      <c r="U19" s="280" t="n"/>
      <c r="V19" s="280" t="n">
        <v>1</v>
      </c>
      <c r="W19" s="280" t="n">
        <v>1</v>
      </c>
      <c r="X19" s="280" t="n">
        <v>1</v>
      </c>
      <c r="Y19" s="280" t="n"/>
      <c r="Z19" s="280" t="n"/>
      <c r="AA19" s="280" t="n"/>
      <c r="AB19" s="280" t="n">
        <v>1</v>
      </c>
      <c r="AC19" s="280" t="n">
        <v>1</v>
      </c>
      <c r="AD19" s="280" t="n"/>
      <c r="AE19" s="280" t="n">
        <v>1</v>
      </c>
      <c r="AF19" s="280" t="n">
        <v>1</v>
      </c>
      <c r="AG19" s="280" t="n">
        <v>1</v>
      </c>
      <c r="AH19" s="280" t="n"/>
      <c r="AI19" s="280" t="n"/>
      <c r="AJ19" s="280" t="n"/>
      <c r="AK19" s="280" t="n">
        <v>1</v>
      </c>
      <c r="AL19" s="280" t="n"/>
      <c r="AM19" s="280" t="n"/>
      <c r="AN19" s="280" t="n"/>
      <c r="AO19" s="280" t="n"/>
      <c r="AP19" s="280" t="n"/>
      <c r="AQ19" s="280" t="n"/>
      <c r="AR19" s="280" t="n"/>
      <c r="AS19" s="280" t="n"/>
      <c r="AT19" s="281" t="n"/>
      <c r="AU19" s="300" t="inlineStr">
        <is>
          <t>Concrete
CBC 1705A.3, ACI-318 26.4.1.3, ASTM C1602
Water</t>
        </is>
      </c>
      <c r="AV19" s="301" t="n"/>
      <c r="AW19" s="301" t="inlineStr">
        <is>
          <t>OPAA-0020</t>
        </is>
      </c>
      <c r="AX19" s="302" t="inlineStr">
        <is>
          <t>CTS</t>
        </is>
      </c>
      <c r="AY19" s="303" t="n"/>
      <c r="AZ19" s="400" t="n"/>
      <c r="BD19" s="129" t="n"/>
      <c r="BG19" s="387" t="n"/>
    </row>
    <row r="20" ht="37" customHeight="1" thickBot="1">
      <c r="B20" s="3" t="n"/>
      <c r="C20" s="2" t="n"/>
      <c r="D20" s="136" t="inlineStr">
        <is>
          <t>B-C4</t>
        </is>
      </c>
      <c r="E20" s="279" t="inlineStr">
        <is>
          <t>X</t>
        </is>
      </c>
      <c r="F20" s="280" t="n"/>
      <c r="G20" s="280" t="n"/>
      <c r="H20" s="280" t="n"/>
      <c r="I20" s="280" t="n"/>
      <c r="J20" s="280" t="n"/>
      <c r="K20" s="280" t="inlineStr">
        <is>
          <t>X</t>
        </is>
      </c>
      <c r="L20" s="280" t="n"/>
      <c r="M20" s="280" t="inlineStr">
        <is>
          <t>X</t>
        </is>
      </c>
      <c r="N20" s="280" t="inlineStr">
        <is>
          <t>X</t>
        </is>
      </c>
      <c r="O20" s="280" t="n"/>
      <c r="P20" s="280" t="n"/>
      <c r="Q20" s="280" t="n"/>
      <c r="R20" s="280" t="n">
        <v>1</v>
      </c>
      <c r="S20" s="280" t="n"/>
      <c r="T20" s="280" t="n"/>
      <c r="U20" s="280" t="n"/>
      <c r="V20" s="280" t="n">
        <v>1</v>
      </c>
      <c r="W20" s="280" t="n">
        <v>1</v>
      </c>
      <c r="X20" s="280" t="n">
        <v>1</v>
      </c>
      <c r="Y20" s="280" t="n"/>
      <c r="Z20" s="280" t="n"/>
      <c r="AA20" s="280" t="n"/>
      <c r="AB20" s="280" t="n">
        <v>1</v>
      </c>
      <c r="AC20" s="280" t="n">
        <v>1</v>
      </c>
      <c r="AD20" s="280" t="n"/>
      <c r="AE20" s="280" t="n">
        <v>1</v>
      </c>
      <c r="AF20" s="280" t="n">
        <v>1</v>
      </c>
      <c r="AG20" s="280" t="n">
        <v>1</v>
      </c>
      <c r="AH20" s="280" t="n"/>
      <c r="AI20" s="280" t="n"/>
      <c r="AJ20" s="280" t="n"/>
      <c r="AK20" s="280" t="n">
        <v>1</v>
      </c>
      <c r="AL20" s="280" t="n"/>
      <c r="AM20" s="280" t="n"/>
      <c r="AN20" s="280" t="n"/>
      <c r="AO20" s="280" t="n"/>
      <c r="AP20" s="280" t="n"/>
      <c r="AQ20" s="280" t="n"/>
      <c r="AR20" s="280" t="n"/>
      <c r="AS20" s="280" t="n"/>
      <c r="AT20" s="281" t="n"/>
      <c r="AU20" s="300" t="inlineStr">
        <is>
          <t>Concrete
CBC 1705A.3 &amp; 1905A.1.15; ACI-318 26.12
Strength test</t>
        </is>
      </c>
      <c r="AV20" s="301" t="n"/>
      <c r="AW20" s="301" t="inlineStr">
        <is>
          <t>OPAA-0020</t>
        </is>
      </c>
      <c r="AX20" s="302" t="inlineStr">
        <is>
          <t>CTS</t>
        </is>
      </c>
      <c r="AY20" s="303" t="n"/>
      <c r="AZ20" s="400" t="n"/>
      <c r="BD20" s="129" t="n"/>
      <c r="BG20" s="387" t="n"/>
    </row>
    <row r="21" ht="49" customHeight="1" thickBot="1">
      <c r="B21" s="3" t="n"/>
      <c r="C21" s="2" t="n"/>
      <c r="D21" s="136" t="inlineStr">
        <is>
          <t>B-C5</t>
        </is>
      </c>
      <c r="E21" s="279" t="n"/>
      <c r="F21" s="280" t="n"/>
      <c r="G21" s="280" t="inlineStr">
        <is>
          <t>X</t>
        </is>
      </c>
      <c r="H21" s="280" t="inlineStr">
        <is>
          <t>X</t>
        </is>
      </c>
      <c r="I21" s="280" t="n"/>
      <c r="J21" s="280" t="n"/>
      <c r="K21" s="280" t="inlineStr">
        <is>
          <t>X</t>
        </is>
      </c>
      <c r="L21" s="280" t="inlineStr">
        <is>
          <t>X</t>
        </is>
      </c>
      <c r="M21" s="280" t="inlineStr">
        <is>
          <t>X</t>
        </is>
      </c>
      <c r="N21" s="280" t="inlineStr">
        <is>
          <t>X</t>
        </is>
      </c>
      <c r="O21" s="280" t="inlineStr">
        <is>
          <t>X</t>
        </is>
      </c>
      <c r="P21" s="280" t="inlineStr">
        <is>
          <t>X</t>
        </is>
      </c>
      <c r="Q21" s="280" t="inlineStr">
        <is>
          <t>X</t>
        </is>
      </c>
      <c r="R21" s="280" t="n">
        <v>1</v>
      </c>
      <c r="S21" s="280" t="n"/>
      <c r="T21" s="280" t="n"/>
      <c r="U21" s="280" t="n"/>
      <c r="V21" s="280" t="n">
        <v>1</v>
      </c>
      <c r="W21" s="280" t="n">
        <v>1</v>
      </c>
      <c r="X21" s="280" t="n">
        <v>1</v>
      </c>
      <c r="Y21" s="280" t="n"/>
      <c r="Z21" s="280" t="n"/>
      <c r="AA21" s="280" t="n"/>
      <c r="AB21" s="280" t="n">
        <v>1</v>
      </c>
      <c r="AC21" s="280" t="n">
        <v>1</v>
      </c>
      <c r="AD21" s="280" t="n"/>
      <c r="AE21" s="280" t="n">
        <v>1</v>
      </c>
      <c r="AF21" s="280" t="n">
        <v>1</v>
      </c>
      <c r="AG21" s="280" t="n">
        <v>1</v>
      </c>
      <c r="AH21" s="280" t="n"/>
      <c r="AI21" s="280" t="n"/>
      <c r="AJ21" s="280" t="n"/>
      <c r="AK21" s="280" t="n">
        <v>1</v>
      </c>
      <c r="AL21" s="280" t="n"/>
      <c r="AM21" s="280" t="n"/>
      <c r="AN21" s="280" t="n"/>
      <c r="AO21" s="280" t="n"/>
      <c r="AP21" s="280" t="n"/>
      <c r="AQ21" s="280" t="n"/>
      <c r="AR21" s="280" t="n"/>
      <c r="AS21" s="280" t="n"/>
      <c r="AT21" s="281" t="n"/>
      <c r="AU21" s="300" t="inlineStr">
        <is>
          <t>Concrete
CBC 1705A.3 &amp; 1910A.2 &amp; ACI-318 20.2, 25.4.5.1 &amp; 26.6.1.2
Metal reinforcement (including welded wire fabric and headed rebar)</t>
        </is>
      </c>
      <c r="AV21" s="301" t="n"/>
      <c r="AW21" s="301" t="inlineStr">
        <is>
          <t>OPAA-0020</t>
        </is>
      </c>
      <c r="AX21" s="302" t="inlineStr">
        <is>
          <t>CTS</t>
        </is>
      </c>
      <c r="AY21" s="303" t="n"/>
      <c r="AZ21" s="400" t="n"/>
      <c r="BD21" s="129" t="n"/>
      <c r="BG21" s="387" t="n"/>
    </row>
    <row r="22" hidden="1" ht="37" customHeight="1" thickBot="1">
      <c r="B22" s="3" t="n"/>
      <c r="C22" s="2" t="n"/>
      <c r="D22" s="136" t="inlineStr">
        <is>
          <t>B-C6</t>
        </is>
      </c>
      <c r="E22" s="279" t="n"/>
      <c r="F22" s="280" t="n"/>
      <c r="G22" s="280" t="inlineStr">
        <is>
          <t>X</t>
        </is>
      </c>
      <c r="H22" s="280" t="inlineStr">
        <is>
          <t>X</t>
        </is>
      </c>
      <c r="I22" s="280" t="n"/>
      <c r="J22" s="280" t="n"/>
      <c r="K22" s="280" t="inlineStr">
        <is>
          <t>X</t>
        </is>
      </c>
      <c r="L22" s="280" t="n"/>
      <c r="M22" s="280" t="n"/>
      <c r="N22" s="280" t="n"/>
      <c r="O22" s="280" t="inlineStr">
        <is>
          <t>X</t>
        </is>
      </c>
      <c r="P22" s="280" t="inlineStr">
        <is>
          <t>X</t>
        </is>
      </c>
      <c r="Q22" s="280" t="inlineStr">
        <is>
          <t>X</t>
        </is>
      </c>
      <c r="R22" s="280" t="n"/>
      <c r="S22" s="280" t="n"/>
      <c r="T22" s="280" t="n"/>
      <c r="U22" s="280" t="n"/>
      <c r="V22" s="280" t="n"/>
      <c r="W22" s="280" t="n"/>
      <c r="X22" s="280" t="n"/>
      <c r="Y22" s="280" t="n"/>
      <c r="Z22" s="280" t="n"/>
      <c r="AA22" s="280" t="n"/>
      <c r="AB22" s="280" t="n"/>
      <c r="AC22" s="280" t="n"/>
      <c r="AD22" s="280" t="n"/>
      <c r="AE22" s="280" t="n"/>
      <c r="AF22" s="280" t="n"/>
      <c r="AG22" s="280" t="n"/>
      <c r="AH22" s="280" t="n"/>
      <c r="AI22" s="280" t="n"/>
      <c r="AJ22" s="280" t="n"/>
      <c r="AK22" s="280" t="n"/>
      <c r="AL22" s="280" t="n"/>
      <c r="AM22" s="280" t="n"/>
      <c r="AN22" s="280" t="n"/>
      <c r="AO22" s="280" t="n"/>
      <c r="AP22" s="280" t="n"/>
      <c r="AQ22" s="280" t="n"/>
      <c r="AR22" s="280" t="n"/>
      <c r="AS22" s="280" t="n"/>
      <c r="AT22" s="281" t="n"/>
      <c r="AU22" s="300" t="inlineStr">
        <is>
          <t>Concrete
CBC 1705A.3, 1901A.3 &amp; ACI-318 20.4
Headed studs and headed stud assemblies</t>
        </is>
      </c>
      <c r="AV22" s="301" t="n"/>
      <c r="AW22" s="301" t="inlineStr">
        <is>
          <t>OPAA-0015</t>
        </is>
      </c>
      <c r="AX22" s="302" t="inlineStr">
        <is>
          <t>RMA</t>
        </is>
      </c>
      <c r="AY22" s="303" t="n"/>
      <c r="AZ22" s="400" t="n"/>
      <c r="BD22" s="129" t="n"/>
      <c r="BG22" s="387" t="n"/>
    </row>
    <row r="23" ht="37" customHeight="1" thickBot="1">
      <c r="B23" s="3" t="n"/>
      <c r="C23" s="2" t="n"/>
      <c r="D23" s="136" t="inlineStr">
        <is>
          <t>B-C7</t>
        </is>
      </c>
      <c r="E23" s="279" t="n"/>
      <c r="F23" s="280" t="n"/>
      <c r="G23" s="280" t="inlineStr">
        <is>
          <t>X</t>
        </is>
      </c>
      <c r="H23" s="280" t="inlineStr">
        <is>
          <t>X</t>
        </is>
      </c>
      <c r="I23" s="280" t="n"/>
      <c r="J23" s="280" t="n"/>
      <c r="K23" s="280" t="inlineStr">
        <is>
          <t>X</t>
        </is>
      </c>
      <c r="L23" s="280" t="inlineStr">
        <is>
          <t>X</t>
        </is>
      </c>
      <c r="M23" s="280" t="n"/>
      <c r="N23" s="280" t="n"/>
      <c r="O23" s="280" t="inlineStr">
        <is>
          <t>X</t>
        </is>
      </c>
      <c r="P23" s="280" t="inlineStr">
        <is>
          <t>X</t>
        </is>
      </c>
      <c r="Q23" s="280" t="inlineStr">
        <is>
          <t>X</t>
        </is>
      </c>
      <c r="R23" s="280" t="n">
        <v>1</v>
      </c>
      <c r="S23" s="280" t="n"/>
      <c r="T23" s="280" t="n"/>
      <c r="U23" s="280" t="n"/>
      <c r="V23" s="280" t="n">
        <v>1</v>
      </c>
      <c r="W23" s="280" t="n">
        <v>1</v>
      </c>
      <c r="X23" s="280" t="n">
        <v>1</v>
      </c>
      <c r="Y23" s="280" t="n"/>
      <c r="Z23" s="280" t="n"/>
      <c r="AA23" s="280" t="n"/>
      <c r="AB23" s="280" t="n">
        <v>1</v>
      </c>
      <c r="AC23" s="280" t="n">
        <v>1</v>
      </c>
      <c r="AD23" s="280" t="n"/>
      <c r="AE23" s="280" t="n">
        <v>1</v>
      </c>
      <c r="AF23" s="280" t="n">
        <v>1</v>
      </c>
      <c r="AG23" s="280" t="n">
        <v>1</v>
      </c>
      <c r="AH23" s="280" t="n"/>
      <c r="AI23" s="280" t="n"/>
      <c r="AJ23" s="280" t="n"/>
      <c r="AK23" s="280" t="n">
        <v>1</v>
      </c>
      <c r="AL23" s="280" t="n"/>
      <c r="AM23" s="280" t="n"/>
      <c r="AN23" s="280" t="n"/>
      <c r="AO23" s="280" t="n"/>
      <c r="AP23" s="280" t="n"/>
      <c r="AQ23" s="280" t="n"/>
      <c r="AR23" s="280" t="n"/>
      <c r="AS23" s="280" t="n"/>
      <c r="AT23" s="281" t="n"/>
      <c r="AU23" s="300" t="inlineStr">
        <is>
          <t>Concrete
CBC Table 1705A.3, 1903A.8
Weldability of reinforcing bars</t>
        </is>
      </c>
      <c r="AV23" s="301" t="n"/>
      <c r="AW23" s="301" t="inlineStr">
        <is>
          <t>OPAA-0020</t>
        </is>
      </c>
      <c r="AX23" s="302" t="inlineStr">
        <is>
          <t>CTS</t>
        </is>
      </c>
      <c r="AY23" s="303" t="n"/>
      <c r="AZ23" s="400" t="n"/>
      <c r="BD23" s="129" t="n"/>
      <c r="BG23" s="387" t="n"/>
    </row>
    <row r="24" hidden="1" ht="37" customHeight="1" thickBot="1">
      <c r="B24" s="3" t="n"/>
      <c r="C24" s="2" t="n"/>
      <c r="D24" s="136" t="inlineStr">
        <is>
          <t>B-C8</t>
        </is>
      </c>
      <c r="E24" s="279" t="n"/>
      <c r="F24" s="280" t="n"/>
      <c r="G24" s="280" t="n"/>
      <c r="H24" s="280" t="n"/>
      <c r="I24" s="280" t="n"/>
      <c r="J24" s="280" t="n"/>
      <c r="K24" s="280" t="n"/>
      <c r="L24" s="280" t="n"/>
      <c r="M24" s="280" t="n"/>
      <c r="N24" s="280" t="n"/>
      <c r="O24" s="280" t="n"/>
      <c r="P24" s="280" t="n"/>
      <c r="Q24" s="280" t="n"/>
      <c r="R24" s="280" t="n"/>
      <c r="S24" s="280" t="n"/>
      <c r="T24" s="280" t="n"/>
      <c r="U24" s="280" t="n"/>
      <c r="V24" s="280" t="n"/>
      <c r="W24" s="280" t="n"/>
      <c r="X24" s="280" t="n"/>
      <c r="Y24" s="280" t="n"/>
      <c r="Z24" s="280" t="n"/>
      <c r="AA24" s="280" t="n"/>
      <c r="AB24" s="280" t="n"/>
      <c r="AC24" s="280" t="n"/>
      <c r="AD24" s="280" t="n"/>
      <c r="AE24" s="280" t="n"/>
      <c r="AF24" s="280" t="n"/>
      <c r="AG24" s="280" t="n"/>
      <c r="AH24" s="280" t="n"/>
      <c r="AI24" s="280" t="n"/>
      <c r="AJ24" s="280" t="n"/>
      <c r="AK24" s="280" t="n"/>
      <c r="AL24" s="280" t="n"/>
      <c r="AM24" s="280" t="n"/>
      <c r="AN24" s="280" t="n"/>
      <c r="AO24" s="280" t="n"/>
      <c r="AP24" s="280" t="n"/>
      <c r="AQ24" s="280" t="n"/>
      <c r="AR24" s="280" t="n"/>
      <c r="AS24" s="280" t="n"/>
      <c r="AT24" s="281" t="n"/>
      <c r="AU24" s="300" t="inlineStr">
        <is>
          <t>Concrete
CBC 1705A.3 &amp; 1910A.3; ACI-318 20.3, 25.8 &amp; 26.6.1.2
Prestressing tendons and anchorage</t>
        </is>
      </c>
      <c r="AV24" s="301" t="n"/>
      <c r="AW24" s="301" t="inlineStr">
        <is>
          <t>OPAA-0021</t>
        </is>
      </c>
      <c r="AX24" s="302" t="inlineStr">
        <is>
          <t>RMA</t>
        </is>
      </c>
      <c r="AY24" s="303" t="n"/>
      <c r="AZ24" s="4" t="n"/>
      <c r="BD24" s="129" t="n"/>
      <c r="BG24" s="387" t="n"/>
    </row>
    <row r="25" hidden="1" ht="37" customHeight="1" thickBot="1">
      <c r="B25" s="3" t="n"/>
      <c r="C25" s="2" t="n"/>
      <c r="D25" s="136" t="inlineStr">
        <is>
          <t>B-C9</t>
        </is>
      </c>
      <c r="E25" s="279" t="n"/>
      <c r="F25" s="280" t="n"/>
      <c r="G25" s="280" t="n"/>
      <c r="H25" s="280" t="n"/>
      <c r="I25" s="280" t="n"/>
      <c r="J25" s="280" t="n"/>
      <c r="K25" s="280" t="n"/>
      <c r="L25" s="280" t="n"/>
      <c r="M25" s="280" t="n"/>
      <c r="N25" s="280" t="n"/>
      <c r="O25" s="280" t="n"/>
      <c r="P25" s="280" t="n"/>
      <c r="Q25" s="280" t="n"/>
      <c r="R25" s="280" t="n"/>
      <c r="S25" s="280" t="n"/>
      <c r="T25" s="280" t="n"/>
      <c r="U25" s="280" t="n"/>
      <c r="V25" s="280" t="n"/>
      <c r="W25" s="280" t="n"/>
      <c r="X25" s="280" t="n"/>
      <c r="Y25" s="280" t="n"/>
      <c r="Z25" s="280" t="n"/>
      <c r="AA25" s="280" t="n"/>
      <c r="AB25" s="280" t="n"/>
      <c r="AC25" s="280" t="n"/>
      <c r="AD25" s="280" t="n"/>
      <c r="AE25" s="280" t="n"/>
      <c r="AF25" s="280" t="n"/>
      <c r="AG25" s="280" t="n"/>
      <c r="AH25" s="280" t="n"/>
      <c r="AI25" s="280" t="n"/>
      <c r="AJ25" s="280" t="n"/>
      <c r="AK25" s="280" t="n"/>
      <c r="AL25" s="280" t="n"/>
      <c r="AM25" s="280" t="n"/>
      <c r="AN25" s="280" t="n"/>
      <c r="AO25" s="280" t="n"/>
      <c r="AP25" s="280" t="n"/>
      <c r="AQ25" s="280" t="n"/>
      <c r="AR25" s="280" t="n"/>
      <c r="AS25" s="280" t="n"/>
      <c r="AT25" s="281" t="n"/>
      <c r="AU25" s="300" t="inlineStr">
        <is>
          <t>Concrete
CBC 1911A.2; ACI-503.7
Crack repair by epoxy injection</t>
        </is>
      </c>
      <c r="AV25" s="301" t="n"/>
      <c r="AW25" s="301" t="inlineStr">
        <is>
          <t>OPAA-0022</t>
        </is>
      </c>
      <c r="AX25" s="302" t="inlineStr">
        <is>
          <t>RMA</t>
        </is>
      </c>
      <c r="AY25" s="303" t="n"/>
      <c r="AZ25" s="4" t="n"/>
      <c r="BD25" s="129" t="n"/>
      <c r="BG25" s="387" t="n"/>
    </row>
    <row r="26" hidden="1" ht="37" customHeight="1" thickBot="1">
      <c r="B26" s="3" t="n"/>
      <c r="C26" s="2" t="n"/>
      <c r="D26" s="136" t="inlineStr">
        <is>
          <t>B-C10</t>
        </is>
      </c>
      <c r="E26" s="279" t="n"/>
      <c r="F26" s="280" t="n"/>
      <c r="G26" s="280" t="n"/>
      <c r="H26" s="280" t="n"/>
      <c r="I26" s="280" t="n"/>
      <c r="J26" s="280" t="n"/>
      <c r="K26" s="280" t="n"/>
      <c r="L26" s="280" t="n"/>
      <c r="M26" s="280" t="n"/>
      <c r="N26" s="280" t="n"/>
      <c r="O26" s="280" t="n"/>
      <c r="P26" s="280" t="n"/>
      <c r="Q26" s="280" t="n"/>
      <c r="R26" s="280" t="n"/>
      <c r="S26" s="280" t="n"/>
      <c r="T26" s="280" t="n"/>
      <c r="U26" s="280" t="n"/>
      <c r="V26" s="280" t="n"/>
      <c r="W26" s="280" t="n"/>
      <c r="X26" s="280" t="n"/>
      <c r="Y26" s="280" t="n"/>
      <c r="Z26" s="280" t="n"/>
      <c r="AA26" s="280" t="n"/>
      <c r="AB26" s="280" t="n"/>
      <c r="AC26" s="280" t="n"/>
      <c r="AD26" s="280" t="n"/>
      <c r="AE26" s="280" t="n"/>
      <c r="AF26" s="280" t="n"/>
      <c r="AG26" s="280" t="n"/>
      <c r="AH26" s="280" t="n"/>
      <c r="AI26" s="280" t="n"/>
      <c r="AJ26" s="280" t="n"/>
      <c r="AK26" s="280" t="n"/>
      <c r="AL26" s="280" t="n"/>
      <c r="AM26" s="280" t="n"/>
      <c r="AN26" s="280" t="n"/>
      <c r="AO26" s="280" t="n"/>
      <c r="AP26" s="280" t="n"/>
      <c r="AQ26" s="280" t="n"/>
      <c r="AR26" s="280" t="n"/>
      <c r="AS26" s="280" t="n"/>
      <c r="AT26" s="281" t="n"/>
      <c r="AU26" s="300" t="inlineStr">
        <is>
          <t>Concrete
CBC 1911A.3; ICC-ES AC 178 Sec. 9
Strengthening by externally bonded FRP</t>
        </is>
      </c>
      <c r="AV26" s="301" t="n"/>
      <c r="AW26" s="301" t="inlineStr">
        <is>
          <t>OPAA-0023</t>
        </is>
      </c>
      <c r="AX26" s="304" t="n"/>
      <c r="AY26" s="303" t="n"/>
      <c r="AZ26" s="4" t="n"/>
      <c r="BD26" s="129" t="n"/>
      <c r="BG26" s="387" t="n"/>
    </row>
    <row r="27" ht="37" customHeight="1" thickBot="1">
      <c r="B27" s="3" t="n"/>
      <c r="C27" s="2" t="n"/>
      <c r="D27" s="136" t="inlineStr">
        <is>
          <t>B-C11</t>
        </is>
      </c>
      <c r="E27" s="279" t="n"/>
      <c r="F27" s="280" t="n"/>
      <c r="G27" s="280" t="n"/>
      <c r="H27" s="280" t="n"/>
      <c r="I27" s="280" t="n"/>
      <c r="J27" s="280" t="n"/>
      <c r="K27" s="280" t="n"/>
      <c r="L27" s="280" t="n"/>
      <c r="M27" s="280" t="n"/>
      <c r="N27" s="280" t="n"/>
      <c r="O27" s="280" t="n"/>
      <c r="P27" s="280" t="n"/>
      <c r="Q27" s="280" t="n"/>
      <c r="R27" s="280" t="n"/>
      <c r="S27" s="280" t="n"/>
      <c r="T27" s="280" t="n"/>
      <c r="U27" s="280" t="n"/>
      <c r="V27" s="280" t="n"/>
      <c r="W27" s="280" t="n">
        <v>1</v>
      </c>
      <c r="X27" s="280" t="n"/>
      <c r="Y27" s="280" t="n"/>
      <c r="Z27" s="280" t="n"/>
      <c r="AA27" s="280" t="n"/>
      <c r="AB27" s="280" t="n"/>
      <c r="AC27" s="280" t="n"/>
      <c r="AD27" s="280" t="n"/>
      <c r="AE27" s="280" t="n"/>
      <c r="AF27" s="280" t="n"/>
      <c r="AG27" s="280" t="n"/>
      <c r="AH27" s="280" t="n"/>
      <c r="AI27" s="280" t="n"/>
      <c r="AJ27" s="280" t="n"/>
      <c r="AK27" s="280" t="n"/>
      <c r="AL27" s="280" t="n"/>
      <c r="AM27" s="280" t="n"/>
      <c r="AN27" s="280" t="n"/>
      <c r="AO27" s="280" t="n"/>
      <c r="AP27" s="280" t="n"/>
      <c r="AQ27" s="280" t="n"/>
      <c r="AR27" s="280" t="n"/>
      <c r="AS27" s="280" t="n"/>
      <c r="AT27" s="281" t="n"/>
      <c r="AU27" s="300" t="inlineStr">
        <is>
          <t>Shotcrete
CBC 1908A.5
Preconstruction test</t>
        </is>
      </c>
      <c r="AV27" s="301" t="n"/>
      <c r="AW27" s="301" t="inlineStr">
        <is>
          <t>OPAA-0020</t>
        </is>
      </c>
      <c r="AX27" s="302" t="inlineStr">
        <is>
          <t>CTS</t>
        </is>
      </c>
      <c r="AY27" s="303" t="n"/>
      <c r="AZ27" s="400" t="n"/>
      <c r="BD27" s="129" t="n"/>
      <c r="BG27" s="387" t="n"/>
    </row>
    <row r="28" ht="37" customHeight="1" thickBot="1">
      <c r="B28" s="3" t="n"/>
      <c r="C28" s="2" t="n"/>
      <c r="D28" s="136" t="inlineStr">
        <is>
          <t>B-C12</t>
        </is>
      </c>
      <c r="E28" s="279" t="n"/>
      <c r="F28" s="280" t="n"/>
      <c r="G28" s="280" t="n"/>
      <c r="H28" s="280" t="n"/>
      <c r="I28" s="280" t="n"/>
      <c r="J28" s="280" t="n"/>
      <c r="K28" s="280" t="n"/>
      <c r="L28" s="280" t="n"/>
      <c r="M28" s="280" t="n"/>
      <c r="N28" s="280" t="n"/>
      <c r="O28" s="280" t="n"/>
      <c r="P28" s="280" t="n"/>
      <c r="Q28" s="280" t="n"/>
      <c r="R28" s="280" t="n"/>
      <c r="S28" s="280" t="n"/>
      <c r="T28" s="280" t="n"/>
      <c r="U28" s="280" t="n"/>
      <c r="V28" s="280" t="n"/>
      <c r="W28" s="280" t="n">
        <v>1</v>
      </c>
      <c r="X28" s="280" t="n"/>
      <c r="Y28" s="280" t="n"/>
      <c r="Z28" s="280" t="n"/>
      <c r="AA28" s="280" t="n"/>
      <c r="AB28" s="280" t="n"/>
      <c r="AC28" s="280" t="n"/>
      <c r="AD28" s="280" t="n"/>
      <c r="AE28" s="280" t="n"/>
      <c r="AF28" s="280" t="n"/>
      <c r="AG28" s="280" t="n"/>
      <c r="AH28" s="280" t="n"/>
      <c r="AI28" s="280" t="n"/>
      <c r="AJ28" s="280" t="n"/>
      <c r="AK28" s="280" t="n"/>
      <c r="AL28" s="280" t="n"/>
      <c r="AM28" s="280" t="n"/>
      <c r="AN28" s="280" t="n"/>
      <c r="AO28" s="280" t="n"/>
      <c r="AP28" s="280" t="n"/>
      <c r="AQ28" s="280" t="n"/>
      <c r="AR28" s="280" t="n"/>
      <c r="AS28" s="280" t="n"/>
      <c r="AT28" s="281" t="n"/>
      <c r="AU28" s="300" t="inlineStr">
        <is>
          <t>Shotcrete
CBC 1908A.10
Strength test</t>
        </is>
      </c>
      <c r="AV28" s="301" t="n"/>
      <c r="AW28" s="301" t="inlineStr">
        <is>
          <t>OPAA-0020</t>
        </is>
      </c>
      <c r="AX28" s="302" t="inlineStr">
        <is>
          <t>CTS</t>
        </is>
      </c>
      <c r="AY28" s="303" t="n"/>
      <c r="AZ28" s="400" t="n"/>
      <c r="BD28" s="129" t="n"/>
      <c r="BG28" s="387" t="n"/>
    </row>
    <row r="29" ht="37" customHeight="1" thickBot="1">
      <c r="B29" s="3" t="n"/>
      <c r="C29" s="2" t="n"/>
      <c r="D29" s="136" t="inlineStr">
        <is>
          <t>B-C13</t>
        </is>
      </c>
      <c r="E29" s="279" t="n"/>
      <c r="F29" s="280" t="n"/>
      <c r="G29" s="280" t="n"/>
      <c r="H29" s="280" t="n"/>
      <c r="I29" s="280" t="n"/>
      <c r="J29" s="280" t="n"/>
      <c r="K29" s="280" t="n"/>
      <c r="L29" s="280" t="n"/>
      <c r="M29" s="280" t="n"/>
      <c r="N29" s="280" t="n"/>
      <c r="O29" s="280" t="n"/>
      <c r="P29" s="280" t="n"/>
      <c r="Q29" s="280" t="n"/>
      <c r="R29" s="280" t="n"/>
      <c r="S29" s="280" t="n"/>
      <c r="T29" s="280" t="n"/>
      <c r="U29" s="280" t="n"/>
      <c r="V29" s="280" t="n"/>
      <c r="W29" s="280" t="n">
        <v>1</v>
      </c>
      <c r="X29" s="280" t="n"/>
      <c r="Y29" s="280" t="n"/>
      <c r="Z29" s="280" t="n"/>
      <c r="AA29" s="280" t="n"/>
      <c r="AB29" s="280" t="n"/>
      <c r="AC29" s="280" t="n"/>
      <c r="AD29" s="280" t="n"/>
      <c r="AE29" s="280" t="n"/>
      <c r="AF29" s="280" t="n"/>
      <c r="AG29" s="280" t="n"/>
      <c r="AH29" s="280" t="n"/>
      <c r="AI29" s="280" t="n"/>
      <c r="AJ29" s="280" t="n"/>
      <c r="AK29" s="280" t="n"/>
      <c r="AL29" s="280" t="n"/>
      <c r="AM29" s="280" t="n"/>
      <c r="AN29" s="280" t="n"/>
      <c r="AO29" s="280" t="n"/>
      <c r="AP29" s="280" t="n"/>
      <c r="AQ29" s="280" t="n"/>
      <c r="AR29" s="280" t="n"/>
      <c r="AS29" s="280" t="n"/>
      <c r="AT29" s="281" t="n"/>
      <c r="AU29" s="300" t="inlineStr">
        <is>
          <t>Shotcrete
CBC 1705A.19.1
Core test</t>
        </is>
      </c>
      <c r="AV29" s="301" t="n"/>
      <c r="AW29" s="301" t="inlineStr">
        <is>
          <t>OPAA-0020</t>
        </is>
      </c>
      <c r="AX29" s="302" t="inlineStr">
        <is>
          <t>CTS</t>
        </is>
      </c>
      <c r="AY29" s="303" t="n"/>
      <c r="AZ29" s="400" t="n"/>
      <c r="BD29" s="129" t="n"/>
      <c r="BG29" s="387" t="n"/>
    </row>
    <row r="30" ht="49" customHeight="1" thickBot="1">
      <c r="A30" s="510" t="n"/>
      <c r="B30" s="3" t="n"/>
      <c r="C30" s="2" t="n"/>
      <c r="D30" s="136" t="inlineStr">
        <is>
          <t>B-C14</t>
        </is>
      </c>
      <c r="E30" s="279" t="n"/>
      <c r="F30" s="280" t="n"/>
      <c r="G30" s="280" t="n"/>
      <c r="H30" s="280" t="n"/>
      <c r="I30" s="280" t="n"/>
      <c r="J30" s="280" t="inlineStr">
        <is>
          <t>X</t>
        </is>
      </c>
      <c r="K30" s="280" t="n"/>
      <c r="L30" s="280" t="n"/>
      <c r="M30" s="280" t="n"/>
      <c r="N30" s="280" t="n"/>
      <c r="O30" s="280" t="n"/>
      <c r="P30" s="280" t="n"/>
      <c r="Q30" s="280" t="n"/>
      <c r="R30" s="280" t="n"/>
      <c r="S30" s="280" t="n"/>
      <c r="T30" s="280" t="n"/>
      <c r="U30" s="280" t="n"/>
      <c r="V30" s="280" t="n"/>
      <c r="W30" s="280" t="n"/>
      <c r="X30" s="280" t="n"/>
      <c r="Y30" s="280" t="n"/>
      <c r="Z30" s="280" t="n"/>
      <c r="AA30" s="280" t="n"/>
      <c r="AB30" s="280" t="n"/>
      <c r="AC30" s="280" t="n"/>
      <c r="AD30" s="280" t="n"/>
      <c r="AE30" s="280" t="n"/>
      <c r="AF30" s="280" t="n"/>
      <c r="AG30" s="280" t="n"/>
      <c r="AH30" s="280" t="n"/>
      <c r="AI30" s="280" t="n"/>
      <c r="AJ30" s="280" t="n"/>
      <c r="AK30" s="280" t="n"/>
      <c r="AL30" s="280" t="n"/>
      <c r="AM30" s="280" t="n"/>
      <c r="AN30" s="280" t="n"/>
      <c r="AO30" s="280" t="n"/>
      <c r="AP30" s="280" t="n"/>
      <c r="AQ30" s="280" t="n"/>
      <c r="AR30" s="280" t="n"/>
      <c r="AS30" s="280" t="n"/>
      <c r="AT30" s="281" t="n"/>
      <c r="AU30" s="300" t="inlineStr">
        <is>
          <t>Post-installed anchors
CBC 1910A.5
Installation verification test (includes adhesive, shot pins and mechanical anchors)</t>
        </is>
      </c>
      <c r="AV30" s="301" t="n"/>
      <c r="AW30" s="301" t="inlineStr">
        <is>
          <t>OPAA-0020</t>
        </is>
      </c>
      <c r="AX30" s="302" t="inlineStr">
        <is>
          <t>CTS</t>
        </is>
      </c>
      <c r="AY30" s="303" t="n"/>
      <c r="AZ30" s="402" t="n"/>
      <c r="BD30" s="129" t="n"/>
      <c r="BG30" s="387" t="n"/>
    </row>
    <row r="31" hidden="1" ht="37" customHeight="1" thickBot="1">
      <c r="B31" s="3" t="n"/>
      <c r="C31" s="2" t="n"/>
      <c r="D31" s="136" t="inlineStr">
        <is>
          <t>B-C15</t>
        </is>
      </c>
      <c r="E31" s="279" t="n"/>
      <c r="F31" s="280" t="n"/>
      <c r="G31" s="280" t="n"/>
      <c r="H31" s="280" t="n"/>
      <c r="I31" s="280" t="n"/>
      <c r="J31" s="280" t="n"/>
      <c r="K31" s="280" t="n"/>
      <c r="L31" s="280" t="n"/>
      <c r="M31" s="280" t="n"/>
      <c r="N31" s="280" t="n"/>
      <c r="O31" s="280" t="n"/>
      <c r="P31" s="280" t="n"/>
      <c r="Q31" s="280" t="n"/>
      <c r="R31" s="280" t="n"/>
      <c r="S31" s="280" t="n"/>
      <c r="T31" s="280" t="n"/>
      <c r="U31" s="280" t="n"/>
      <c r="V31" s="280" t="n"/>
      <c r="W31" s="280" t="n"/>
      <c r="X31" s="280" t="n"/>
      <c r="Y31" s="280" t="n"/>
      <c r="Z31" s="280" t="n"/>
      <c r="AA31" s="280" t="n"/>
      <c r="AB31" s="280" t="n"/>
      <c r="AC31" s="280" t="n"/>
      <c r="AD31" s="280" t="n"/>
      <c r="AE31" s="280" t="n"/>
      <c r="AF31" s="280" t="n"/>
      <c r="AG31" s="280" t="n"/>
      <c r="AH31" s="280" t="n"/>
      <c r="AI31" s="280" t="n"/>
      <c r="AJ31" s="280" t="n"/>
      <c r="AK31" s="280" t="n"/>
      <c r="AL31" s="280" t="n"/>
      <c r="AM31" s="280" t="n"/>
      <c r="AN31" s="280" t="n"/>
      <c r="AO31" s="280" t="n"/>
      <c r="AP31" s="280" t="n"/>
      <c r="AQ31" s="280" t="n"/>
      <c r="AR31" s="280" t="n"/>
      <c r="AS31" s="280" t="n"/>
      <c r="AT31" s="281" t="n"/>
      <c r="AU31" s="300" t="inlineStr">
        <is>
          <t>Existing post-installed anchors
CBC 1708A and CAC Chapter 6, Section 11.3
Direct tension test</t>
        </is>
      </c>
      <c r="AV31" s="301" t="n"/>
      <c r="AW31" s="301" t="n"/>
      <c r="AX31" s="304" t="n"/>
      <c r="AY31" s="303" t="n"/>
      <c r="AZ31" s="6" t="n"/>
      <c r="BD31" s="129" t="n"/>
      <c r="BG31" s="387" t="n"/>
    </row>
    <row r="32" hidden="1" ht="61" customHeight="1" thickBot="1">
      <c r="B32" s="3" t="n"/>
      <c r="C32" s="2" t="n"/>
      <c r="D32" s="136" t="inlineStr">
        <is>
          <t>B-C16</t>
        </is>
      </c>
      <c r="E32" s="279" t="n"/>
      <c r="F32" s="280" t="n"/>
      <c r="G32" s="280" t="inlineStr">
        <is>
          <t>X</t>
        </is>
      </c>
      <c r="H32" s="280" t="inlineStr">
        <is>
          <t>X</t>
        </is>
      </c>
      <c r="I32" s="280" t="n"/>
      <c r="J32" s="280" t="n"/>
      <c r="K32" s="280" t="inlineStr">
        <is>
          <t>X</t>
        </is>
      </c>
      <c r="L32" s="280" t="n"/>
      <c r="M32" s="280" t="n"/>
      <c r="N32" s="280" t="n"/>
      <c r="O32" s="280" t="n"/>
      <c r="P32" s="280" t="n"/>
      <c r="Q32" s="280" t="n"/>
      <c r="R32" s="280" t="n">
        <v>1</v>
      </c>
      <c r="S32" s="280" t="n"/>
      <c r="T32" s="280" t="n"/>
      <c r="U32" s="280" t="n"/>
      <c r="V32" s="280" t="n"/>
      <c r="W32" s="280" t="n"/>
      <c r="X32" s="280" t="n"/>
      <c r="Y32" s="280" t="n"/>
      <c r="Z32" s="280" t="n"/>
      <c r="AA32" s="280" t="n"/>
      <c r="AB32" s="280" t="n"/>
      <c r="AC32" s="280" t="n"/>
      <c r="AD32" s="280" t="n"/>
      <c r="AE32" s="280" t="n"/>
      <c r="AF32" s="280" t="n"/>
      <c r="AG32" s="280" t="n"/>
      <c r="AH32" s="280" t="n"/>
      <c r="AI32" s="280" t="n"/>
      <c r="AJ32" s="280" t="n"/>
      <c r="AK32" s="280" t="n"/>
      <c r="AL32" s="280" t="n"/>
      <c r="AM32" s="280" t="n"/>
      <c r="AN32" s="280" t="n"/>
      <c r="AO32" s="280" t="n"/>
      <c r="AP32" s="280" t="n"/>
      <c r="AQ32" s="280" t="n"/>
      <c r="AR32" s="280" t="n"/>
      <c r="AS32" s="280" t="n"/>
      <c r="AT32" s="281" t="n"/>
      <c r="AU32" s="300" t="inlineStr">
        <is>
          <t>Concrete
Tests for welded hoop resistance welding defined in reinforcement notes of structural drawing S5.201-1, CalTrans California Test (CT) 670, and Inc 1 specification section 03 20 00 CONCRETE REINFORCING</t>
        </is>
      </c>
      <c r="AV32" s="301" t="n"/>
      <c r="AW32" s="301" t="inlineStr">
        <is>
          <t>OPAA-0020, Caltrans Authorizations</t>
        </is>
      </c>
      <c r="AX32" s="304" t="inlineStr">
        <is>
          <t>CTS</t>
        </is>
      </c>
      <c r="AY32" s="303" t="n"/>
      <c r="AZ32" s="402" t="n"/>
      <c r="BD32" s="126" t="n"/>
      <c r="BG32" s="387" t="n"/>
    </row>
    <row r="33" hidden="1" ht="29" customHeight="1" thickBot="1">
      <c r="B33" s="3" t="n"/>
      <c r="C33" s="2" t="n"/>
      <c r="D33" s="136" t="inlineStr">
        <is>
          <t>B-C17</t>
        </is>
      </c>
      <c r="E33" s="282" t="n"/>
      <c r="F33" s="283" t="n"/>
      <c r="G33" s="283" t="n"/>
      <c r="H33" s="283" t="n"/>
      <c r="I33" s="283" t="n"/>
      <c r="J33" s="283" t="n"/>
      <c r="K33" s="283" t="n"/>
      <c r="L33" s="283" t="n"/>
      <c r="M33" s="283" t="n"/>
      <c r="N33" s="283" t="n"/>
      <c r="O33" s="283" t="n"/>
      <c r="P33" s="283" t="n"/>
      <c r="Q33" s="283" t="n"/>
      <c r="R33" s="283" t="n"/>
      <c r="S33" s="283" t="n"/>
      <c r="T33" s="283" t="n"/>
      <c r="U33" s="283" t="n"/>
      <c r="V33" s="283" t="n"/>
      <c r="W33" s="283" t="n"/>
      <c r="X33" s="283" t="n"/>
      <c r="Y33" s="283" t="n"/>
      <c r="Z33" s="283" t="n"/>
      <c r="AA33" s="283" t="n"/>
      <c r="AB33" s="283" t="n"/>
      <c r="AC33" s="283" t="n"/>
      <c r="AD33" s="283" t="n"/>
      <c r="AE33" s="283" t="n"/>
      <c r="AF33" s="283" t="n"/>
      <c r="AG33" s="283" t="n"/>
      <c r="AH33" s="283" t="n"/>
      <c r="AI33" s="283" t="n"/>
      <c r="AJ33" s="283" t="n"/>
      <c r="AK33" s="283" t="n"/>
      <c r="AL33" s="283" t="n"/>
      <c r="AM33" s="283" t="n"/>
      <c r="AN33" s="283" t="n"/>
      <c r="AO33" s="283" t="n"/>
      <c r="AP33" s="283" t="n"/>
      <c r="AQ33" s="283" t="n"/>
      <c r="AR33" s="283" t="n"/>
      <c r="AS33" s="283" t="n"/>
      <c r="AT33" s="284" t="n"/>
      <c r="AU33" s="305" t="n"/>
      <c r="AV33" s="306" t="n"/>
      <c r="AW33" s="306" t="n"/>
      <c r="AX33" s="307" t="n"/>
      <c r="AY33" s="308" t="n"/>
      <c r="AZ33" s="6" t="n"/>
      <c r="BD33" s="126" t="n"/>
      <c r="BG33" s="387" t="n"/>
    </row>
    <row r="34" hidden="1" ht="18" customHeight="1" thickBot="1">
      <c r="B34" s="3" t="inlineStr">
        <is>
          <t>x13</t>
        </is>
      </c>
      <c r="C34" s="19" t="inlineStr">
        <is>
          <t>Masonry</t>
        </is>
      </c>
      <c r="D34" s="20" t="n"/>
      <c r="E34" s="163" t="n"/>
      <c r="F34" s="163" t="n"/>
      <c r="G34" s="163" t="n"/>
      <c r="H34" s="163" t="n"/>
      <c r="I34" s="163" t="n"/>
      <c r="J34" s="163" t="n"/>
      <c r="K34" s="163" t="n"/>
      <c r="L34" s="163" t="n"/>
      <c r="M34" s="163" t="n"/>
      <c r="N34" s="163" t="n"/>
      <c r="O34" s="163" t="n"/>
      <c r="P34" s="163" t="n"/>
      <c r="Q34" s="163" t="n"/>
      <c r="R34" s="163" t="n"/>
      <c r="S34" s="163" t="n"/>
      <c r="T34" s="163" t="n"/>
      <c r="U34" s="163" t="n"/>
      <c r="V34" s="163" t="n"/>
      <c r="W34" s="163" t="n"/>
      <c r="X34" s="163" t="n"/>
      <c r="Y34" s="163" t="n"/>
      <c r="Z34" s="163" t="n"/>
      <c r="AA34" s="163" t="n"/>
      <c r="AB34" s="163" t="n"/>
      <c r="AC34" s="163" t="n"/>
      <c r="AD34" s="163" t="n"/>
      <c r="AE34" s="163" t="n"/>
      <c r="AF34" s="163" t="n"/>
      <c r="AG34" s="163" t="n"/>
      <c r="AH34" s="163" t="n"/>
      <c r="AI34" s="163" t="n"/>
      <c r="AJ34" s="163" t="n"/>
      <c r="AK34" s="163" t="n"/>
      <c r="AL34" s="163" t="n"/>
      <c r="AM34" s="163" t="n"/>
      <c r="AN34" s="163" t="n"/>
      <c r="AO34" s="163" t="n"/>
      <c r="AP34" s="163" t="n"/>
      <c r="AQ34" s="163" t="n"/>
      <c r="AR34" s="163" t="n"/>
      <c r="AS34" s="163" t="n"/>
      <c r="AT34" s="163" t="n"/>
      <c r="AU34" s="20" t="n"/>
      <c r="AV34" s="199" t="n"/>
      <c r="AW34" s="199" t="n"/>
      <c r="AX34" s="198" t="n"/>
      <c r="AY34" s="49" t="n"/>
      <c r="AZ34" s="22" t="n"/>
      <c r="BD34" s="126" t="n"/>
      <c r="BG34" s="387" t="n"/>
    </row>
    <row r="35" hidden="1" ht="37" customHeight="1" thickBot="1">
      <c r="B35" s="3" t="n"/>
      <c r="C35" s="2" t="n"/>
      <c r="D35" s="136" t="inlineStr">
        <is>
          <t>B-MA1</t>
        </is>
      </c>
      <c r="E35" s="276" t="n"/>
      <c r="F35" s="277" t="n"/>
      <c r="G35" s="277" t="n"/>
      <c r="H35" s="277" t="n"/>
      <c r="I35" s="277" t="n"/>
      <c r="J35" s="277" t="n"/>
      <c r="K35" s="277" t="n"/>
      <c r="L35" s="277" t="n"/>
      <c r="M35" s="277" t="n"/>
      <c r="N35" s="277" t="n"/>
      <c r="O35" s="277" t="n"/>
      <c r="P35" s="277" t="n"/>
      <c r="Q35" s="277" t="n"/>
      <c r="R35" s="277" t="n"/>
      <c r="S35" s="277" t="n"/>
      <c r="T35" s="277" t="n"/>
      <c r="U35" s="277" t="n"/>
      <c r="V35" s="277" t="n"/>
      <c r="W35" s="277" t="n"/>
      <c r="X35" s="277" t="n"/>
      <c r="Y35" s="277" t="n"/>
      <c r="Z35" s="277" t="n"/>
      <c r="AA35" s="277" t="n"/>
      <c r="AB35" s="277" t="n"/>
      <c r="AC35" s="277" t="n"/>
      <c r="AD35" s="277" t="n"/>
      <c r="AE35" s="277" t="n"/>
      <c r="AF35" s="277" t="n"/>
      <c r="AG35" s="277" t="n"/>
      <c r="AH35" s="277" t="n"/>
      <c r="AI35" s="277" t="n"/>
      <c r="AJ35" s="277" t="n"/>
      <c r="AK35" s="277" t="n"/>
      <c r="AL35" s="277" t="n"/>
      <c r="AM35" s="277" t="n"/>
      <c r="AN35" s="277" t="n"/>
      <c r="AO35" s="277" t="n"/>
      <c r="AP35" s="277" t="n"/>
      <c r="AQ35" s="277" t="n"/>
      <c r="AR35" s="277" t="n"/>
      <c r="AS35" s="277" t="n"/>
      <c r="AT35" s="278" t="n"/>
      <c r="AU35" s="285" t="inlineStr">
        <is>
          <t>Masonry
CBC 2105A.2; TMS 602 1.4.B.3
Material standards tests</t>
        </is>
      </c>
      <c r="AV35" s="664" t="n"/>
      <c r="AW35" s="664" t="n"/>
      <c r="AX35" s="263" t="n"/>
      <c r="AY35" s="286" t="n"/>
      <c r="AZ35" s="67" t="n"/>
      <c r="BD35" s="129" t="n"/>
      <c r="BG35" s="387" t="n"/>
    </row>
    <row r="36" hidden="1" ht="37" customHeight="1" thickBot="1">
      <c r="B36" s="3" t="n"/>
      <c r="C36" s="2" t="n"/>
      <c r="D36" s="136" t="inlineStr">
        <is>
          <t>B-MA2</t>
        </is>
      </c>
      <c r="E36" s="279" t="n"/>
      <c r="F36" s="280" t="n"/>
      <c r="G36" s="280" t="n"/>
      <c r="H36" s="280" t="n"/>
      <c r="I36" s="280" t="n"/>
      <c r="J36" s="280" t="n"/>
      <c r="K36" s="280" t="n"/>
      <c r="L36" s="280" t="n"/>
      <c r="M36" s="280" t="n"/>
      <c r="N36" s="280" t="n"/>
      <c r="O36" s="280" t="n"/>
      <c r="P36" s="280" t="n"/>
      <c r="Q36" s="280" t="n"/>
      <c r="R36" s="280" t="n"/>
      <c r="S36" s="280" t="n"/>
      <c r="T36" s="280" t="n"/>
      <c r="U36" s="280" t="n"/>
      <c r="V36" s="280" t="n"/>
      <c r="W36" s="280" t="n"/>
      <c r="X36" s="280" t="n"/>
      <c r="Y36" s="280" t="n"/>
      <c r="Z36" s="280" t="n"/>
      <c r="AA36" s="280" t="n"/>
      <c r="AB36" s="280" t="n"/>
      <c r="AC36" s="280" t="n"/>
      <c r="AD36" s="280" t="n"/>
      <c r="AE36" s="280" t="n"/>
      <c r="AF36" s="280" t="n"/>
      <c r="AG36" s="280" t="n"/>
      <c r="AH36" s="280" t="n"/>
      <c r="AI36" s="280" t="n"/>
      <c r="AJ36" s="280" t="n"/>
      <c r="AK36" s="280" t="n"/>
      <c r="AL36" s="280" t="n"/>
      <c r="AM36" s="280" t="n"/>
      <c r="AN36" s="280" t="n"/>
      <c r="AO36" s="280" t="n"/>
      <c r="AP36" s="280" t="n"/>
      <c r="AQ36" s="280" t="n"/>
      <c r="AR36" s="280" t="n"/>
      <c r="AS36" s="280" t="n"/>
      <c r="AT36" s="281" t="n"/>
      <c r="AU36" s="287" t="inlineStr">
        <is>
          <t>Masonry
CBC 2105A.3
Mortar test</t>
        </is>
      </c>
      <c r="AV36" s="663" t="n"/>
      <c r="AW36" s="663" t="n"/>
      <c r="AX36" s="264" t="n"/>
      <c r="AY36" s="288" t="n"/>
      <c r="AZ36" s="4" t="n"/>
      <c r="BD36" s="129" t="n"/>
      <c r="BG36" s="387" t="n"/>
    </row>
    <row r="37" hidden="1" ht="37" customHeight="1" thickBot="1">
      <c r="B37" s="3" t="n"/>
      <c r="C37" s="2" t="n"/>
      <c r="D37" s="136" t="inlineStr">
        <is>
          <t>B-MA3</t>
        </is>
      </c>
      <c r="E37" s="279" t="n"/>
      <c r="F37" s="280" t="n"/>
      <c r="G37" s="280" t="n"/>
      <c r="H37" s="280" t="n"/>
      <c r="I37" s="280" t="n"/>
      <c r="J37" s="280" t="n"/>
      <c r="K37" s="280" t="n"/>
      <c r="L37" s="280" t="n"/>
      <c r="M37" s="280" t="n"/>
      <c r="N37" s="280" t="n"/>
      <c r="O37" s="280" t="n"/>
      <c r="P37" s="280" t="n"/>
      <c r="Q37" s="280" t="n"/>
      <c r="R37" s="280" t="n"/>
      <c r="S37" s="280" t="n"/>
      <c r="T37" s="280" t="n"/>
      <c r="U37" s="280" t="n"/>
      <c r="V37" s="280" t="n"/>
      <c r="W37" s="280" t="n"/>
      <c r="X37" s="280" t="n"/>
      <c r="Y37" s="280" t="n"/>
      <c r="Z37" s="280" t="n"/>
      <c r="AA37" s="280" t="n"/>
      <c r="AB37" s="280" t="n"/>
      <c r="AC37" s="280" t="n"/>
      <c r="AD37" s="280" t="n"/>
      <c r="AE37" s="280" t="n"/>
      <c r="AF37" s="280" t="n"/>
      <c r="AG37" s="280" t="n"/>
      <c r="AH37" s="280" t="n"/>
      <c r="AI37" s="280" t="n"/>
      <c r="AJ37" s="280" t="n"/>
      <c r="AK37" s="280" t="n"/>
      <c r="AL37" s="280" t="n"/>
      <c r="AM37" s="280" t="n"/>
      <c r="AN37" s="280" t="n"/>
      <c r="AO37" s="280" t="n"/>
      <c r="AP37" s="280" t="n"/>
      <c r="AQ37" s="280" t="n"/>
      <c r="AR37" s="280" t="n"/>
      <c r="AS37" s="280" t="n"/>
      <c r="AT37" s="281" t="n"/>
      <c r="AU37" s="287" t="inlineStr">
        <is>
          <t>Masonry
CBC 2105A.3
Grout test</t>
        </is>
      </c>
      <c r="AV37" s="663" t="n"/>
      <c r="AW37" s="663" t="n"/>
      <c r="AX37" s="264" t="n"/>
      <c r="AY37" s="288" t="n"/>
      <c r="AZ37" s="4" t="n"/>
      <c r="BD37" s="129" t="n"/>
      <c r="BG37" s="387" t="n"/>
    </row>
    <row r="38" hidden="1" ht="37" customHeight="1" thickBot="1">
      <c r="B38" s="3" t="n"/>
      <c r="C38" s="2" t="n"/>
      <c r="D38" s="136" t="inlineStr">
        <is>
          <t>B-MA4</t>
        </is>
      </c>
      <c r="E38" s="279" t="n"/>
      <c r="F38" s="280" t="n"/>
      <c r="G38" s="280" t="n"/>
      <c r="H38" s="280" t="n"/>
      <c r="I38" s="280" t="n"/>
      <c r="J38" s="280" t="n"/>
      <c r="K38" s="280" t="n"/>
      <c r="L38" s="280" t="n"/>
      <c r="M38" s="280" t="n"/>
      <c r="N38" s="280" t="n"/>
      <c r="O38" s="280" t="n"/>
      <c r="P38" s="280" t="n"/>
      <c r="Q38" s="280" t="n"/>
      <c r="R38" s="280" t="n"/>
      <c r="S38" s="280" t="n"/>
      <c r="T38" s="280" t="n"/>
      <c r="U38" s="280" t="n"/>
      <c r="V38" s="280" t="n"/>
      <c r="W38" s="280" t="n"/>
      <c r="X38" s="280" t="n"/>
      <c r="Y38" s="280" t="n"/>
      <c r="Z38" s="280" t="n"/>
      <c r="AA38" s="280" t="n"/>
      <c r="AB38" s="280" t="n"/>
      <c r="AC38" s="280" t="n"/>
      <c r="AD38" s="280" t="n"/>
      <c r="AE38" s="280" t="n"/>
      <c r="AF38" s="280" t="n"/>
      <c r="AG38" s="280" t="n"/>
      <c r="AH38" s="280" t="n"/>
      <c r="AI38" s="280" t="n"/>
      <c r="AJ38" s="280" t="n"/>
      <c r="AK38" s="280" t="n"/>
      <c r="AL38" s="280" t="n"/>
      <c r="AM38" s="280" t="n"/>
      <c r="AN38" s="280" t="n"/>
      <c r="AO38" s="280" t="n"/>
      <c r="AP38" s="280" t="n"/>
      <c r="AQ38" s="280" t="n"/>
      <c r="AR38" s="280" t="n"/>
      <c r="AS38" s="280" t="n"/>
      <c r="AT38" s="281" t="n"/>
      <c r="AU38" s="287" t="inlineStr">
        <is>
          <t>Masonry
CBC 2105A.2; TMS 602 1.4.B.3
Compressive strength f'm - prism test</t>
        </is>
      </c>
      <c r="AV38" s="663" t="n"/>
      <c r="AW38" s="663" t="n"/>
      <c r="AX38" s="264" t="n"/>
      <c r="AY38" s="288" t="n"/>
      <c r="AZ38" s="4" t="n"/>
      <c r="BD38" s="129" t="n"/>
      <c r="BG38" s="387" t="n"/>
    </row>
    <row r="39" hidden="1" ht="37" customHeight="1" thickBot="1">
      <c r="B39" s="3" t="n"/>
      <c r="C39" s="2" t="n"/>
      <c r="D39" s="136" t="inlineStr">
        <is>
          <t>B-MA5</t>
        </is>
      </c>
      <c r="E39" s="279" t="n"/>
      <c r="F39" s="280" t="n"/>
      <c r="G39" s="280" t="n"/>
      <c r="H39" s="280" t="n"/>
      <c r="I39" s="280" t="n"/>
      <c r="J39" s="280" t="n"/>
      <c r="K39" s="280" t="n"/>
      <c r="L39" s="280" t="n"/>
      <c r="M39" s="280" t="n"/>
      <c r="N39" s="280" t="n"/>
      <c r="O39" s="280" t="n"/>
      <c r="P39" s="280" t="n"/>
      <c r="Q39" s="280" t="n"/>
      <c r="R39" s="280" t="n"/>
      <c r="S39" s="280" t="n"/>
      <c r="T39" s="280" t="n"/>
      <c r="U39" s="280" t="n"/>
      <c r="V39" s="280" t="n"/>
      <c r="W39" s="280" t="n"/>
      <c r="X39" s="280" t="n"/>
      <c r="Y39" s="280" t="n"/>
      <c r="Z39" s="280" t="n"/>
      <c r="AA39" s="280" t="n"/>
      <c r="AB39" s="280" t="n"/>
      <c r="AC39" s="280" t="n"/>
      <c r="AD39" s="280" t="n"/>
      <c r="AE39" s="280" t="n"/>
      <c r="AF39" s="280" t="n"/>
      <c r="AG39" s="280" t="n"/>
      <c r="AH39" s="280" t="n"/>
      <c r="AI39" s="280" t="n"/>
      <c r="AJ39" s="280" t="n"/>
      <c r="AK39" s="280" t="n"/>
      <c r="AL39" s="280" t="n"/>
      <c r="AM39" s="280" t="n"/>
      <c r="AN39" s="280" t="n"/>
      <c r="AO39" s="280" t="n"/>
      <c r="AP39" s="280" t="n"/>
      <c r="AQ39" s="280" t="n"/>
      <c r="AR39" s="280" t="n"/>
      <c r="AS39" s="280" t="n"/>
      <c r="AT39" s="281" t="n"/>
      <c r="AU39" s="287" t="inlineStr">
        <is>
          <t>Masonry
CBC 2105A.4
Core test</t>
        </is>
      </c>
      <c r="AV39" s="663" t="n"/>
      <c r="AW39" s="663" t="n"/>
      <c r="AX39" s="264" t="n"/>
      <c r="AY39" s="288" t="n"/>
      <c r="AZ39" s="4" t="n"/>
      <c r="BD39" s="129" t="n"/>
      <c r="BG39" s="387" t="n"/>
    </row>
    <row r="40" hidden="1" ht="37" customHeight="1" thickBot="1">
      <c r="B40" s="3" t="n"/>
      <c r="C40" s="2" t="n"/>
      <c r="D40" s="136" t="inlineStr">
        <is>
          <t>B-MA6</t>
        </is>
      </c>
      <c r="E40" s="279" t="n"/>
      <c r="F40" s="280" t="n"/>
      <c r="G40" s="280" t="n"/>
      <c r="H40" s="280" t="n"/>
      <c r="I40" s="280" t="n"/>
      <c r="J40" s="280" t="n"/>
      <c r="K40" s="280" t="n"/>
      <c r="L40" s="280" t="n"/>
      <c r="M40" s="280" t="n"/>
      <c r="N40" s="280" t="n"/>
      <c r="O40" s="280" t="n"/>
      <c r="P40" s="280" t="n"/>
      <c r="Q40" s="280" t="n"/>
      <c r="R40" s="280" t="n"/>
      <c r="S40" s="280" t="n"/>
      <c r="T40" s="280" t="n"/>
      <c r="U40" s="280" t="n"/>
      <c r="V40" s="280" t="n"/>
      <c r="W40" s="280" t="n"/>
      <c r="X40" s="280" t="n"/>
      <c r="Y40" s="280" t="n"/>
      <c r="Z40" s="280" t="n"/>
      <c r="AA40" s="280" t="n"/>
      <c r="AB40" s="280" t="n"/>
      <c r="AC40" s="280" t="n"/>
      <c r="AD40" s="280" t="n"/>
      <c r="AE40" s="280" t="n"/>
      <c r="AF40" s="280" t="n"/>
      <c r="AG40" s="280" t="n"/>
      <c r="AH40" s="280" t="n"/>
      <c r="AI40" s="280" t="n"/>
      <c r="AJ40" s="280" t="n"/>
      <c r="AK40" s="280" t="n"/>
      <c r="AL40" s="280" t="n"/>
      <c r="AM40" s="280" t="n"/>
      <c r="AN40" s="280" t="n"/>
      <c r="AO40" s="280" t="n"/>
      <c r="AP40" s="280" t="n"/>
      <c r="AQ40" s="280" t="n"/>
      <c r="AR40" s="280" t="n"/>
      <c r="AS40" s="280" t="n"/>
      <c r="AT40" s="281" t="n"/>
      <c r="AU40" s="309" t="inlineStr">
        <is>
          <t>Masonry
CBC 1705A.4
Masonry anchors</t>
        </is>
      </c>
      <c r="AV40" s="663" t="n"/>
      <c r="AW40" s="663" t="n"/>
      <c r="AX40" s="264" t="n"/>
      <c r="AY40" s="288" t="n"/>
      <c r="AZ40" s="4" t="n"/>
      <c r="BD40" s="129" t="n"/>
      <c r="BG40" s="387" t="n"/>
    </row>
    <row r="41" hidden="1" ht="37" customHeight="1" thickBot="1">
      <c r="B41" s="3" t="n"/>
      <c r="C41" s="2" t="n"/>
      <c r="D41" s="136" t="inlineStr">
        <is>
          <t>B-MA7</t>
        </is>
      </c>
      <c r="E41" s="279" t="n"/>
      <c r="F41" s="280" t="n"/>
      <c r="G41" s="280" t="n"/>
      <c r="H41" s="280" t="n"/>
      <c r="I41" s="280" t="n"/>
      <c r="J41" s="280" t="n"/>
      <c r="K41" s="280" t="n"/>
      <c r="L41" s="280" t="n"/>
      <c r="M41" s="280" t="n"/>
      <c r="N41" s="280" t="n"/>
      <c r="O41" s="280" t="n"/>
      <c r="P41" s="280" t="n"/>
      <c r="Q41" s="280" t="n"/>
      <c r="R41" s="280" t="n"/>
      <c r="S41" s="280" t="n"/>
      <c r="T41" s="280" t="n"/>
      <c r="U41" s="280" t="n"/>
      <c r="V41" s="280" t="n"/>
      <c r="W41" s="280" t="n"/>
      <c r="X41" s="280" t="n"/>
      <c r="Y41" s="280" t="n"/>
      <c r="Z41" s="280" t="n"/>
      <c r="AA41" s="280" t="n"/>
      <c r="AB41" s="280" t="n"/>
      <c r="AC41" s="280" t="n"/>
      <c r="AD41" s="280" t="n"/>
      <c r="AE41" s="280" t="n"/>
      <c r="AF41" s="280" t="n"/>
      <c r="AG41" s="280" t="n"/>
      <c r="AH41" s="280" t="n"/>
      <c r="AI41" s="280" t="n"/>
      <c r="AJ41" s="280" t="n"/>
      <c r="AK41" s="280" t="n"/>
      <c r="AL41" s="280" t="n"/>
      <c r="AM41" s="280" t="n"/>
      <c r="AN41" s="280" t="n"/>
      <c r="AO41" s="280" t="n"/>
      <c r="AP41" s="280" t="n"/>
      <c r="AQ41" s="280" t="n"/>
      <c r="AR41" s="280" t="n"/>
      <c r="AS41" s="280" t="n"/>
      <c r="AT41" s="281" t="n"/>
      <c r="AU41" s="287" t="inlineStr">
        <is>
          <t>Veneer
CBC 1410.2
Veneer bond strength test</t>
        </is>
      </c>
      <c r="AV41" s="663" t="n"/>
      <c r="AW41" s="663" t="n"/>
      <c r="AX41" s="264" t="n"/>
      <c r="AY41" s="288" t="n"/>
      <c r="AZ41" s="4" t="n"/>
      <c r="BD41" s="129" t="n"/>
      <c r="BG41" s="387" t="n"/>
    </row>
    <row r="42" hidden="1" ht="37" customHeight="1" thickBot="1">
      <c r="B42" s="3" t="n"/>
      <c r="C42" s="2" t="n"/>
      <c r="D42" s="136" t="inlineStr">
        <is>
          <t>B-MA8</t>
        </is>
      </c>
      <c r="E42" s="279" t="n"/>
      <c r="F42" s="280" t="n"/>
      <c r="G42" s="280" t="n"/>
      <c r="H42" s="280" t="n"/>
      <c r="I42" s="280" t="n"/>
      <c r="J42" s="280" t="n"/>
      <c r="K42" s="280" t="n"/>
      <c r="L42" s="280" t="n"/>
      <c r="M42" s="280" t="n"/>
      <c r="N42" s="280" t="n"/>
      <c r="O42" s="280" t="n"/>
      <c r="P42" s="280" t="n"/>
      <c r="Q42" s="280" t="n"/>
      <c r="R42" s="280" t="n"/>
      <c r="S42" s="280" t="n"/>
      <c r="T42" s="280" t="n"/>
      <c r="U42" s="280" t="n"/>
      <c r="V42" s="280" t="n"/>
      <c r="W42" s="280" t="n"/>
      <c r="X42" s="280" t="n"/>
      <c r="Y42" s="280" t="n"/>
      <c r="Z42" s="280" t="n"/>
      <c r="AA42" s="280" t="n"/>
      <c r="AB42" s="280" t="n"/>
      <c r="AC42" s="280" t="n"/>
      <c r="AD42" s="280" t="n"/>
      <c r="AE42" s="280" t="n"/>
      <c r="AF42" s="280" t="n"/>
      <c r="AG42" s="280" t="n"/>
      <c r="AH42" s="280" t="n"/>
      <c r="AI42" s="280" t="n"/>
      <c r="AJ42" s="280" t="n"/>
      <c r="AK42" s="280" t="n"/>
      <c r="AL42" s="280" t="n"/>
      <c r="AM42" s="280" t="n"/>
      <c r="AN42" s="280" t="n"/>
      <c r="AO42" s="280" t="n"/>
      <c r="AP42" s="280" t="n"/>
      <c r="AQ42" s="280" t="n"/>
      <c r="AR42" s="280" t="n"/>
      <c r="AS42" s="280" t="n"/>
      <c r="AT42" s="281" t="n"/>
      <c r="AU42" s="287" t="inlineStr">
        <is>
          <t>Architectural Cast Stone
CBC 2103A.1
Strength of stone anchorage ASTM C1354</t>
        </is>
      </c>
      <c r="AV42" s="663" t="n"/>
      <c r="AW42" s="663" t="n"/>
      <c r="AX42" s="264" t="n"/>
      <c r="AY42" s="288" t="n"/>
      <c r="AZ42" s="6" t="n"/>
      <c r="BD42" s="129" t="n"/>
      <c r="BG42" s="387" t="n"/>
    </row>
    <row r="43" hidden="1" ht="32" customHeight="1" thickBot="1">
      <c r="B43" s="3" t="n"/>
      <c r="C43" s="2" t="n"/>
      <c r="D43" s="136" t="inlineStr">
        <is>
          <t>B-MA9</t>
        </is>
      </c>
      <c r="E43" s="279" t="n"/>
      <c r="F43" s="280" t="n"/>
      <c r="G43" s="280" t="n"/>
      <c r="H43" s="280" t="n"/>
      <c r="I43" s="280" t="n"/>
      <c r="J43" s="280" t="n"/>
      <c r="K43" s="280" t="n"/>
      <c r="L43" s="280" t="n"/>
      <c r="M43" s="280" t="n"/>
      <c r="N43" s="280" t="n"/>
      <c r="O43" s="280" t="n"/>
      <c r="P43" s="280" t="n"/>
      <c r="Q43" s="280" t="n"/>
      <c r="R43" s="280" t="n"/>
      <c r="S43" s="280" t="n"/>
      <c r="T43" s="280" t="n"/>
      <c r="U43" s="280" t="n"/>
      <c r="V43" s="280" t="n"/>
      <c r="W43" s="280" t="n"/>
      <c r="X43" s="280" t="n"/>
      <c r="Y43" s="280" t="n"/>
      <c r="Z43" s="280" t="n"/>
      <c r="AA43" s="280" t="n"/>
      <c r="AB43" s="280" t="n"/>
      <c r="AC43" s="280" t="n"/>
      <c r="AD43" s="280" t="n"/>
      <c r="AE43" s="280" t="n"/>
      <c r="AF43" s="280" t="n"/>
      <c r="AG43" s="280" t="n"/>
      <c r="AH43" s="280" t="n"/>
      <c r="AI43" s="280" t="n"/>
      <c r="AJ43" s="280" t="n"/>
      <c r="AK43" s="280" t="n"/>
      <c r="AL43" s="280" t="n"/>
      <c r="AM43" s="280" t="n"/>
      <c r="AN43" s="280" t="n"/>
      <c r="AO43" s="280" t="n"/>
      <c r="AP43" s="280" t="n"/>
      <c r="AQ43" s="280" t="n"/>
      <c r="AR43" s="280" t="n"/>
      <c r="AS43" s="280" t="n"/>
      <c r="AT43" s="281" t="n"/>
      <c r="AU43" s="287" t="n"/>
      <c r="AV43" s="663" t="n"/>
      <c r="AW43" s="663" t="n"/>
      <c r="AX43" s="264" t="n"/>
      <c r="AY43" s="288" t="n"/>
      <c r="AZ43" s="4" t="n"/>
      <c r="BD43" s="126" t="n"/>
      <c r="BG43" s="387" t="n"/>
    </row>
    <row r="44" hidden="1" ht="36" customHeight="1" thickBot="1">
      <c r="B44" s="3" t="n"/>
      <c r="C44" s="2" t="n"/>
      <c r="D44" s="136" t="inlineStr">
        <is>
          <t>B-MA10</t>
        </is>
      </c>
      <c r="E44" s="282" t="n"/>
      <c r="F44" s="283" t="n"/>
      <c r="G44" s="283" t="n"/>
      <c r="H44" s="283" t="n"/>
      <c r="I44" s="283" t="n"/>
      <c r="J44" s="283" t="n"/>
      <c r="K44" s="283" t="n"/>
      <c r="L44" s="283" t="n"/>
      <c r="M44" s="283" t="n"/>
      <c r="N44" s="283" t="n"/>
      <c r="O44" s="283" t="n"/>
      <c r="P44" s="283" t="n"/>
      <c r="Q44" s="283" t="n"/>
      <c r="R44" s="283" t="n"/>
      <c r="S44" s="283" t="n"/>
      <c r="T44" s="283" t="n"/>
      <c r="U44" s="283" t="n"/>
      <c r="V44" s="283" t="n"/>
      <c r="W44" s="283" t="n"/>
      <c r="X44" s="283" t="n"/>
      <c r="Y44" s="283" t="n"/>
      <c r="Z44" s="283" t="n"/>
      <c r="AA44" s="283" t="n"/>
      <c r="AB44" s="283" t="n"/>
      <c r="AC44" s="283" t="n"/>
      <c r="AD44" s="283" t="n"/>
      <c r="AE44" s="283" t="n"/>
      <c r="AF44" s="283" t="n"/>
      <c r="AG44" s="283" t="n"/>
      <c r="AH44" s="283" t="n"/>
      <c r="AI44" s="283" t="n"/>
      <c r="AJ44" s="283" t="n"/>
      <c r="AK44" s="283" t="n"/>
      <c r="AL44" s="283" t="n"/>
      <c r="AM44" s="283" t="n"/>
      <c r="AN44" s="283" t="n"/>
      <c r="AO44" s="283" t="n"/>
      <c r="AP44" s="283" t="n"/>
      <c r="AQ44" s="283" t="n"/>
      <c r="AR44" s="283" t="n"/>
      <c r="AS44" s="283" t="n"/>
      <c r="AT44" s="284" t="n"/>
      <c r="AU44" s="310" t="n"/>
      <c r="AV44" s="670" t="n"/>
      <c r="AW44" s="670" t="n"/>
      <c r="AX44" s="295" t="n"/>
      <c r="AY44" s="294" t="n"/>
      <c r="AZ44" s="4" t="n"/>
      <c r="BD44" s="126" t="n"/>
      <c r="BG44" s="387" t="n"/>
    </row>
    <row r="45" hidden="1" ht="18" customHeight="1" thickBot="1">
      <c r="A45" s="96" t="n"/>
      <c r="B45" s="3" t="inlineStr">
        <is>
          <t>x14</t>
        </is>
      </c>
      <c r="C45" s="19" t="inlineStr">
        <is>
          <t>Steel</t>
        </is>
      </c>
      <c r="D45" s="20" t="n"/>
      <c r="E45" s="163" t="n"/>
      <c r="F45" s="163" t="n"/>
      <c r="G45" s="163" t="n"/>
      <c r="H45" s="163" t="n"/>
      <c r="I45" s="163" t="n"/>
      <c r="J45" s="163" t="n"/>
      <c r="K45" s="163" t="n"/>
      <c r="L45" s="163" t="n"/>
      <c r="M45" s="163" t="n"/>
      <c r="N45" s="163" t="n"/>
      <c r="O45" s="163" t="n"/>
      <c r="P45" s="163" t="n"/>
      <c r="Q45" s="163" t="n"/>
      <c r="R45" s="163" t="n"/>
      <c r="S45" s="163" t="n"/>
      <c r="T45" s="163" t="n"/>
      <c r="U45" s="163" t="n"/>
      <c r="V45" s="163" t="n"/>
      <c r="W45" s="163" t="n"/>
      <c r="X45" s="163" t="n"/>
      <c r="Y45" s="163" t="n"/>
      <c r="Z45" s="163" t="n"/>
      <c r="AA45" s="163" t="n"/>
      <c r="AB45" s="163" t="n"/>
      <c r="AC45" s="163" t="n"/>
      <c r="AD45" s="163" t="n"/>
      <c r="AE45" s="163" t="n"/>
      <c r="AF45" s="163" t="n"/>
      <c r="AG45" s="163" t="n"/>
      <c r="AH45" s="163" t="n"/>
      <c r="AI45" s="163" t="n"/>
      <c r="AJ45" s="163" t="n"/>
      <c r="AK45" s="163" t="n"/>
      <c r="AL45" s="163" t="n"/>
      <c r="AM45" s="163" t="n"/>
      <c r="AN45" s="163" t="n"/>
      <c r="AO45" s="163" t="n"/>
      <c r="AP45" s="163" t="n"/>
      <c r="AQ45" s="163" t="n"/>
      <c r="AR45" s="163" t="n"/>
      <c r="AS45" s="163" t="n"/>
      <c r="AT45" s="163" t="n"/>
      <c r="AU45" s="20" t="n"/>
      <c r="AV45" s="199" t="n"/>
      <c r="AW45" s="199" t="n"/>
      <c r="AX45" s="198" t="n"/>
      <c r="AY45" s="49" t="n"/>
      <c r="AZ45" s="22" t="n"/>
      <c r="BD45" s="126" t="n"/>
      <c r="BG45" s="387" t="n"/>
    </row>
    <row r="46" hidden="1" ht="37" customHeight="1" thickBot="1">
      <c r="B46" s="3" t="n"/>
      <c r="C46" s="2" t="n"/>
      <c r="D46" s="136" t="inlineStr">
        <is>
          <t>B-S1</t>
        </is>
      </c>
      <c r="E46" s="276" t="n"/>
      <c r="F46" s="277" t="n"/>
      <c r="G46" s="277" t="inlineStr">
        <is>
          <t>X</t>
        </is>
      </c>
      <c r="H46" s="277" t="n"/>
      <c r="I46" s="277" t="n"/>
      <c r="J46" s="277" t="n"/>
      <c r="K46" s="277" t="inlineStr">
        <is>
          <t>X</t>
        </is>
      </c>
      <c r="L46" s="277" t="n"/>
      <c r="M46" s="277" t="inlineStr">
        <is>
          <t>X</t>
        </is>
      </c>
      <c r="N46" s="277" t="inlineStr">
        <is>
          <t>X</t>
        </is>
      </c>
      <c r="O46" s="277" t="inlineStr">
        <is>
          <t>X</t>
        </is>
      </c>
      <c r="P46" s="277" t="inlineStr">
        <is>
          <t>X</t>
        </is>
      </c>
      <c r="Q46" s="277" t="inlineStr">
        <is>
          <t>X</t>
        </is>
      </c>
      <c r="R46" s="277" t="n">
        <v>1</v>
      </c>
      <c r="S46" s="277" t="n">
        <v>1</v>
      </c>
      <c r="T46" s="277" t="n"/>
      <c r="U46" s="277" t="n"/>
      <c r="V46" s="277" t="n">
        <v>1</v>
      </c>
      <c r="W46" s="277" t="n">
        <v>1</v>
      </c>
      <c r="X46" s="277" t="n">
        <v>1</v>
      </c>
      <c r="Y46" s="277" t="n"/>
      <c r="Z46" s="277" t="n"/>
      <c r="AA46" s="277" t="n"/>
      <c r="AB46" s="277" t="n">
        <v>1</v>
      </c>
      <c r="AC46" s="277" t="n">
        <v>1</v>
      </c>
      <c r="AD46" s="277" t="inlineStr">
        <is>
          <t>X</t>
        </is>
      </c>
      <c r="AE46" s="277" t="n">
        <v>1</v>
      </c>
      <c r="AF46" s="277" t="n">
        <v>1</v>
      </c>
      <c r="AG46" s="277" t="n">
        <v>1</v>
      </c>
      <c r="AH46" s="277" t="n"/>
      <c r="AI46" s="277" t="n"/>
      <c r="AJ46" s="277" t="n"/>
      <c r="AK46" s="277" t="n">
        <v>1</v>
      </c>
      <c r="AL46" s="277" t="n"/>
      <c r="AM46" s="277" t="n"/>
      <c r="AN46" s="277" t="n"/>
      <c r="AO46" s="277" t="n"/>
      <c r="AP46" s="277" t="n"/>
      <c r="AQ46" s="277" t="n"/>
      <c r="AR46" s="277" t="n"/>
      <c r="AS46" s="277" t="n">
        <v>1</v>
      </c>
      <c r="AT46" s="278" t="n"/>
      <c r="AU46" s="311" t="inlineStr">
        <is>
          <t>Steel
CBC 2202A.1
Identification test for structural steel and cold formed steel</t>
        </is>
      </c>
      <c r="AV46" s="664" t="n"/>
      <c r="AW46" s="664" t="inlineStr">
        <is>
          <t>OPAA-0015</t>
        </is>
      </c>
      <c r="AX46" s="263" t="inlineStr">
        <is>
          <t>RMA</t>
        </is>
      </c>
      <c r="AY46" s="286" t="n"/>
      <c r="AZ46" s="441" t="n"/>
      <c r="BD46" s="129" t="n"/>
      <c r="BG46" s="387" t="n"/>
    </row>
    <row r="47" ht="37" customHeight="1" thickBot="1">
      <c r="B47" s="3" t="n"/>
      <c r="C47" s="2" t="n"/>
      <c r="D47" s="136" t="inlineStr">
        <is>
          <t>B-S2</t>
        </is>
      </c>
      <c r="E47" s="279" t="n"/>
      <c r="F47" s="280" t="n"/>
      <c r="G47" s="280" t="inlineStr">
        <is>
          <t>X</t>
        </is>
      </c>
      <c r="H47" s="280" t="n"/>
      <c r="I47" s="280" t="n"/>
      <c r="J47" s="280" t="n"/>
      <c r="K47" s="280" t="inlineStr">
        <is>
          <t>X</t>
        </is>
      </c>
      <c r="L47" s="280" t="n"/>
      <c r="M47" s="280" t="n"/>
      <c r="N47" s="280" t="n"/>
      <c r="O47" s="280" t="n"/>
      <c r="P47" s="280" t="n"/>
      <c r="Q47" s="280" t="n"/>
      <c r="R47" s="280" t="n">
        <v>1</v>
      </c>
      <c r="S47" s="280" t="n"/>
      <c r="T47" s="280" t="n"/>
      <c r="U47" s="280" t="n"/>
      <c r="V47" s="280" t="n"/>
      <c r="W47" s="280" t="n"/>
      <c r="X47" s="280" t="n"/>
      <c r="Y47" s="280" t="n"/>
      <c r="Z47" s="280" t="n"/>
      <c r="AA47" s="280" t="n"/>
      <c r="AB47" s="280" t="n"/>
      <c r="AC47" s="280" t="n"/>
      <c r="AD47" s="280" t="inlineStr">
        <is>
          <t>X</t>
        </is>
      </c>
      <c r="AE47" s="280" t="n"/>
      <c r="AF47" s="280" t="n"/>
      <c r="AG47" s="280" t="n"/>
      <c r="AH47" s="280" t="n"/>
      <c r="AI47" s="280" t="n"/>
      <c r="AJ47" s="280" t="n"/>
      <c r="AK47" s="280" t="n"/>
      <c r="AL47" s="280" t="n"/>
      <c r="AM47" s="280" t="n"/>
      <c r="AN47" s="280" t="n"/>
      <c r="AO47" s="280" t="n"/>
      <c r="AP47" s="280" t="n"/>
      <c r="AQ47" s="280" t="n"/>
      <c r="AR47" s="280" t="n"/>
      <c r="AS47" s="280" t="n"/>
      <c r="AT47" s="281" t="n"/>
      <c r="AU47" s="287" t="inlineStr">
        <is>
          <t>Steel
CBC 2213A.1 &amp; 1705A.13.1
High strength bolts, nuts, and washers</t>
        </is>
      </c>
      <c r="AV47" s="663" t="n"/>
      <c r="AW47" s="663" t="inlineStr">
        <is>
          <t>OPAA-0015</t>
        </is>
      </c>
      <c r="AX47" s="261" t="inlineStr">
        <is>
          <t>RMA</t>
        </is>
      </c>
      <c r="AY47" s="288" t="n"/>
      <c r="AZ47" s="402" t="n"/>
      <c r="BD47" s="129" t="n"/>
      <c r="BG47" s="387" t="n"/>
    </row>
    <row r="48" ht="37" customHeight="1" thickBot="1">
      <c r="B48" s="3" t="n"/>
      <c r="C48" s="2" t="n"/>
      <c r="D48" s="136" t="inlineStr">
        <is>
          <t>B-S3</t>
        </is>
      </c>
      <c r="E48" s="279" t="n"/>
      <c r="F48" s="280" t="n"/>
      <c r="G48" s="280" t="n"/>
      <c r="H48" s="280" t="n"/>
      <c r="I48" s="280" t="n"/>
      <c r="J48" s="280" t="n"/>
      <c r="K48" s="280" t="n"/>
      <c r="L48" s="280" t="n"/>
      <c r="M48" s="280" t="inlineStr">
        <is>
          <t>X</t>
        </is>
      </c>
      <c r="N48" s="280" t="inlineStr">
        <is>
          <t>X</t>
        </is>
      </c>
      <c r="O48" s="280" t="inlineStr">
        <is>
          <t>X</t>
        </is>
      </c>
      <c r="P48" s="280" t="inlineStr">
        <is>
          <t>X</t>
        </is>
      </c>
      <c r="Q48" s="280" t="inlineStr">
        <is>
          <t>X</t>
        </is>
      </c>
      <c r="R48" s="280" t="n">
        <v>1</v>
      </c>
      <c r="S48" s="280" t="n"/>
      <c r="T48" s="280" t="n"/>
      <c r="U48" s="280" t="n"/>
      <c r="V48" s="280" t="n">
        <v>1</v>
      </c>
      <c r="W48" s="280" t="n">
        <v>1</v>
      </c>
      <c r="X48" s="280" t="n">
        <v>1</v>
      </c>
      <c r="Y48" s="280" t="n"/>
      <c r="Z48" s="280" t="n"/>
      <c r="AA48" s="280" t="n"/>
      <c r="AB48" s="280" t="n">
        <v>1</v>
      </c>
      <c r="AC48" s="280" t="n">
        <v>1</v>
      </c>
      <c r="AD48" s="280" t="inlineStr">
        <is>
          <t>X</t>
        </is>
      </c>
      <c r="AE48" s="280" t="n">
        <v>1</v>
      </c>
      <c r="AF48" s="280" t="n">
        <v>1</v>
      </c>
      <c r="AG48" s="280" t="n">
        <v>1</v>
      </c>
      <c r="AH48" s="280" t="n"/>
      <c r="AI48" s="280" t="n"/>
      <c r="AJ48" s="280" t="n"/>
      <c r="AK48" s="280" t="n">
        <v>1</v>
      </c>
      <c r="AL48" s="280" t="n"/>
      <c r="AM48" s="280" t="n"/>
      <c r="AN48" s="280" t="n"/>
      <c r="AO48" s="280" t="n"/>
      <c r="AP48" s="280" t="n"/>
      <c r="AQ48" s="280" t="n"/>
      <c r="AR48" s="280" t="n"/>
      <c r="AS48" s="280" t="n"/>
      <c r="AT48" s="281" t="n"/>
      <c r="AU48" s="312" t="inlineStr">
        <is>
          <t>Steel
CBC 2213A.2 &amp; 1705A.13.1
End-welded studs</t>
        </is>
      </c>
      <c r="AV48" s="663" t="n"/>
      <c r="AW48" s="663" t="inlineStr">
        <is>
          <t xml:space="preserve">OPAA-0015 </t>
        </is>
      </c>
      <c r="AX48" s="264" t="inlineStr">
        <is>
          <t>RMA</t>
        </is>
      </c>
      <c r="AY48" s="288" t="n"/>
      <c r="AZ48" s="402" t="n"/>
      <c r="BD48" s="129" t="n"/>
      <c r="BG48" s="387" t="n"/>
    </row>
    <row r="49" ht="45" customHeight="1" thickBot="1">
      <c r="B49" s="3" t="n"/>
      <c r="C49" s="2" t="n"/>
      <c r="D49" s="136" t="inlineStr">
        <is>
          <t>B-S4</t>
        </is>
      </c>
      <c r="E49" s="279" t="n"/>
      <c r="F49" s="280" t="n"/>
      <c r="G49" s="280" t="n"/>
      <c r="H49" s="280" t="n"/>
      <c r="I49" s="280" t="n"/>
      <c r="J49" s="280" t="n"/>
      <c r="K49" s="280" t="n"/>
      <c r="L49" s="280" t="n"/>
      <c r="M49" s="280" t="n"/>
      <c r="N49" s="280" t="n"/>
      <c r="O49" s="280" t="n"/>
      <c r="P49" s="280" t="n"/>
      <c r="Q49" s="280" t="n"/>
      <c r="R49" s="280" t="n"/>
      <c r="S49" s="280" t="n"/>
      <c r="T49" s="280" t="n"/>
      <c r="U49" s="280" t="n"/>
      <c r="V49" s="280" t="n"/>
      <c r="W49" s="280" t="n"/>
      <c r="X49" s="280" t="n"/>
      <c r="Y49" s="280" t="n"/>
      <c r="Z49" s="280" t="n"/>
      <c r="AA49" s="280" t="n"/>
      <c r="AB49" s="280" t="n"/>
      <c r="AC49" s="280" t="n"/>
      <c r="AD49" s="280" t="inlineStr">
        <is>
          <t>X</t>
        </is>
      </c>
      <c r="AE49" s="280" t="n"/>
      <c r="AF49" s="280" t="n"/>
      <c r="AG49" s="280" t="n"/>
      <c r="AH49" s="280" t="n"/>
      <c r="AI49" s="280" t="n"/>
      <c r="AJ49" s="280" t="n"/>
      <c r="AK49" s="280" t="n"/>
      <c r="AL49" s="280" t="n"/>
      <c r="AM49" s="280" t="n"/>
      <c r="AN49" s="280" t="n"/>
      <c r="AO49" s="280" t="n"/>
      <c r="AP49" s="280" t="n"/>
      <c r="AQ49" s="280" t="n"/>
      <c r="AR49" s="280" t="n"/>
      <c r="AS49" s="280" t="n">
        <v>1</v>
      </c>
      <c r="AT49" s="281" t="n"/>
      <c r="AU49" s="287" t="inlineStr">
        <is>
          <t>Steel
CBC 1705A.2.1 &amp; 1705A.13.1.2
Nondestructive testing of welds</t>
        </is>
      </c>
      <c r="AV49" s="663" t="n"/>
      <c r="AW49" s="663" t="inlineStr">
        <is>
          <t>OPAA-0016,
OPAA-0020</t>
        </is>
      </c>
      <c r="AX49" s="264" t="inlineStr">
        <is>
          <t>Fenagh,
CTS</t>
        </is>
      </c>
      <c r="AY49" s="288" t="n"/>
      <c r="AZ49" s="402" t="n"/>
      <c r="BD49" s="129" t="n"/>
      <c r="BG49" s="387" t="n"/>
    </row>
    <row r="50" ht="37" customHeight="1" thickBot="1">
      <c r="B50" s="3" t="n"/>
      <c r="C50" s="2" t="n"/>
      <c r="D50" s="136" t="inlineStr">
        <is>
          <t>B-S5</t>
        </is>
      </c>
      <c r="E50" s="279" t="n"/>
      <c r="F50" s="280" t="n"/>
      <c r="G50" s="280" t="n"/>
      <c r="H50" s="280" t="n"/>
      <c r="I50" s="280" t="n"/>
      <c r="J50" s="280" t="n"/>
      <c r="K50" s="280" t="n"/>
      <c r="L50" s="280" t="n"/>
      <c r="M50" s="280" t="n"/>
      <c r="N50" s="280" t="n"/>
      <c r="O50" s="280" t="n"/>
      <c r="P50" s="280" t="n"/>
      <c r="Q50" s="280" t="n"/>
      <c r="R50" s="280" t="n"/>
      <c r="S50" s="280" t="n"/>
      <c r="T50" s="280" t="n"/>
      <c r="U50" s="280" t="n"/>
      <c r="V50" s="280" t="n"/>
      <c r="W50" s="280" t="n"/>
      <c r="X50" s="280" t="n"/>
      <c r="Y50" s="280" t="n"/>
      <c r="Z50" s="280" t="n"/>
      <c r="AA50" s="280" t="n"/>
      <c r="AB50" s="280" t="n"/>
      <c r="AC50" s="280" t="n"/>
      <c r="AD50" s="280" t="n"/>
      <c r="AE50" s="280" t="n"/>
      <c r="AF50" s="280" t="n"/>
      <c r="AG50" s="280" t="n"/>
      <c r="AH50" s="280" t="n"/>
      <c r="AI50" s="280" t="n"/>
      <c r="AJ50" s="280" t="n"/>
      <c r="AK50" s="280" t="n"/>
      <c r="AL50" s="280" t="n"/>
      <c r="AM50" s="280" t="n"/>
      <c r="AN50" s="280" t="n"/>
      <c r="AO50" s="280" t="n"/>
      <c r="AP50" s="280" t="n"/>
      <c r="AQ50" s="280" t="n"/>
      <c r="AR50" s="280" t="n"/>
      <c r="AS50" s="280" t="n"/>
      <c r="AT50" s="281" t="n"/>
      <c r="AU50" s="289" t="inlineStr">
        <is>
          <t>Steel
1705A.13.1.2 &amp; AISC-341 K3
Buckling restrained brace load test</t>
        </is>
      </c>
      <c r="AV50" s="663" t="n"/>
      <c r="AW50" s="663" t="n"/>
      <c r="AX50" s="264" t="n"/>
      <c r="AY50" s="288" t="n"/>
      <c r="AZ50" s="6" t="n"/>
      <c r="BD50" s="129" t="n"/>
      <c r="BG50" s="387" t="n"/>
    </row>
    <row r="51" ht="37" customHeight="1" thickBot="1">
      <c r="B51" s="3" t="n"/>
      <c r="C51" s="2" t="n"/>
      <c r="D51" s="136" t="inlineStr">
        <is>
          <t>B-S6</t>
        </is>
      </c>
      <c r="E51" s="279" t="n"/>
      <c r="F51" s="280" t="n"/>
      <c r="G51" s="280" t="n"/>
      <c r="H51" s="280" t="n"/>
      <c r="I51" s="280" t="n"/>
      <c r="J51" s="280" t="n"/>
      <c r="K51" s="280" t="n"/>
      <c r="L51" s="280" t="n"/>
      <c r="M51" s="280" t="n"/>
      <c r="N51" s="280" t="n"/>
      <c r="O51" s="280" t="n"/>
      <c r="P51" s="280" t="n"/>
      <c r="Q51" s="280" t="n"/>
      <c r="R51" s="280" t="n"/>
      <c r="S51" s="280" t="n"/>
      <c r="T51" s="280" t="n"/>
      <c r="U51" s="280" t="n"/>
      <c r="V51" s="280" t="n"/>
      <c r="W51" s="280" t="n"/>
      <c r="X51" s="280" t="n"/>
      <c r="Y51" s="280" t="n"/>
      <c r="Z51" s="280" t="n"/>
      <c r="AA51" s="280" t="n"/>
      <c r="AB51" s="280" t="n"/>
      <c r="AC51" s="280" t="n"/>
      <c r="AD51" s="280" t="n"/>
      <c r="AE51" s="280" t="n"/>
      <c r="AF51" s="280" t="n"/>
      <c r="AG51" s="280" t="n"/>
      <c r="AH51" s="280" t="n"/>
      <c r="AI51" s="280" t="n"/>
      <c r="AJ51" s="280" t="n"/>
      <c r="AK51" s="280" t="n"/>
      <c r="AL51" s="280" t="n"/>
      <c r="AM51" s="280" t="n"/>
      <c r="AN51" s="280" t="n"/>
      <c r="AO51" s="280" t="n"/>
      <c r="AP51" s="280" t="n"/>
      <c r="AQ51" s="280" t="n"/>
      <c r="AR51" s="280" t="n"/>
      <c r="AS51" s="280" t="n"/>
      <c r="AT51" s="281" t="n"/>
      <c r="AU51" s="289" t="inlineStr">
        <is>
          <t>Steel
2205A.4, 1705A.13.1  &amp; AISC-341 K2
Beam to Column Moment Connections</t>
        </is>
      </c>
      <c r="AV51" s="663" t="n"/>
      <c r="AW51" s="663" t="n"/>
      <c r="AX51" s="264" t="n"/>
      <c r="AY51" s="288" t="n"/>
      <c r="AZ51" s="6" t="n"/>
      <c r="BD51" s="129" t="n"/>
      <c r="BG51" s="387" t="n"/>
    </row>
    <row r="52" ht="24" customHeight="1" thickBot="1">
      <c r="B52" s="3" t="n"/>
      <c r="C52" s="2" t="n"/>
      <c r="D52" s="136" t="inlineStr">
        <is>
          <t>B-S7</t>
        </is>
      </c>
      <c r="E52" s="279" t="n"/>
      <c r="F52" s="280" t="n"/>
      <c r="G52" s="280" t="n"/>
      <c r="H52" s="280" t="n"/>
      <c r="I52" s="280" t="n"/>
      <c r="J52" s="280" t="n"/>
      <c r="K52" s="280" t="n"/>
      <c r="L52" s="280" t="n"/>
      <c r="M52" s="280" t="n"/>
      <c r="N52" s="280" t="n"/>
      <c r="O52" s="280" t="n"/>
      <c r="P52" s="280" t="n"/>
      <c r="Q52" s="280" t="n"/>
      <c r="R52" s="280" t="n"/>
      <c r="S52" s="280" t="n"/>
      <c r="T52" s="280" t="n"/>
      <c r="U52" s="280" t="n"/>
      <c r="V52" s="280" t="n"/>
      <c r="W52" s="280" t="n"/>
      <c r="X52" s="280" t="n"/>
      <c r="Y52" s="280" t="n"/>
      <c r="Z52" s="280" t="n"/>
      <c r="AA52" s="280" t="n"/>
      <c r="AB52" s="280" t="n"/>
      <c r="AC52" s="280" t="n"/>
      <c r="AD52" s="280" t="n"/>
      <c r="AE52" s="280" t="n"/>
      <c r="AF52" s="280" t="n"/>
      <c r="AG52" s="280" t="n"/>
      <c r="AH52" s="280" t="n"/>
      <c r="AI52" s="280" t="n"/>
      <c r="AJ52" s="280" t="n"/>
      <c r="AK52" s="280" t="n"/>
      <c r="AL52" s="280" t="n"/>
      <c r="AM52" s="280" t="n"/>
      <c r="AN52" s="280" t="n"/>
      <c r="AO52" s="280" t="n"/>
      <c r="AP52" s="280" t="n"/>
      <c r="AQ52" s="280" t="n"/>
      <c r="AR52" s="280" t="n"/>
      <c r="AS52" s="280" t="n"/>
      <c r="AT52" s="281" t="n"/>
      <c r="AU52" s="289" t="n"/>
      <c r="AV52" s="663" t="n"/>
      <c r="AW52" s="663" t="n"/>
      <c r="AX52" s="264" t="n"/>
      <c r="AY52" s="288" t="n"/>
      <c r="AZ52" s="6" t="n"/>
      <c r="BD52" s="126" t="n"/>
      <c r="BG52" s="387" t="n"/>
    </row>
    <row r="53" ht="24" customHeight="1" thickBot="1">
      <c r="B53" s="3" t="n"/>
      <c r="C53" s="2" t="n"/>
      <c r="D53" s="136" t="inlineStr">
        <is>
          <t>B-S8</t>
        </is>
      </c>
      <c r="E53" s="282" t="n"/>
      <c r="F53" s="283" t="n"/>
      <c r="G53" s="283" t="n"/>
      <c r="H53" s="283" t="n"/>
      <c r="I53" s="283" t="n"/>
      <c r="J53" s="283" t="n"/>
      <c r="K53" s="283" t="n"/>
      <c r="L53" s="283" t="n"/>
      <c r="M53" s="283" t="n"/>
      <c r="N53" s="283" t="n"/>
      <c r="O53" s="283" t="n"/>
      <c r="P53" s="283" t="n"/>
      <c r="Q53" s="283" t="n"/>
      <c r="R53" s="283" t="n"/>
      <c r="S53" s="283" t="n"/>
      <c r="T53" s="283" t="n"/>
      <c r="U53" s="283" t="n"/>
      <c r="V53" s="283" t="n"/>
      <c r="W53" s="283" t="n"/>
      <c r="X53" s="283" t="n"/>
      <c r="Y53" s="283" t="n"/>
      <c r="Z53" s="283" t="n"/>
      <c r="AA53" s="283" t="n"/>
      <c r="AB53" s="283" t="n"/>
      <c r="AC53" s="283" t="n"/>
      <c r="AD53" s="283" t="n"/>
      <c r="AE53" s="283" t="n"/>
      <c r="AF53" s="283" t="n"/>
      <c r="AG53" s="283" t="n"/>
      <c r="AH53" s="283" t="n"/>
      <c r="AI53" s="283" t="n"/>
      <c r="AJ53" s="283" t="n"/>
      <c r="AK53" s="283" t="n"/>
      <c r="AL53" s="283" t="n"/>
      <c r="AM53" s="283" t="n"/>
      <c r="AN53" s="283" t="n"/>
      <c r="AO53" s="283" t="n"/>
      <c r="AP53" s="283" t="n"/>
      <c r="AQ53" s="283" t="n"/>
      <c r="AR53" s="283" t="n"/>
      <c r="AS53" s="283" t="n"/>
      <c r="AT53" s="284" t="n"/>
      <c r="AU53" s="313" t="n"/>
      <c r="AV53" s="670" t="n"/>
      <c r="AW53" s="670" t="n"/>
      <c r="AX53" s="295" t="n"/>
      <c r="AY53" s="294" t="n"/>
      <c r="AZ53" s="6" t="n"/>
      <c r="BD53" s="126" t="n"/>
      <c r="BG53" s="387" t="n"/>
    </row>
    <row r="54" ht="18" customHeight="1" thickBot="1">
      <c r="A54" s="96" t="n"/>
      <c r="B54" s="3" t="inlineStr">
        <is>
          <t>x15</t>
        </is>
      </c>
      <c r="C54" s="19" t="inlineStr">
        <is>
          <t>Other Structural Materials</t>
        </is>
      </c>
      <c r="D54" s="20" t="n"/>
      <c r="E54" s="163" t="n"/>
      <c r="F54" s="163" t="n"/>
      <c r="G54" s="163" t="n"/>
      <c r="H54" s="163" t="n"/>
      <c r="I54" s="163" t="n"/>
      <c r="J54" s="163" t="n"/>
      <c r="K54" s="163" t="n"/>
      <c r="L54" s="163" t="n"/>
      <c r="M54" s="163" t="n"/>
      <c r="N54" s="163" t="n"/>
      <c r="O54" s="163" t="n"/>
      <c r="P54" s="163" t="n"/>
      <c r="Q54" s="163" t="n"/>
      <c r="R54" s="163" t="n"/>
      <c r="S54" s="163" t="n"/>
      <c r="T54" s="163" t="n"/>
      <c r="U54" s="163" t="n"/>
      <c r="V54" s="163" t="n"/>
      <c r="W54" s="163" t="n"/>
      <c r="X54" s="163" t="n"/>
      <c r="Y54" s="163" t="n"/>
      <c r="Z54" s="163" t="n"/>
      <c r="AA54" s="163" t="n"/>
      <c r="AB54" s="163" t="n"/>
      <c r="AC54" s="163" t="n"/>
      <c r="AD54" s="163" t="n"/>
      <c r="AE54" s="163" t="n"/>
      <c r="AF54" s="163" t="n"/>
      <c r="AG54" s="163" t="n"/>
      <c r="AH54" s="163" t="n"/>
      <c r="AI54" s="163" t="n"/>
      <c r="AJ54" s="163" t="n"/>
      <c r="AK54" s="163" t="n"/>
      <c r="AL54" s="163" t="n"/>
      <c r="AM54" s="163" t="n"/>
      <c r="AN54" s="163" t="n"/>
      <c r="AO54" s="163" t="n"/>
      <c r="AP54" s="163" t="n"/>
      <c r="AQ54" s="163" t="n"/>
      <c r="AR54" s="163" t="n"/>
      <c r="AS54" s="163" t="n"/>
      <c r="AT54" s="163" t="n"/>
      <c r="AU54" s="20" t="n"/>
      <c r="AV54" s="199" t="n"/>
      <c r="AW54" s="199" t="n"/>
      <c r="AX54" s="198" t="n"/>
      <c r="AY54" s="49" t="n"/>
      <c r="AZ54" s="22" t="n"/>
      <c r="BD54" s="126" t="n"/>
      <c r="BG54" s="387" t="n"/>
    </row>
    <row r="55" ht="37" customHeight="1" thickBot="1">
      <c r="B55" s="3" t="n"/>
      <c r="C55" s="92" t="n"/>
      <c r="D55" s="136" t="inlineStr">
        <is>
          <t>B-OM1</t>
        </is>
      </c>
      <c r="E55" s="276" t="n"/>
      <c r="F55" s="277" t="n"/>
      <c r="G55" s="277" t="n"/>
      <c r="H55" s="277" t="n"/>
      <c r="I55" s="277" t="n"/>
      <c r="J55" s="277" t="n"/>
      <c r="K55" s="277" t="n"/>
      <c r="L55" s="277" t="n"/>
      <c r="M55" s="277" t="n"/>
      <c r="N55" s="277" t="n"/>
      <c r="O55" s="277" t="n"/>
      <c r="P55" s="277" t="n"/>
      <c r="Q55" s="277" t="n"/>
      <c r="R55" s="277" t="n"/>
      <c r="S55" s="277" t="n"/>
      <c r="T55" s="277" t="n"/>
      <c r="U55" s="277" t="n"/>
      <c r="V55" s="277" t="n"/>
      <c r="W55" s="277" t="n"/>
      <c r="X55" s="277" t="n"/>
      <c r="Y55" s="277" t="n"/>
      <c r="Z55" s="277" t="n"/>
      <c r="AA55" s="277" t="n"/>
      <c r="AB55" s="277" t="n"/>
      <c r="AC55" s="277" t="n"/>
      <c r="AD55" s="277" t="n"/>
      <c r="AE55" s="277" t="n"/>
      <c r="AF55" s="277" t="n"/>
      <c r="AG55" s="277" t="n"/>
      <c r="AH55" s="277" t="n"/>
      <c r="AI55" s="277" t="n"/>
      <c r="AJ55" s="277" t="n"/>
      <c r="AK55" s="277" t="n"/>
      <c r="AL55" s="277" t="n"/>
      <c r="AM55" s="277" t="n"/>
      <c r="AN55" s="277" t="n"/>
      <c r="AO55" s="277" t="n"/>
      <c r="AP55" s="277" t="n"/>
      <c r="AQ55" s="277" t="n"/>
      <c r="AR55" s="277" t="n"/>
      <c r="AS55" s="277" t="n"/>
      <c r="AT55" s="278" t="n"/>
      <c r="AU55" s="311" t="inlineStr">
        <is>
          <t>Aluminum
CBC 2003.1
Testing and Inspection</t>
        </is>
      </c>
      <c r="AV55" s="664" t="n"/>
      <c r="AW55" s="664" t="n"/>
      <c r="AX55" s="263" t="n"/>
      <c r="AY55" s="286" t="n"/>
      <c r="AZ55" s="67" t="n"/>
      <c r="BD55" s="129" t="n"/>
      <c r="BG55" s="387" t="n"/>
    </row>
    <row r="56" ht="37" customHeight="1" thickBot="1">
      <c r="B56" s="3" t="n"/>
      <c r="C56" s="92" t="n"/>
      <c r="D56" s="136" t="inlineStr">
        <is>
          <t>B-OM2</t>
        </is>
      </c>
      <c r="E56" s="279" t="n"/>
      <c r="F56" s="280" t="n"/>
      <c r="G56" s="280" t="n"/>
      <c r="H56" s="280" t="n"/>
      <c r="I56" s="280" t="n"/>
      <c r="J56" s="280" t="n"/>
      <c r="K56" s="280" t="n"/>
      <c r="L56" s="280" t="n"/>
      <c r="M56" s="280" t="n"/>
      <c r="N56" s="280" t="n"/>
      <c r="O56" s="280" t="n"/>
      <c r="P56" s="280" t="n"/>
      <c r="Q56" s="280" t="n"/>
      <c r="R56" s="280" t="n"/>
      <c r="S56" s="280" t="n"/>
      <c r="T56" s="280" t="n"/>
      <c r="U56" s="280" t="n"/>
      <c r="V56" s="280" t="n"/>
      <c r="W56" s="280" t="n"/>
      <c r="X56" s="280" t="n"/>
      <c r="Y56" s="280" t="n"/>
      <c r="Z56" s="280" t="n"/>
      <c r="AA56" s="280" t="n"/>
      <c r="AB56" s="280" t="n"/>
      <c r="AC56" s="280" t="n"/>
      <c r="AD56" s="280" t="n"/>
      <c r="AE56" s="280" t="n"/>
      <c r="AF56" s="280" t="n"/>
      <c r="AG56" s="280" t="n"/>
      <c r="AH56" s="280" t="n"/>
      <c r="AI56" s="280" t="n"/>
      <c r="AJ56" s="280" t="n"/>
      <c r="AK56" s="280" t="n"/>
      <c r="AL56" s="280" t="n"/>
      <c r="AM56" s="280" t="n"/>
      <c r="AN56" s="280" t="n"/>
      <c r="AO56" s="280" t="n"/>
      <c r="AP56" s="280" t="n"/>
      <c r="AQ56" s="280" t="n"/>
      <c r="AR56" s="280" t="n"/>
      <c r="AS56" s="280" t="n"/>
      <c r="AT56" s="281" t="n"/>
      <c r="AU56" s="287" t="inlineStr">
        <is>
          <t>Structural Sealant Glazing
CBC 2410.1.2
AAMA 501.4 &amp; 501.6 tests - Exterior glass curtain walls</t>
        </is>
      </c>
      <c r="AV56" s="663" t="n"/>
      <c r="AW56" s="663" t="n"/>
      <c r="AX56" s="264" t="n"/>
      <c r="AY56" s="288" t="n"/>
      <c r="AZ56" s="4" t="n"/>
      <c r="BD56" s="129" t="n"/>
      <c r="BG56" s="387" t="n"/>
    </row>
    <row r="57" ht="32" customHeight="1" thickBot="1">
      <c r="B57" s="3" t="n"/>
      <c r="C57" s="92" t="n"/>
      <c r="D57" s="136" t="inlineStr">
        <is>
          <t>B-OM3</t>
        </is>
      </c>
      <c r="E57" s="279" t="n"/>
      <c r="F57" s="280" t="n"/>
      <c r="G57" s="280" t="n"/>
      <c r="H57" s="280" t="n"/>
      <c r="I57" s="280" t="n"/>
      <c r="J57" s="280" t="n"/>
      <c r="K57" s="280" t="n"/>
      <c r="L57" s="280" t="n"/>
      <c r="M57" s="280" t="n"/>
      <c r="N57" s="280" t="n"/>
      <c r="O57" s="280" t="n"/>
      <c r="P57" s="280" t="n"/>
      <c r="Q57" s="280" t="n"/>
      <c r="R57" s="280" t="n"/>
      <c r="S57" s="280" t="n"/>
      <c r="T57" s="280" t="n"/>
      <c r="U57" s="280" t="n"/>
      <c r="V57" s="280" t="n"/>
      <c r="W57" s="280" t="n"/>
      <c r="X57" s="280" t="n"/>
      <c r="Y57" s="280" t="n"/>
      <c r="Z57" s="280" t="n"/>
      <c r="AA57" s="280" t="n"/>
      <c r="AB57" s="280" t="n"/>
      <c r="AC57" s="280" t="n"/>
      <c r="AD57" s="280" t="n"/>
      <c r="AE57" s="280" t="n"/>
      <c r="AF57" s="280" t="n"/>
      <c r="AG57" s="280" t="n"/>
      <c r="AH57" s="280" t="n"/>
      <c r="AI57" s="280" t="n"/>
      <c r="AJ57" s="280" t="n"/>
      <c r="AK57" s="280" t="n"/>
      <c r="AL57" s="280" t="n"/>
      <c r="AM57" s="280" t="n"/>
      <c r="AN57" s="280" t="n"/>
      <c r="AO57" s="280" t="n"/>
      <c r="AP57" s="280" t="n"/>
      <c r="AQ57" s="280" t="n"/>
      <c r="AR57" s="280" t="n"/>
      <c r="AS57" s="280" t="n"/>
      <c r="AT57" s="281" t="n"/>
      <c r="AU57" s="287" t="n"/>
      <c r="AV57" s="663" t="n"/>
      <c r="AW57" s="663" t="n"/>
      <c r="AX57" s="264" t="n"/>
      <c r="AY57" s="288" t="n"/>
      <c r="AZ57" s="4" t="n"/>
      <c r="BD57" s="126" t="n"/>
      <c r="BG57" s="387" t="n"/>
    </row>
    <row r="58" ht="32" customHeight="1" thickBot="1">
      <c r="B58" s="3" t="n"/>
      <c r="C58" s="2" t="n"/>
      <c r="D58" s="136" t="inlineStr">
        <is>
          <t>B-OM4</t>
        </is>
      </c>
      <c r="E58" s="282" t="n"/>
      <c r="F58" s="283" t="n"/>
      <c r="G58" s="283" t="n"/>
      <c r="H58" s="283" t="n"/>
      <c r="I58" s="283" t="n"/>
      <c r="J58" s="283" t="n"/>
      <c r="K58" s="283" t="n"/>
      <c r="L58" s="283" t="n"/>
      <c r="M58" s="283" t="n"/>
      <c r="N58" s="283" t="n"/>
      <c r="O58" s="283" t="n"/>
      <c r="P58" s="283" t="n"/>
      <c r="Q58" s="283" t="n"/>
      <c r="R58" s="283" t="n"/>
      <c r="S58" s="283" t="n"/>
      <c r="T58" s="283" t="n"/>
      <c r="U58" s="283" t="n"/>
      <c r="V58" s="283" t="n"/>
      <c r="W58" s="283" t="n"/>
      <c r="X58" s="283" t="n"/>
      <c r="Y58" s="283" t="n"/>
      <c r="Z58" s="283" t="n"/>
      <c r="AA58" s="283" t="n"/>
      <c r="AB58" s="283" t="n"/>
      <c r="AC58" s="283" t="n"/>
      <c r="AD58" s="283" t="n"/>
      <c r="AE58" s="283" t="n"/>
      <c r="AF58" s="283" t="n"/>
      <c r="AG58" s="283" t="n"/>
      <c r="AH58" s="283" t="n"/>
      <c r="AI58" s="283" t="n"/>
      <c r="AJ58" s="283" t="n"/>
      <c r="AK58" s="283" t="n"/>
      <c r="AL58" s="283" t="n"/>
      <c r="AM58" s="283" t="n"/>
      <c r="AN58" s="283" t="n"/>
      <c r="AO58" s="283" t="n"/>
      <c r="AP58" s="283" t="n"/>
      <c r="AQ58" s="283" t="n"/>
      <c r="AR58" s="283" t="n"/>
      <c r="AS58" s="283" t="n"/>
      <c r="AT58" s="284" t="n"/>
      <c r="AU58" s="291" t="n"/>
      <c r="AV58" s="670" t="n"/>
      <c r="AW58" s="670" t="n"/>
      <c r="AX58" s="295" t="n"/>
      <c r="AY58" s="294" t="n"/>
      <c r="AZ58" s="6" t="n"/>
      <c r="BD58" s="126" t="n"/>
      <c r="BG58" s="387" t="n"/>
    </row>
    <row r="59" ht="18" customHeight="1" thickBot="1">
      <c r="A59" s="96" t="n"/>
      <c r="B59" s="3" t="inlineStr">
        <is>
          <t>x16</t>
        </is>
      </c>
      <c r="C59" s="69" t="inlineStr">
        <is>
          <t>Alternative Systems</t>
        </is>
      </c>
      <c r="D59" s="20" t="n"/>
      <c r="E59" s="163" t="n"/>
      <c r="F59" s="163" t="n"/>
      <c r="G59" s="163" t="n"/>
      <c r="H59" s="163" t="n"/>
      <c r="I59" s="163" t="n"/>
      <c r="J59" s="163" t="n"/>
      <c r="K59" s="163" t="n"/>
      <c r="L59" s="163" t="n"/>
      <c r="M59" s="163" t="n"/>
      <c r="N59" s="163" t="n"/>
      <c r="O59" s="163" t="n"/>
      <c r="P59" s="163" t="n"/>
      <c r="Q59" s="163" t="n"/>
      <c r="R59" s="163" t="n"/>
      <c r="S59" s="163" t="n"/>
      <c r="T59" s="163" t="n"/>
      <c r="U59" s="163" t="n"/>
      <c r="V59" s="163" t="n"/>
      <c r="W59" s="163" t="n"/>
      <c r="X59" s="163" t="n"/>
      <c r="Y59" s="163" t="n"/>
      <c r="Z59" s="163" t="n"/>
      <c r="AA59" s="163" t="n"/>
      <c r="AB59" s="163" t="n"/>
      <c r="AC59" s="163" t="n"/>
      <c r="AD59" s="163" t="n"/>
      <c r="AE59" s="163" t="n"/>
      <c r="AF59" s="163" t="n"/>
      <c r="AG59" s="163" t="n"/>
      <c r="AH59" s="163" t="n"/>
      <c r="AI59" s="163" t="n"/>
      <c r="AJ59" s="163" t="n"/>
      <c r="AK59" s="163" t="n"/>
      <c r="AL59" s="163" t="n"/>
      <c r="AM59" s="163" t="n"/>
      <c r="AN59" s="163" t="n"/>
      <c r="AO59" s="163" t="n"/>
      <c r="AP59" s="163" t="n"/>
      <c r="AQ59" s="163" t="n"/>
      <c r="AR59" s="163" t="n"/>
      <c r="AS59" s="163" t="n"/>
      <c r="AT59" s="163" t="n"/>
      <c r="AU59" s="20" t="n"/>
      <c r="AV59" s="199" t="n"/>
      <c r="AW59" s="199" t="n"/>
      <c r="AX59" s="198" t="n"/>
      <c r="AY59" s="49" t="n"/>
      <c r="AZ59" s="22" t="n"/>
      <c r="BD59" s="126" t="n"/>
      <c r="BG59" s="387" t="n"/>
    </row>
    <row r="60" ht="37" customHeight="1" thickBot="1">
      <c r="B60" s="3" t="n"/>
      <c r="C60" s="2" t="n"/>
      <c r="D60" s="136" t="inlineStr">
        <is>
          <t>B-AS1</t>
        </is>
      </c>
      <c r="E60" s="276" t="n"/>
      <c r="F60" s="277" t="n"/>
      <c r="G60" s="277" t="n"/>
      <c r="H60" s="277" t="n"/>
      <c r="I60" s="277" t="n"/>
      <c r="J60" s="277" t="n"/>
      <c r="K60" s="277" t="n"/>
      <c r="L60" s="277" t="n"/>
      <c r="M60" s="277" t="n"/>
      <c r="N60" s="277" t="n"/>
      <c r="O60" s="277" t="n"/>
      <c r="P60" s="277" t="n"/>
      <c r="Q60" s="277" t="n"/>
      <c r="R60" s="277" t="n"/>
      <c r="S60" s="277" t="n"/>
      <c r="T60" s="277" t="n"/>
      <c r="U60" s="277" t="n"/>
      <c r="V60" s="277" t="n"/>
      <c r="W60" s="277" t="n"/>
      <c r="X60" s="277" t="n"/>
      <c r="Y60" s="277" t="n"/>
      <c r="Z60" s="277" t="n"/>
      <c r="AA60" s="277" t="n"/>
      <c r="AB60" s="277" t="n"/>
      <c r="AC60" s="277" t="n"/>
      <c r="AD60" s="277" t="n"/>
      <c r="AE60" s="277" t="n"/>
      <c r="AF60" s="277" t="n"/>
      <c r="AG60" s="277" t="n"/>
      <c r="AH60" s="277" t="n"/>
      <c r="AI60" s="277" t="n"/>
      <c r="AJ60" s="277" t="n"/>
      <c r="AK60" s="277" t="n"/>
      <c r="AL60" s="277" t="n"/>
      <c r="AM60" s="277" t="n"/>
      <c r="AN60" s="277" t="n"/>
      <c r="AO60" s="277" t="n"/>
      <c r="AP60" s="277" t="n"/>
      <c r="AQ60" s="277" t="n"/>
      <c r="AR60" s="277" t="n"/>
      <c r="AS60" s="277" t="n"/>
      <c r="AT60" s="278" t="n"/>
      <c r="AU60" s="311" t="inlineStr">
        <is>
          <t>Seismic Isolation System
CBC 1705A.13.4
Prototype and production test</t>
        </is>
      </c>
      <c r="AV60" s="664" t="n"/>
      <c r="AW60" s="664" t="n"/>
      <c r="AX60" s="263" t="n"/>
      <c r="AY60" s="286" t="n"/>
      <c r="AZ60" s="67" t="n"/>
      <c r="BD60" s="129" t="n"/>
      <c r="BG60" s="387" t="n"/>
    </row>
    <row r="61" ht="37" customHeight="1" thickBot="1">
      <c r="B61" s="3" t="n"/>
      <c r="C61" s="2" t="n"/>
      <c r="D61" s="136" t="inlineStr">
        <is>
          <t>B-AS2</t>
        </is>
      </c>
      <c r="E61" s="279" t="n"/>
      <c r="F61" s="280" t="n"/>
      <c r="G61" s="280" t="n"/>
      <c r="H61" s="280" t="n"/>
      <c r="I61" s="280" t="n"/>
      <c r="J61" s="280" t="n"/>
      <c r="K61" s="280" t="n"/>
      <c r="L61" s="280" t="n"/>
      <c r="M61" s="280" t="n"/>
      <c r="N61" s="280" t="n"/>
      <c r="O61" s="280" t="n"/>
      <c r="P61" s="280" t="n"/>
      <c r="Q61" s="280" t="n"/>
      <c r="R61" s="280" t="n"/>
      <c r="S61" s="280" t="n"/>
      <c r="T61" s="280" t="n"/>
      <c r="U61" s="280" t="n"/>
      <c r="V61" s="280" t="n"/>
      <c r="W61" s="280" t="n"/>
      <c r="X61" s="280" t="n"/>
      <c r="Y61" s="280" t="n"/>
      <c r="Z61" s="280" t="n"/>
      <c r="AA61" s="280" t="n"/>
      <c r="AB61" s="280" t="n"/>
      <c r="AC61" s="280" t="n"/>
      <c r="AD61" s="280" t="n"/>
      <c r="AE61" s="280" t="n"/>
      <c r="AF61" s="280" t="n"/>
      <c r="AG61" s="280" t="n"/>
      <c r="AH61" s="280" t="n"/>
      <c r="AI61" s="280" t="n"/>
      <c r="AJ61" s="280" t="n"/>
      <c r="AK61" s="280" t="n"/>
      <c r="AL61" s="280" t="n"/>
      <c r="AM61" s="280" t="n"/>
      <c r="AN61" s="280" t="n"/>
      <c r="AO61" s="280" t="n"/>
      <c r="AP61" s="280" t="n"/>
      <c r="AQ61" s="280" t="n"/>
      <c r="AR61" s="280" t="n"/>
      <c r="AS61" s="280" t="n"/>
      <c r="AT61" s="281" t="n"/>
      <c r="AU61" s="289" t="inlineStr">
        <is>
          <t>Seismic Damping System
CBC 1705A.13.4
Prototype and production test</t>
        </is>
      </c>
      <c r="AV61" s="663" t="n"/>
      <c r="AW61" s="663" t="n"/>
      <c r="AX61" s="264" t="n"/>
      <c r="AY61" s="288" t="n"/>
      <c r="AZ61" s="4" t="n"/>
      <c r="BD61" s="129" t="n"/>
      <c r="BG61" s="387" t="n"/>
    </row>
    <row r="62" ht="37" customHeight="1" thickBot="1">
      <c r="B62" s="3" t="n"/>
      <c r="C62" s="2" t="n"/>
      <c r="D62" s="136" t="inlineStr">
        <is>
          <t>B-AS3</t>
        </is>
      </c>
      <c r="E62" s="279" t="n"/>
      <c r="F62" s="280" t="n"/>
      <c r="G62" s="280" t="n"/>
      <c r="H62" s="280" t="n"/>
      <c r="I62" s="280" t="n"/>
      <c r="J62" s="280" t="n"/>
      <c r="K62" s="280" t="n"/>
      <c r="L62" s="280" t="n"/>
      <c r="M62" s="280" t="n"/>
      <c r="N62" s="280" t="n"/>
      <c r="O62" s="280" t="n"/>
      <c r="P62" s="280" t="n"/>
      <c r="Q62" s="280" t="n"/>
      <c r="R62" s="280" t="n"/>
      <c r="S62" s="280" t="n"/>
      <c r="T62" s="280" t="n"/>
      <c r="U62" s="280" t="n"/>
      <c r="V62" s="280" t="n"/>
      <c r="W62" s="280" t="n"/>
      <c r="X62" s="280" t="n"/>
      <c r="Y62" s="280" t="n"/>
      <c r="Z62" s="280" t="n"/>
      <c r="AA62" s="280" t="n"/>
      <c r="AB62" s="280" t="n"/>
      <c r="AC62" s="280" t="n"/>
      <c r="AD62" s="280" t="n"/>
      <c r="AE62" s="280" t="n"/>
      <c r="AF62" s="280" t="n"/>
      <c r="AG62" s="280" t="n"/>
      <c r="AH62" s="280" t="n"/>
      <c r="AI62" s="280" t="n"/>
      <c r="AJ62" s="280" t="n"/>
      <c r="AK62" s="280" t="n"/>
      <c r="AL62" s="280" t="n"/>
      <c r="AM62" s="280" t="n"/>
      <c r="AN62" s="280" t="n"/>
      <c r="AO62" s="280" t="n"/>
      <c r="AP62" s="280" t="n"/>
      <c r="AQ62" s="280" t="n"/>
      <c r="AR62" s="280" t="n"/>
      <c r="AS62" s="280" t="n"/>
      <c r="AT62" s="281" t="n"/>
      <c r="AU62" s="287" t="inlineStr">
        <is>
          <t>Structural Design Criteria
CBC 104.11
Tests to support alternative system</t>
        </is>
      </c>
      <c r="AV62" s="663" t="n"/>
      <c r="AW62" s="663" t="n"/>
      <c r="AX62" s="264" t="n"/>
      <c r="AY62" s="288" t="n"/>
      <c r="AZ62" s="4" t="n"/>
      <c r="BD62" s="129" t="n"/>
      <c r="BG62" s="387" t="n"/>
    </row>
    <row r="63" ht="30" customHeight="1" thickBot="1">
      <c r="B63" s="3" t="n"/>
      <c r="C63" s="2" t="n"/>
      <c r="D63" s="136" t="inlineStr">
        <is>
          <t>B-AS4</t>
        </is>
      </c>
      <c r="E63" s="279" t="n"/>
      <c r="F63" s="280" t="n"/>
      <c r="G63" s="280" t="n"/>
      <c r="H63" s="280" t="n"/>
      <c r="I63" s="280" t="n"/>
      <c r="J63" s="280" t="n"/>
      <c r="K63" s="280" t="n"/>
      <c r="L63" s="280" t="n"/>
      <c r="M63" s="280" t="n"/>
      <c r="N63" s="280" t="n"/>
      <c r="O63" s="280" t="n"/>
      <c r="P63" s="280" t="n"/>
      <c r="Q63" s="280" t="n"/>
      <c r="R63" s="280" t="n"/>
      <c r="S63" s="280" t="n"/>
      <c r="T63" s="280" t="n"/>
      <c r="U63" s="280" t="n"/>
      <c r="V63" s="280" t="n"/>
      <c r="W63" s="280" t="n"/>
      <c r="X63" s="280" t="n"/>
      <c r="Y63" s="280" t="n"/>
      <c r="Z63" s="280" t="n"/>
      <c r="AA63" s="280" t="n"/>
      <c r="AB63" s="280" t="n"/>
      <c r="AC63" s="280" t="n"/>
      <c r="AD63" s="280" t="n"/>
      <c r="AE63" s="280" t="n"/>
      <c r="AF63" s="280" t="n"/>
      <c r="AG63" s="280" t="n"/>
      <c r="AH63" s="280" t="n"/>
      <c r="AI63" s="280" t="n"/>
      <c r="AJ63" s="280" t="n"/>
      <c r="AK63" s="280" t="n"/>
      <c r="AL63" s="280" t="n"/>
      <c r="AM63" s="280" t="n"/>
      <c r="AN63" s="280" t="n"/>
      <c r="AO63" s="280" t="n"/>
      <c r="AP63" s="280" t="n"/>
      <c r="AQ63" s="280" t="n"/>
      <c r="AR63" s="280" t="n"/>
      <c r="AS63" s="280" t="n"/>
      <c r="AT63" s="281" t="n"/>
      <c r="AU63" s="287" t="n"/>
      <c r="AV63" s="663" t="n"/>
      <c r="AW63" s="663" t="n"/>
      <c r="AX63" s="264" t="n"/>
      <c r="AY63" s="288" t="n"/>
      <c r="AZ63" s="4" t="n"/>
      <c r="BD63" s="129" t="n"/>
      <c r="BG63" s="387" t="n"/>
    </row>
    <row r="64" ht="30" customHeight="1" thickBot="1">
      <c r="B64" s="3" t="n"/>
      <c r="C64" s="2" t="n"/>
      <c r="D64" s="136" t="inlineStr">
        <is>
          <t>B-AS5</t>
        </is>
      </c>
      <c r="E64" s="279" t="n"/>
      <c r="F64" s="280" t="n"/>
      <c r="G64" s="280" t="n"/>
      <c r="H64" s="280" t="n"/>
      <c r="I64" s="280" t="n"/>
      <c r="J64" s="280" t="n"/>
      <c r="K64" s="280" t="n"/>
      <c r="L64" s="280" t="n"/>
      <c r="M64" s="280" t="n"/>
      <c r="N64" s="280" t="n"/>
      <c r="O64" s="280" t="n"/>
      <c r="P64" s="280" t="n"/>
      <c r="Q64" s="280" t="n"/>
      <c r="R64" s="280" t="n"/>
      <c r="S64" s="280" t="n"/>
      <c r="T64" s="280" t="n"/>
      <c r="U64" s="280" t="n"/>
      <c r="V64" s="280" t="n"/>
      <c r="W64" s="280" t="n"/>
      <c r="X64" s="280" t="n"/>
      <c r="Y64" s="280" t="n"/>
      <c r="Z64" s="280" t="n"/>
      <c r="AA64" s="280" t="n"/>
      <c r="AB64" s="280" t="n"/>
      <c r="AC64" s="280" t="n"/>
      <c r="AD64" s="280" t="n"/>
      <c r="AE64" s="280" t="n"/>
      <c r="AF64" s="280" t="n"/>
      <c r="AG64" s="280" t="n"/>
      <c r="AH64" s="280" t="n"/>
      <c r="AI64" s="280" t="n"/>
      <c r="AJ64" s="280" t="n"/>
      <c r="AK64" s="280" t="n"/>
      <c r="AL64" s="280" t="n"/>
      <c r="AM64" s="280" t="n"/>
      <c r="AN64" s="280" t="n"/>
      <c r="AO64" s="280" t="n"/>
      <c r="AP64" s="280" t="n"/>
      <c r="AQ64" s="280" t="n"/>
      <c r="AR64" s="280" t="n"/>
      <c r="AS64" s="280" t="n"/>
      <c r="AT64" s="281" t="n"/>
      <c r="AU64" s="287" t="n"/>
      <c r="AV64" s="663" t="n"/>
      <c r="AW64" s="663" t="n"/>
      <c r="AX64" s="264" t="n"/>
      <c r="AY64" s="288" t="n"/>
      <c r="AZ64" s="4" t="n"/>
      <c r="BD64" s="126" t="n"/>
      <c r="BG64" s="387" t="n"/>
    </row>
    <row r="65" ht="30" customHeight="1" thickBot="1">
      <c r="B65" s="3" t="n"/>
      <c r="C65" s="2" t="n"/>
      <c r="D65" s="136" t="inlineStr">
        <is>
          <t>B-AS6</t>
        </is>
      </c>
      <c r="E65" s="282" t="n"/>
      <c r="F65" s="283" t="n"/>
      <c r="G65" s="283" t="n"/>
      <c r="H65" s="283" t="n"/>
      <c r="I65" s="283" t="n"/>
      <c r="J65" s="283" t="n"/>
      <c r="K65" s="283" t="n"/>
      <c r="L65" s="283" t="n"/>
      <c r="M65" s="283" t="n"/>
      <c r="N65" s="283" t="n"/>
      <c r="O65" s="283" t="n"/>
      <c r="P65" s="283" t="n"/>
      <c r="Q65" s="283" t="n"/>
      <c r="R65" s="283" t="n"/>
      <c r="S65" s="283" t="n"/>
      <c r="T65" s="283" t="n"/>
      <c r="U65" s="283" t="n"/>
      <c r="V65" s="283" t="n"/>
      <c r="W65" s="283" t="n"/>
      <c r="X65" s="283" t="n"/>
      <c r="Y65" s="283" t="n"/>
      <c r="Z65" s="283" t="n"/>
      <c r="AA65" s="283" t="n"/>
      <c r="AB65" s="283" t="n"/>
      <c r="AC65" s="283" t="n"/>
      <c r="AD65" s="283" t="n"/>
      <c r="AE65" s="283" t="n"/>
      <c r="AF65" s="283" t="n"/>
      <c r="AG65" s="283" t="n"/>
      <c r="AH65" s="283" t="n"/>
      <c r="AI65" s="283" t="n"/>
      <c r="AJ65" s="283" t="n"/>
      <c r="AK65" s="283" t="n"/>
      <c r="AL65" s="283" t="n"/>
      <c r="AM65" s="283" t="n"/>
      <c r="AN65" s="283" t="n"/>
      <c r="AO65" s="283" t="n"/>
      <c r="AP65" s="283" t="n"/>
      <c r="AQ65" s="283" t="n"/>
      <c r="AR65" s="283" t="n"/>
      <c r="AS65" s="283" t="n"/>
      <c r="AT65" s="284" t="n"/>
      <c r="AU65" s="291" t="n"/>
      <c r="AV65" s="670" t="n"/>
      <c r="AW65" s="670" t="n"/>
      <c r="AX65" s="295" t="n"/>
      <c r="AY65" s="294" t="n"/>
      <c r="AZ65" s="72" t="n"/>
      <c r="BD65" s="126" t="n"/>
      <c r="BG65" s="387" t="n"/>
    </row>
    <row r="66" ht="18" customHeight="1" thickBot="1">
      <c r="A66" s="96" t="n"/>
      <c r="B66" s="97" t="inlineStr">
        <is>
          <t>x17</t>
        </is>
      </c>
      <c r="C66" s="19" t="inlineStr">
        <is>
          <t>Nonstructural Components, Supports and Attachments</t>
        </is>
      </c>
      <c r="D66" s="20" t="n"/>
      <c r="E66" s="163" t="n"/>
      <c r="F66" s="163" t="n"/>
      <c r="G66" s="163" t="n"/>
      <c r="H66" s="163" t="n"/>
      <c r="I66" s="163" t="n"/>
      <c r="J66" s="163" t="n"/>
      <c r="K66" s="163" t="n"/>
      <c r="L66" s="163" t="n"/>
      <c r="M66" s="163" t="n"/>
      <c r="N66" s="163" t="n"/>
      <c r="O66" s="163" t="n"/>
      <c r="P66" s="163" t="n"/>
      <c r="Q66" s="163" t="n"/>
      <c r="R66" s="163" t="n"/>
      <c r="S66" s="163" t="n"/>
      <c r="T66" s="163" t="n"/>
      <c r="U66" s="163" t="n"/>
      <c r="V66" s="163" t="n"/>
      <c r="W66" s="163" t="n"/>
      <c r="X66" s="163" t="n"/>
      <c r="Y66" s="163" t="n"/>
      <c r="Z66" s="163" t="n"/>
      <c r="AA66" s="163" t="n"/>
      <c r="AB66" s="163" t="n"/>
      <c r="AC66" s="163" t="n"/>
      <c r="AD66" s="163" t="n"/>
      <c r="AE66" s="163" t="n"/>
      <c r="AF66" s="163" t="n"/>
      <c r="AG66" s="163" t="n"/>
      <c r="AH66" s="163" t="n"/>
      <c r="AI66" s="163" t="n"/>
      <c r="AJ66" s="163" t="n"/>
      <c r="AK66" s="163" t="n"/>
      <c r="AL66" s="163" t="n"/>
      <c r="AM66" s="163" t="n"/>
      <c r="AN66" s="163" t="n"/>
      <c r="AO66" s="163" t="n"/>
      <c r="AP66" s="163" t="n"/>
      <c r="AQ66" s="163" t="n"/>
      <c r="AR66" s="163" t="n"/>
      <c r="AS66" s="163" t="n"/>
      <c r="AT66" s="163" t="n"/>
      <c r="AU66" s="20" t="n"/>
      <c r="AV66" s="199" t="n"/>
      <c r="AW66" s="199" t="n"/>
      <c r="AX66" s="198" t="n"/>
      <c r="AY66" s="49" t="n"/>
      <c r="AZ66" s="22" t="n"/>
      <c r="BD66" s="126" t="n"/>
      <c r="BG66" s="387" t="n"/>
    </row>
    <row r="67" ht="37" customHeight="1" thickBot="1">
      <c r="B67" s="97" t="n"/>
      <c r="C67" s="93" t="n"/>
      <c r="D67" s="136" t="inlineStr">
        <is>
          <t>B-N1</t>
        </is>
      </c>
      <c r="E67" s="276" t="n"/>
      <c r="F67" s="277" t="n"/>
      <c r="G67" s="277" t="n"/>
      <c r="H67" s="277" t="n"/>
      <c r="I67" s="277" t="n"/>
      <c r="J67" s="277" t="n"/>
      <c r="K67" s="277" t="n"/>
      <c r="L67" s="277" t="n"/>
      <c r="M67" s="277" t="n"/>
      <c r="N67" s="277" t="n"/>
      <c r="O67" s="277" t="n"/>
      <c r="P67" s="277" t="n"/>
      <c r="Q67" s="277" t="n"/>
      <c r="R67" s="277" t="n"/>
      <c r="S67" s="277" t="n"/>
      <c r="T67" s="277" t="n"/>
      <c r="U67" s="277" t="n"/>
      <c r="V67" s="277" t="n"/>
      <c r="W67" s="277" t="n"/>
      <c r="X67" s="277" t="n"/>
      <c r="Y67" s="277" t="n"/>
      <c r="Z67" s="277" t="n"/>
      <c r="AA67" s="277" t="n"/>
      <c r="AB67" s="277" t="n"/>
      <c r="AC67" s="277" t="n"/>
      <c r="AD67" s="277" t="n"/>
      <c r="AE67" s="277" t="n"/>
      <c r="AF67" s="277" t="n"/>
      <c r="AG67" s="277" t="n"/>
      <c r="AH67" s="277" t="n"/>
      <c r="AI67" s="277" t="n"/>
      <c r="AJ67" s="277" t="n"/>
      <c r="AK67" s="277" t="n"/>
      <c r="AL67" s="277" t="n"/>
      <c r="AM67" s="277" t="n"/>
      <c r="AN67" s="277" t="n"/>
      <c r="AO67" s="277" t="n"/>
      <c r="AP67" s="277" t="n"/>
      <c r="AQ67" s="277" t="n"/>
      <c r="AR67" s="277" t="n"/>
      <c r="AS67" s="277" t="n"/>
      <c r="AT67" s="278" t="n"/>
      <c r="AU67" s="314" t="inlineStr">
        <is>
          <t xml:space="preserve">Nonstructural components
CBC 1705A.13.2
</t>
        </is>
      </c>
      <c r="AV67" s="315" t="n"/>
      <c r="AW67" s="664" t="n"/>
      <c r="AX67" s="263" t="n"/>
      <c r="AY67" s="286" t="n"/>
      <c r="AZ67" s="67" t="n"/>
      <c r="BD67" s="129" t="n"/>
      <c r="BG67" s="387" t="n"/>
    </row>
    <row r="68" ht="37" customHeight="1" thickBot="1">
      <c r="B68" s="97" t="n"/>
      <c r="C68" s="93" t="n"/>
      <c r="D68" s="136" t="inlineStr">
        <is>
          <t>B-N2</t>
        </is>
      </c>
      <c r="E68" s="279" t="n"/>
      <c r="F68" s="280" t="n"/>
      <c r="G68" s="280" t="n"/>
      <c r="H68" s="280" t="n"/>
      <c r="I68" s="280" t="n"/>
      <c r="J68" s="280" t="n"/>
      <c r="K68" s="280" t="n"/>
      <c r="L68" s="280" t="n"/>
      <c r="M68" s="280" t="n"/>
      <c r="N68" s="280" t="n"/>
      <c r="O68" s="280" t="n"/>
      <c r="P68" s="280" t="n"/>
      <c r="Q68" s="280" t="n"/>
      <c r="R68" s="280" t="n"/>
      <c r="S68" s="280" t="n"/>
      <c r="T68" s="280" t="n"/>
      <c r="U68" s="280" t="n"/>
      <c r="V68" s="280" t="n"/>
      <c r="W68" s="280" t="n"/>
      <c r="X68" s="280" t="n"/>
      <c r="Y68" s="280" t="n"/>
      <c r="Z68" s="280" t="n"/>
      <c r="AA68" s="280" t="n"/>
      <c r="AB68" s="280" t="n"/>
      <c r="AC68" s="280" t="n"/>
      <c r="AD68" s="280" t="n"/>
      <c r="AE68" s="280" t="n"/>
      <c r="AF68" s="280" t="n"/>
      <c r="AG68" s="280" t="n"/>
      <c r="AH68" s="280" t="n"/>
      <c r="AI68" s="280" t="n"/>
      <c r="AJ68" s="280" t="n"/>
      <c r="AK68" s="280" t="n"/>
      <c r="AL68" s="280" t="n"/>
      <c r="AM68" s="280" t="n"/>
      <c r="AN68" s="280" t="n"/>
      <c r="AO68" s="280" t="n"/>
      <c r="AP68" s="280" t="n"/>
      <c r="AQ68" s="280" t="n"/>
      <c r="AR68" s="280" t="n"/>
      <c r="AS68" s="280" t="n"/>
      <c r="AT68" s="281" t="n"/>
      <c r="AU68" s="309" t="inlineStr">
        <is>
          <t>Special Seismic Certification
CBC 1705A.13.3
Shake Table test</t>
        </is>
      </c>
      <c r="AV68" s="316" t="n"/>
      <c r="AW68" s="663" t="n"/>
      <c r="AX68" s="261" t="n"/>
      <c r="AY68" s="288" t="n"/>
      <c r="AZ68" s="4" t="n"/>
      <c r="BD68" s="129" t="n"/>
      <c r="BG68" s="387" t="n"/>
    </row>
    <row r="69" ht="25" customHeight="1" thickBot="1">
      <c r="B69" s="97" t="n"/>
      <c r="C69" s="93" t="n"/>
      <c r="D69" s="136" t="inlineStr">
        <is>
          <t>B-N3</t>
        </is>
      </c>
      <c r="E69" s="279" t="n"/>
      <c r="F69" s="280" t="n"/>
      <c r="G69" s="280" t="n"/>
      <c r="H69" s="280" t="n"/>
      <c r="I69" s="280" t="n"/>
      <c r="J69" s="280" t="n"/>
      <c r="K69" s="280" t="n"/>
      <c r="L69" s="280" t="n"/>
      <c r="M69" s="280" t="n"/>
      <c r="N69" s="280" t="n"/>
      <c r="O69" s="280" t="n"/>
      <c r="P69" s="280" t="n"/>
      <c r="Q69" s="280" t="n"/>
      <c r="R69" s="280" t="n"/>
      <c r="S69" s="280" t="n"/>
      <c r="T69" s="280" t="n"/>
      <c r="U69" s="280" t="n"/>
      <c r="V69" s="280" t="n"/>
      <c r="W69" s="280" t="n"/>
      <c r="X69" s="280" t="n"/>
      <c r="Y69" s="280" t="n"/>
      <c r="Z69" s="280" t="n"/>
      <c r="AA69" s="280" t="n"/>
      <c r="AB69" s="280" t="n"/>
      <c r="AC69" s="280" t="n"/>
      <c r="AD69" s="280" t="n"/>
      <c r="AE69" s="280" t="n"/>
      <c r="AF69" s="280" t="n"/>
      <c r="AG69" s="280" t="n"/>
      <c r="AH69" s="280" t="n"/>
      <c r="AI69" s="280" t="n"/>
      <c r="AJ69" s="280" t="n"/>
      <c r="AK69" s="280" t="n"/>
      <c r="AL69" s="280" t="n"/>
      <c r="AM69" s="280" t="n"/>
      <c r="AN69" s="280" t="n"/>
      <c r="AO69" s="280" t="n"/>
      <c r="AP69" s="280" t="n"/>
      <c r="AQ69" s="280" t="n"/>
      <c r="AR69" s="280" t="n"/>
      <c r="AS69" s="280" t="n"/>
      <c r="AT69" s="281" t="n"/>
      <c r="AU69" s="309" t="n"/>
      <c r="AV69" s="317" t="n"/>
      <c r="AW69" s="317" t="n"/>
      <c r="AX69" s="317" t="n"/>
      <c r="AY69" s="288" t="n"/>
      <c r="AZ69" s="4" t="n"/>
      <c r="BD69" s="126" t="n"/>
      <c r="BG69" s="387" t="n"/>
    </row>
    <row r="70" ht="25" customHeight="1" thickBot="1">
      <c r="B70" s="97" t="n"/>
      <c r="C70" s="93" t="n"/>
      <c r="D70" s="136" t="inlineStr">
        <is>
          <t>B-N4</t>
        </is>
      </c>
      <c r="E70" s="282" t="n"/>
      <c r="F70" s="283" t="n"/>
      <c r="G70" s="283" t="n"/>
      <c r="H70" s="283" t="n"/>
      <c r="I70" s="283" t="n"/>
      <c r="J70" s="283" t="n"/>
      <c r="K70" s="283" t="n"/>
      <c r="L70" s="283" t="n"/>
      <c r="M70" s="283" t="n"/>
      <c r="N70" s="283" t="n"/>
      <c r="O70" s="283" t="n"/>
      <c r="P70" s="283" t="n"/>
      <c r="Q70" s="283" t="n"/>
      <c r="R70" s="283" t="n"/>
      <c r="S70" s="283" t="n"/>
      <c r="T70" s="283" t="n"/>
      <c r="U70" s="283" t="n"/>
      <c r="V70" s="283" t="n"/>
      <c r="W70" s="283" t="n"/>
      <c r="X70" s="283" t="n"/>
      <c r="Y70" s="283" t="n"/>
      <c r="Z70" s="283" t="n"/>
      <c r="AA70" s="283" t="n"/>
      <c r="AB70" s="283" t="n"/>
      <c r="AC70" s="283" t="n"/>
      <c r="AD70" s="283" t="n"/>
      <c r="AE70" s="283" t="n"/>
      <c r="AF70" s="283" t="n"/>
      <c r="AG70" s="283" t="n"/>
      <c r="AH70" s="283" t="n"/>
      <c r="AI70" s="283" t="n"/>
      <c r="AJ70" s="283" t="n"/>
      <c r="AK70" s="283" t="n"/>
      <c r="AL70" s="283" t="n"/>
      <c r="AM70" s="283" t="n"/>
      <c r="AN70" s="283" t="n"/>
      <c r="AO70" s="283" t="n"/>
      <c r="AP70" s="283" t="n"/>
      <c r="AQ70" s="283" t="n"/>
      <c r="AR70" s="283" t="n"/>
      <c r="AS70" s="283" t="n"/>
      <c r="AT70" s="284" t="n"/>
      <c r="AU70" s="318" t="n"/>
      <c r="AV70" s="319" t="n"/>
      <c r="AW70" s="319" t="n"/>
      <c r="AX70" s="319" t="n"/>
      <c r="AY70" s="294" t="n"/>
      <c r="AZ70" s="6" t="n"/>
      <c r="BD70" s="126" t="n"/>
      <c r="BG70" s="387" t="n"/>
    </row>
    <row r="71" ht="18" customHeight="1" thickBot="1">
      <c r="A71" s="96" t="inlineStr">
        <is>
          <t>x2</t>
        </is>
      </c>
      <c r="B71" s="23" t="inlineStr">
        <is>
          <t>ELECTRICAL TESTS</t>
        </is>
      </c>
      <c r="C71" s="24" t="n"/>
      <c r="D71" s="24" t="n"/>
      <c r="E71" s="164" t="n"/>
      <c r="F71" s="164" t="n"/>
      <c r="G71" s="164" t="n"/>
      <c r="H71" s="164" t="n"/>
      <c r="I71" s="164" t="n"/>
      <c r="J71" s="164" t="n"/>
      <c r="K71" s="164" t="n"/>
      <c r="L71" s="164" t="n"/>
      <c r="M71" s="164" t="n"/>
      <c r="N71" s="164" t="n"/>
      <c r="O71" s="164" t="n"/>
      <c r="P71" s="164" t="n"/>
      <c r="Q71" s="164" t="n"/>
      <c r="R71" s="164" t="n"/>
      <c r="S71" s="164" t="n"/>
      <c r="T71" s="164" t="n"/>
      <c r="U71" s="164" t="n"/>
      <c r="V71" s="164" t="n"/>
      <c r="W71" s="164" t="n"/>
      <c r="X71" s="164" t="n"/>
      <c r="Y71" s="164" t="n"/>
      <c r="Z71" s="164" t="n"/>
      <c r="AA71" s="164" t="n"/>
      <c r="AB71" s="164" t="n"/>
      <c r="AC71" s="164" t="n"/>
      <c r="AD71" s="164" t="n"/>
      <c r="AE71" s="164" t="n"/>
      <c r="AF71" s="164" t="n"/>
      <c r="AG71" s="164" t="n"/>
      <c r="AH71" s="164" t="n"/>
      <c r="AI71" s="164" t="n"/>
      <c r="AJ71" s="164" t="n"/>
      <c r="AK71" s="164" t="n"/>
      <c r="AL71" s="164" t="n"/>
      <c r="AM71" s="164" t="n"/>
      <c r="AN71" s="164" t="n"/>
      <c r="AO71" s="164" t="n"/>
      <c r="AP71" s="164" t="n"/>
      <c r="AQ71" s="164" t="n"/>
      <c r="AR71" s="164" t="n"/>
      <c r="AS71" s="164" t="n"/>
      <c r="AT71" s="164" t="n"/>
      <c r="AU71" s="24" t="n"/>
      <c r="AV71" s="199" t="n"/>
      <c r="AW71" s="199" t="n"/>
      <c r="AX71" s="199" t="n"/>
      <c r="AY71" s="50" t="n"/>
      <c r="AZ71" s="25" t="n"/>
      <c r="BD71" s="126" t="n"/>
      <c r="BG71" s="387" t="n"/>
    </row>
    <row r="72" ht="37" customHeight="1" thickBot="1">
      <c r="B72" s="3" t="n"/>
      <c r="C72" s="2" t="n"/>
      <c r="D72" s="136" t="inlineStr">
        <is>
          <t>B-E1</t>
        </is>
      </c>
      <c r="E72" s="276" t="n"/>
      <c r="F72" s="277" t="n"/>
      <c r="G72" s="277" t="n"/>
      <c r="H72" s="277" t="n"/>
      <c r="I72" s="277" t="n"/>
      <c r="J72" s="277" t="n"/>
      <c r="K72" s="277" t="n"/>
      <c r="L72" s="277" t="n"/>
      <c r="M72" s="277" t="n"/>
      <c r="N72" s="277" t="n"/>
      <c r="O72" s="277" t="n"/>
      <c r="P72" s="277" t="n"/>
      <c r="Q72" s="277" t="n"/>
      <c r="R72" s="277" t="n"/>
      <c r="S72" s="277" t="n"/>
      <c r="T72" s="277" t="n"/>
      <c r="U72" s="277" t="n"/>
      <c r="V72" s="277" t="n"/>
      <c r="W72" s="277" t="n"/>
      <c r="X72" s="277" t="n"/>
      <c r="Y72" s="277" t="n"/>
      <c r="Z72" s="277" t="n"/>
      <c r="AA72" s="277" t="n"/>
      <c r="AB72" s="277" t="n"/>
      <c r="AC72" s="277" t="n"/>
      <c r="AD72" s="277" t="n"/>
      <c r="AE72" s="277" t="n"/>
      <c r="AF72" s="277" t="n"/>
      <c r="AG72" s="277" t="n"/>
      <c r="AH72" s="277" t="n"/>
      <c r="AI72" s="277" t="n"/>
      <c r="AJ72" s="277" t="n"/>
      <c r="AK72" s="277" t="n"/>
      <c r="AL72" s="277" t="n"/>
      <c r="AM72" s="277" t="n"/>
      <c r="AN72" s="277" t="n"/>
      <c r="AO72" s="277" t="n"/>
      <c r="AP72" s="277" t="n"/>
      <c r="AQ72" s="277" t="n"/>
      <c r="AR72" s="277" t="n"/>
      <c r="AS72" s="277" t="n"/>
      <c r="AT72" s="278" t="n"/>
      <c r="AU72" s="285" t="inlineStr">
        <is>
          <t xml:space="preserve">Ground Fault Protection of Equipment
CEC 230.95(C) &amp; 517.17(D)
</t>
        </is>
      </c>
      <c r="AV72" s="664" t="n"/>
      <c r="AW72" s="664" t="n"/>
      <c r="AX72" s="664" t="n"/>
      <c r="AY72" s="286" t="n"/>
      <c r="AZ72" s="67" t="n"/>
      <c r="BD72" s="129" t="n"/>
      <c r="BG72" s="387" t="n"/>
    </row>
    <row r="73" ht="25" customHeight="1" thickBot="1">
      <c r="B73" s="3" t="n"/>
      <c r="C73" s="2" t="n"/>
      <c r="D73" s="136" t="inlineStr">
        <is>
          <t>B-E2</t>
        </is>
      </c>
      <c r="E73" s="279" t="n"/>
      <c r="F73" s="280" t="n"/>
      <c r="G73" s="280" t="n"/>
      <c r="H73" s="280" t="n"/>
      <c r="I73" s="280" t="n"/>
      <c r="J73" s="280" t="n"/>
      <c r="K73" s="280" t="n"/>
      <c r="L73" s="280" t="n"/>
      <c r="M73" s="280" t="n"/>
      <c r="N73" s="280" t="n"/>
      <c r="O73" s="280" t="n"/>
      <c r="P73" s="280" t="n"/>
      <c r="Q73" s="280" t="n"/>
      <c r="R73" s="280" t="n"/>
      <c r="S73" s="280" t="n"/>
      <c r="T73" s="280" t="n"/>
      <c r="U73" s="280" t="n"/>
      <c r="V73" s="280" t="n"/>
      <c r="W73" s="280" t="n"/>
      <c r="X73" s="280" t="n"/>
      <c r="Y73" s="280" t="n"/>
      <c r="Z73" s="280" t="n"/>
      <c r="AA73" s="280" t="n"/>
      <c r="AB73" s="280" t="n"/>
      <c r="AC73" s="280" t="n"/>
      <c r="AD73" s="280" t="n"/>
      <c r="AE73" s="280" t="n"/>
      <c r="AF73" s="280" t="n"/>
      <c r="AG73" s="280" t="n"/>
      <c r="AH73" s="280" t="n"/>
      <c r="AI73" s="280" t="n"/>
      <c r="AJ73" s="280" t="n"/>
      <c r="AK73" s="280" t="n"/>
      <c r="AL73" s="280" t="n"/>
      <c r="AM73" s="280" t="n"/>
      <c r="AN73" s="280" t="n"/>
      <c r="AO73" s="280" t="n"/>
      <c r="AP73" s="280" t="n"/>
      <c r="AQ73" s="280" t="n"/>
      <c r="AR73" s="280" t="n"/>
      <c r="AS73" s="280" t="n"/>
      <c r="AT73" s="281" t="n"/>
      <c r="AU73" s="309" t="inlineStr">
        <is>
          <t>Emergency Generator Tests
CEC 700.3(A) &amp; NFPA 110-2016 § 7.13</t>
        </is>
      </c>
      <c r="AV73" s="663" t="n"/>
      <c r="AW73" s="663" t="n"/>
      <c r="AX73" s="663" t="n"/>
      <c r="AY73" s="288" t="n"/>
      <c r="AZ73" s="4" t="n"/>
      <c r="BD73" s="129" t="n"/>
      <c r="BG73" s="387" t="n"/>
    </row>
    <row r="74" ht="25" customHeight="1" thickBot="1">
      <c r="B74" s="3" t="n"/>
      <c r="C74" s="2" t="n"/>
      <c r="D74" s="136" t="inlineStr">
        <is>
          <t>B-E3</t>
        </is>
      </c>
      <c r="E74" s="279" t="n"/>
      <c r="F74" s="280" t="n"/>
      <c r="G74" s="280" t="n"/>
      <c r="H74" s="280" t="n"/>
      <c r="I74" s="280" t="n"/>
      <c r="J74" s="280" t="n"/>
      <c r="K74" s="280" t="n"/>
      <c r="L74" s="280" t="n"/>
      <c r="M74" s="280" t="n"/>
      <c r="N74" s="280" t="n"/>
      <c r="O74" s="280" t="n"/>
      <c r="P74" s="280" t="n"/>
      <c r="Q74" s="280" t="n"/>
      <c r="R74" s="280" t="n"/>
      <c r="S74" s="280" t="n"/>
      <c r="T74" s="280" t="n"/>
      <c r="U74" s="280" t="n"/>
      <c r="V74" s="280" t="n"/>
      <c r="W74" s="280" t="n"/>
      <c r="X74" s="280" t="n"/>
      <c r="Y74" s="280" t="n"/>
      <c r="Z74" s="280" t="n"/>
      <c r="AA74" s="280" t="n"/>
      <c r="AB74" s="280" t="n"/>
      <c r="AC74" s="280" t="n"/>
      <c r="AD74" s="280" t="n"/>
      <c r="AE74" s="280" t="n"/>
      <c r="AF74" s="280" t="n"/>
      <c r="AG74" s="280" t="n"/>
      <c r="AH74" s="280" t="n"/>
      <c r="AI74" s="280" t="n"/>
      <c r="AJ74" s="280" t="n"/>
      <c r="AK74" s="280" t="n"/>
      <c r="AL74" s="280" t="n"/>
      <c r="AM74" s="280" t="n"/>
      <c r="AN74" s="280" t="n"/>
      <c r="AO74" s="280" t="n"/>
      <c r="AP74" s="280" t="n"/>
      <c r="AQ74" s="280" t="n"/>
      <c r="AR74" s="280" t="n"/>
      <c r="AS74" s="280" t="n"/>
      <c r="AT74" s="281" t="n"/>
      <c r="AU74" s="309" t="inlineStr">
        <is>
          <t>Automatic Transfer Switch Test
NFPA 110-2016 § 7.13.4.1</t>
        </is>
      </c>
      <c r="AV74" s="663" t="n"/>
      <c r="AW74" s="663" t="n"/>
      <c r="AX74" s="663" t="n"/>
      <c r="AY74" s="288" t="n"/>
      <c r="AZ74" s="4" t="n"/>
      <c r="BD74" s="129" t="n"/>
      <c r="BG74" s="387" t="n"/>
    </row>
    <row r="75" ht="25" customHeight="1" thickBot="1">
      <c r="B75" s="3" t="n"/>
      <c r="C75" s="2" t="n"/>
      <c r="D75" s="136" t="inlineStr">
        <is>
          <t>B-E4</t>
        </is>
      </c>
      <c r="E75" s="279" t="n"/>
      <c r="F75" s="280" t="n"/>
      <c r="G75" s="280" t="n"/>
      <c r="H75" s="280" t="n"/>
      <c r="I75" s="280" t="n"/>
      <c r="J75" s="280" t="n"/>
      <c r="K75" s="280" t="n"/>
      <c r="L75" s="280" t="n"/>
      <c r="M75" s="280" t="n"/>
      <c r="N75" s="280" t="n"/>
      <c r="O75" s="280" t="n"/>
      <c r="P75" s="280" t="n"/>
      <c r="Q75" s="280" t="n"/>
      <c r="R75" s="280" t="n"/>
      <c r="S75" s="280" t="n"/>
      <c r="T75" s="280" t="n"/>
      <c r="U75" s="280" t="n"/>
      <c r="V75" s="280" t="n"/>
      <c r="W75" s="280" t="n"/>
      <c r="X75" s="280" t="n"/>
      <c r="Y75" s="280" t="n"/>
      <c r="Z75" s="280" t="n"/>
      <c r="AA75" s="280" t="n"/>
      <c r="AB75" s="280" t="n"/>
      <c r="AC75" s="280" t="n"/>
      <c r="AD75" s="280" t="n"/>
      <c r="AE75" s="280" t="n"/>
      <c r="AF75" s="280" t="n"/>
      <c r="AG75" s="280" t="n"/>
      <c r="AH75" s="280" t="n"/>
      <c r="AI75" s="280" t="n"/>
      <c r="AJ75" s="280" t="n"/>
      <c r="AK75" s="280" t="n"/>
      <c r="AL75" s="280" t="n"/>
      <c r="AM75" s="280" t="n"/>
      <c r="AN75" s="280" t="n"/>
      <c r="AO75" s="280" t="n"/>
      <c r="AP75" s="280" t="n"/>
      <c r="AQ75" s="280" t="n"/>
      <c r="AR75" s="280" t="n"/>
      <c r="AS75" s="280" t="n"/>
      <c r="AT75" s="281" t="n"/>
      <c r="AU75" s="289" t="inlineStr">
        <is>
          <t>Emergency Stored Electrical Energy System Test
NFPA 111-2016 Section 7.6</t>
        </is>
      </c>
      <c r="AV75" s="663" t="n"/>
      <c r="AW75" s="663" t="n"/>
      <c r="AX75" s="663" t="n"/>
      <c r="AY75" s="288" t="n"/>
      <c r="AZ75" s="4" t="n"/>
      <c r="BD75" s="129" t="n"/>
      <c r="BG75" s="387" t="n"/>
    </row>
    <row r="76" ht="25" customHeight="1" thickBot="1">
      <c r="B76" s="3" t="n"/>
      <c r="C76" s="2" t="n"/>
      <c r="D76" s="136" t="inlineStr">
        <is>
          <t>B-E5</t>
        </is>
      </c>
      <c r="E76" s="279" t="n"/>
      <c r="F76" s="280" t="n"/>
      <c r="G76" s="280" t="n"/>
      <c r="H76" s="280" t="n"/>
      <c r="I76" s="280" t="n"/>
      <c r="J76" s="280" t="n"/>
      <c r="K76" s="280" t="n"/>
      <c r="L76" s="280" t="n"/>
      <c r="M76" s="280" t="n"/>
      <c r="N76" s="280" t="n"/>
      <c r="O76" s="280" t="n"/>
      <c r="P76" s="280" t="n"/>
      <c r="Q76" s="280" t="n"/>
      <c r="R76" s="280" t="n"/>
      <c r="S76" s="280" t="n"/>
      <c r="T76" s="280" t="n"/>
      <c r="U76" s="280" t="n"/>
      <c r="V76" s="280" t="n"/>
      <c r="W76" s="280" t="n"/>
      <c r="X76" s="280" t="n"/>
      <c r="Y76" s="280" t="n"/>
      <c r="Z76" s="280" t="n"/>
      <c r="AA76" s="280" t="n"/>
      <c r="AB76" s="280" t="n"/>
      <c r="AC76" s="280" t="n"/>
      <c r="AD76" s="280" t="n"/>
      <c r="AE76" s="280" t="n"/>
      <c r="AF76" s="280" t="n"/>
      <c r="AG76" s="280" t="n"/>
      <c r="AH76" s="280" t="n"/>
      <c r="AI76" s="280" t="n"/>
      <c r="AJ76" s="280" t="n"/>
      <c r="AK76" s="280" t="n"/>
      <c r="AL76" s="280" t="n"/>
      <c r="AM76" s="280" t="n"/>
      <c r="AN76" s="280" t="n"/>
      <c r="AO76" s="280" t="n"/>
      <c r="AP76" s="280" t="n"/>
      <c r="AQ76" s="280" t="n"/>
      <c r="AR76" s="280" t="n"/>
      <c r="AS76" s="280" t="n"/>
      <c r="AT76" s="281" t="n"/>
      <c r="AU76" s="289" t="inlineStr">
        <is>
          <t>Fire Pump Coordination Study and Testing
CEC 695.3(C)(3)</t>
        </is>
      </c>
      <c r="AV76" s="663" t="n"/>
      <c r="AW76" s="663" t="n"/>
      <c r="AX76" s="663" t="n"/>
      <c r="AY76" s="288" t="n"/>
      <c r="AZ76" s="4" t="n"/>
      <c r="BD76" s="129" t="n"/>
      <c r="BG76" s="387" t="n"/>
    </row>
    <row r="77" ht="25" customHeight="1" thickBot="1">
      <c r="B77" s="3" t="n"/>
      <c r="C77" s="2" t="n"/>
      <c r="D77" s="136" t="inlineStr">
        <is>
          <t>B-E6</t>
        </is>
      </c>
      <c r="E77" s="279" t="n"/>
      <c r="F77" s="280" t="n"/>
      <c r="G77" s="280" t="n"/>
      <c r="H77" s="280" t="n"/>
      <c r="I77" s="280" t="n"/>
      <c r="J77" s="280" t="n"/>
      <c r="K77" s="280" t="n"/>
      <c r="L77" s="280" t="n"/>
      <c r="M77" s="280" t="n"/>
      <c r="N77" s="280" t="n"/>
      <c r="O77" s="280" t="n"/>
      <c r="P77" s="280" t="n"/>
      <c r="Q77" s="280" t="n"/>
      <c r="R77" s="280" t="n"/>
      <c r="S77" s="280" t="n"/>
      <c r="T77" s="280" t="n"/>
      <c r="U77" s="280" t="n"/>
      <c r="V77" s="280" t="n"/>
      <c r="W77" s="280" t="n"/>
      <c r="X77" s="280" t="n"/>
      <c r="Y77" s="280" t="n"/>
      <c r="Z77" s="280" t="n"/>
      <c r="AA77" s="280" t="n"/>
      <c r="AB77" s="280" t="n"/>
      <c r="AC77" s="280" t="n"/>
      <c r="AD77" s="280" t="n"/>
      <c r="AE77" s="280" t="n"/>
      <c r="AF77" s="280" t="n"/>
      <c r="AG77" s="280" t="n"/>
      <c r="AH77" s="280" t="n"/>
      <c r="AI77" s="280" t="n"/>
      <c r="AJ77" s="280" t="n"/>
      <c r="AK77" s="280" t="n"/>
      <c r="AL77" s="280" t="n"/>
      <c r="AM77" s="280" t="n"/>
      <c r="AN77" s="280" t="n"/>
      <c r="AO77" s="280" t="n"/>
      <c r="AP77" s="280" t="n"/>
      <c r="AQ77" s="280" t="n"/>
      <c r="AR77" s="280" t="n"/>
      <c r="AS77" s="280" t="n"/>
      <c r="AT77" s="281" t="n"/>
      <c r="AU77" s="289" t="inlineStr">
        <is>
          <t>Essential Electrical System Coordination Study
CEC 517.31(G) &amp; 700.32</t>
        </is>
      </c>
      <c r="AV77" s="316" t="n"/>
      <c r="AW77" s="663" t="n"/>
      <c r="AX77" s="261" t="n"/>
      <c r="AY77" s="288" t="n"/>
      <c r="AZ77" s="4" t="n"/>
      <c r="BD77" s="129" t="n"/>
      <c r="BG77" s="387" t="n"/>
    </row>
    <row r="78" ht="25" customHeight="1" thickBot="1">
      <c r="B78" s="3" t="n"/>
      <c r="C78" s="2" t="n"/>
      <c r="D78" s="136" t="inlineStr">
        <is>
          <t>B-E7</t>
        </is>
      </c>
      <c r="E78" s="279" t="n"/>
      <c r="F78" s="280" t="n"/>
      <c r="G78" s="280" t="n"/>
      <c r="H78" s="280" t="n"/>
      <c r="I78" s="280" t="n"/>
      <c r="J78" s="280" t="n"/>
      <c r="K78" s="280" t="n"/>
      <c r="L78" s="280" t="n"/>
      <c r="M78" s="280" t="n"/>
      <c r="N78" s="280" t="n"/>
      <c r="O78" s="280" t="n"/>
      <c r="P78" s="280" t="n"/>
      <c r="Q78" s="280" t="n"/>
      <c r="R78" s="280" t="n"/>
      <c r="S78" s="280" t="n"/>
      <c r="T78" s="280" t="n"/>
      <c r="U78" s="280" t="n"/>
      <c r="V78" s="280" t="n"/>
      <c r="W78" s="280" t="n"/>
      <c r="X78" s="280" t="n"/>
      <c r="Y78" s="280" t="n"/>
      <c r="Z78" s="280" t="n"/>
      <c r="AA78" s="280" t="n"/>
      <c r="AB78" s="280" t="n"/>
      <c r="AC78" s="280" t="n"/>
      <c r="AD78" s="280" t="n"/>
      <c r="AE78" s="280" t="n"/>
      <c r="AF78" s="280" t="n"/>
      <c r="AG78" s="280" t="n"/>
      <c r="AH78" s="280" t="n"/>
      <c r="AI78" s="280" t="n"/>
      <c r="AJ78" s="280" t="n"/>
      <c r="AK78" s="280" t="n"/>
      <c r="AL78" s="280" t="n"/>
      <c r="AM78" s="280" t="n"/>
      <c r="AN78" s="280" t="n"/>
      <c r="AO78" s="280" t="n"/>
      <c r="AP78" s="280" t="n"/>
      <c r="AQ78" s="280" t="n"/>
      <c r="AR78" s="280" t="n"/>
      <c r="AS78" s="280" t="n"/>
      <c r="AT78" s="281" t="n"/>
      <c r="AU78" s="289" t="inlineStr">
        <is>
          <t>Elevator Selective Coordination Study
CEC 620.62</t>
        </is>
      </c>
      <c r="AV78" s="663" t="n"/>
      <c r="AW78" s="663" t="n"/>
      <c r="AX78" s="264" t="n"/>
      <c r="AY78" s="288" t="n"/>
      <c r="AZ78" s="4" t="n"/>
      <c r="BD78" s="129" t="n"/>
      <c r="BG78" s="387" t="n"/>
    </row>
    <row r="79" ht="25" customHeight="1" thickBot="1">
      <c r="B79" s="3" t="n"/>
      <c r="C79" s="2" t="n"/>
      <c r="D79" s="136" t="inlineStr">
        <is>
          <t>B-E8</t>
        </is>
      </c>
      <c r="E79" s="279" t="n"/>
      <c r="F79" s="280" t="n"/>
      <c r="G79" s="280" t="n"/>
      <c r="H79" s="280" t="n"/>
      <c r="I79" s="280" t="n"/>
      <c r="J79" s="280" t="n"/>
      <c r="K79" s="280" t="n"/>
      <c r="L79" s="280" t="n"/>
      <c r="M79" s="280" t="n"/>
      <c r="N79" s="280" t="n"/>
      <c r="O79" s="280" t="n"/>
      <c r="P79" s="280" t="n"/>
      <c r="Q79" s="280" t="n"/>
      <c r="R79" s="280" t="n"/>
      <c r="S79" s="280" t="n"/>
      <c r="T79" s="280" t="n"/>
      <c r="U79" s="280" t="n"/>
      <c r="V79" s="280" t="n"/>
      <c r="W79" s="280" t="n"/>
      <c r="X79" s="280" t="n"/>
      <c r="Y79" s="280" t="n"/>
      <c r="Z79" s="280" t="n"/>
      <c r="AA79" s="280" t="n"/>
      <c r="AB79" s="280" t="n"/>
      <c r="AC79" s="280" t="n"/>
      <c r="AD79" s="280" t="n"/>
      <c r="AE79" s="280" t="n"/>
      <c r="AF79" s="280" t="n"/>
      <c r="AG79" s="280" t="n"/>
      <c r="AH79" s="280" t="n"/>
      <c r="AI79" s="280" t="n"/>
      <c r="AJ79" s="280" t="n"/>
      <c r="AK79" s="280" t="n"/>
      <c r="AL79" s="280" t="n"/>
      <c r="AM79" s="280" t="n"/>
      <c r="AN79" s="280" t="n"/>
      <c r="AO79" s="280" t="n"/>
      <c r="AP79" s="280" t="n"/>
      <c r="AQ79" s="280" t="n"/>
      <c r="AR79" s="280" t="n"/>
      <c r="AS79" s="280" t="n"/>
      <c r="AT79" s="281" t="n"/>
      <c r="AU79" s="289" t="inlineStr">
        <is>
          <t>Grounding System in Patient Care Spaces
2018 NFPA 99 6.3.3.1</t>
        </is>
      </c>
      <c r="AV79" s="663" t="n"/>
      <c r="AW79" s="663" t="n"/>
      <c r="AX79" s="264" t="n"/>
      <c r="AY79" s="288" t="n"/>
      <c r="AZ79" s="4" t="n"/>
      <c r="BD79" s="129" t="n"/>
      <c r="BG79" s="387" t="n"/>
    </row>
    <row r="80" ht="25" customHeight="1" thickBot="1">
      <c r="B80" s="3" t="n"/>
      <c r="C80" s="2" t="n"/>
      <c r="D80" s="136" t="inlineStr">
        <is>
          <t>B-E9</t>
        </is>
      </c>
      <c r="E80" s="279" t="n"/>
      <c r="F80" s="280" t="n"/>
      <c r="G80" s="280" t="n"/>
      <c r="H80" s="280" t="n"/>
      <c r="I80" s="280" t="n"/>
      <c r="J80" s="280" t="n"/>
      <c r="K80" s="280" t="n"/>
      <c r="L80" s="280" t="n"/>
      <c r="M80" s="280" t="n"/>
      <c r="N80" s="280" t="n"/>
      <c r="O80" s="280" t="n"/>
      <c r="P80" s="280" t="n"/>
      <c r="Q80" s="280" t="n"/>
      <c r="R80" s="280" t="n"/>
      <c r="S80" s="280" t="n"/>
      <c r="T80" s="280" t="n"/>
      <c r="U80" s="280" t="n"/>
      <c r="V80" s="280" t="n"/>
      <c r="W80" s="280" t="n"/>
      <c r="X80" s="280" t="n"/>
      <c r="Y80" s="280" t="n"/>
      <c r="Z80" s="280" t="n"/>
      <c r="AA80" s="280" t="n"/>
      <c r="AB80" s="280" t="n"/>
      <c r="AC80" s="280" t="n"/>
      <c r="AD80" s="280" t="n"/>
      <c r="AE80" s="280" t="n"/>
      <c r="AF80" s="280" t="n"/>
      <c r="AG80" s="280" t="n"/>
      <c r="AH80" s="280" t="n"/>
      <c r="AI80" s="280" t="n"/>
      <c r="AJ80" s="280" t="n"/>
      <c r="AK80" s="280" t="n"/>
      <c r="AL80" s="280" t="n"/>
      <c r="AM80" s="280" t="n"/>
      <c r="AN80" s="280" t="n"/>
      <c r="AO80" s="280" t="n"/>
      <c r="AP80" s="280" t="n"/>
      <c r="AQ80" s="280" t="n"/>
      <c r="AR80" s="280" t="n"/>
      <c r="AS80" s="280" t="n"/>
      <c r="AT80" s="281" t="n"/>
      <c r="AU80" s="289" t="inlineStr">
        <is>
          <t>Hospital Grade Receptacles
2018 NFPA 99 6.3.3.2.5</t>
        </is>
      </c>
      <c r="AV80" s="663" t="n"/>
      <c r="AW80" s="663" t="n"/>
      <c r="AX80" s="264" t="n"/>
      <c r="AY80" s="288" t="n"/>
      <c r="AZ80" s="4" t="n"/>
      <c r="BD80" s="129" t="n"/>
      <c r="BG80" s="387" t="n"/>
    </row>
    <row r="81" ht="28" customHeight="1" thickBot="1">
      <c r="B81" s="3" t="n"/>
      <c r="C81" s="2" t="n"/>
      <c r="D81" s="136" t="inlineStr">
        <is>
          <t>B-E10</t>
        </is>
      </c>
      <c r="E81" s="279" t="n"/>
      <c r="F81" s="280" t="n"/>
      <c r="G81" s="280" t="n"/>
      <c r="H81" s="280" t="n"/>
      <c r="I81" s="280" t="n"/>
      <c r="J81" s="280" t="n"/>
      <c r="K81" s="280" t="n"/>
      <c r="L81" s="280" t="n"/>
      <c r="M81" s="280" t="n"/>
      <c r="N81" s="280" t="n"/>
      <c r="O81" s="280" t="n"/>
      <c r="P81" s="280" t="n"/>
      <c r="Q81" s="280" t="n"/>
      <c r="R81" s="280" t="n"/>
      <c r="S81" s="280" t="n"/>
      <c r="T81" s="280" t="n"/>
      <c r="U81" s="280" t="n"/>
      <c r="V81" s="280" t="n"/>
      <c r="W81" s="280" t="n"/>
      <c r="X81" s="280" t="n"/>
      <c r="Y81" s="280" t="n"/>
      <c r="Z81" s="280" t="n"/>
      <c r="AA81" s="280" t="n"/>
      <c r="AB81" s="280" t="n"/>
      <c r="AC81" s="280" t="n"/>
      <c r="AD81" s="280" t="n"/>
      <c r="AE81" s="280" t="n"/>
      <c r="AF81" s="280" t="n"/>
      <c r="AG81" s="280" t="n"/>
      <c r="AH81" s="280" t="n"/>
      <c r="AI81" s="280" t="n"/>
      <c r="AJ81" s="280" t="n"/>
      <c r="AK81" s="280" t="n"/>
      <c r="AL81" s="280" t="n"/>
      <c r="AM81" s="280" t="n"/>
      <c r="AN81" s="280" t="n"/>
      <c r="AO81" s="280" t="n"/>
      <c r="AP81" s="280" t="n"/>
      <c r="AQ81" s="280" t="n"/>
      <c r="AR81" s="280" t="n"/>
      <c r="AS81" s="280" t="n"/>
      <c r="AT81" s="281" t="n"/>
      <c r="AU81" s="289" t="inlineStr">
        <is>
          <t>Isolated Power Systems – Line Isolation Monitor Test
2018 NFPA 99 6.3.3.3.2</t>
        </is>
      </c>
      <c r="AV81" s="663" t="n"/>
      <c r="AW81" s="663" t="n"/>
      <c r="AX81" s="264" t="n"/>
      <c r="AY81" s="288" t="n"/>
      <c r="AZ81" s="4" t="n"/>
      <c r="BD81" s="129" t="n"/>
      <c r="BG81" s="387" t="n"/>
    </row>
    <row r="82" ht="37" customHeight="1" thickBot="1">
      <c r="B82" s="3" t="n"/>
      <c r="C82" s="2" t="n"/>
      <c r="D82" s="136" t="inlineStr">
        <is>
          <t>B-E11</t>
        </is>
      </c>
      <c r="E82" s="279" t="n"/>
      <c r="F82" s="280" t="n"/>
      <c r="G82" s="280" t="n"/>
      <c r="H82" s="280" t="n"/>
      <c r="I82" s="280" t="n"/>
      <c r="J82" s="280" t="n"/>
      <c r="K82" s="280" t="n"/>
      <c r="L82" s="280" t="n"/>
      <c r="M82" s="280" t="n"/>
      <c r="N82" s="280" t="n"/>
      <c r="O82" s="280" t="n"/>
      <c r="P82" s="280" t="n"/>
      <c r="Q82" s="280" t="n"/>
      <c r="R82" s="280" t="n"/>
      <c r="S82" s="280" t="n"/>
      <c r="T82" s="280" t="n"/>
      <c r="U82" s="280" t="n"/>
      <c r="V82" s="280" t="n"/>
      <c r="W82" s="280" t="n"/>
      <c r="X82" s="280" t="n"/>
      <c r="Y82" s="280" t="n"/>
      <c r="Z82" s="280" t="n"/>
      <c r="AA82" s="280" t="n"/>
      <c r="AB82" s="280" t="n"/>
      <c r="AC82" s="280" t="n"/>
      <c r="AD82" s="280" t="n"/>
      <c r="AE82" s="280" t="n"/>
      <c r="AF82" s="280" t="n"/>
      <c r="AG82" s="280" t="n"/>
      <c r="AH82" s="280" t="n"/>
      <c r="AI82" s="280" t="n"/>
      <c r="AJ82" s="280" t="n"/>
      <c r="AK82" s="280" t="n"/>
      <c r="AL82" s="280" t="n"/>
      <c r="AM82" s="280" t="n"/>
      <c r="AN82" s="280" t="n"/>
      <c r="AO82" s="280" t="n"/>
      <c r="AP82" s="280" t="n"/>
      <c r="AQ82" s="280" t="n"/>
      <c r="AR82" s="280" t="n"/>
      <c r="AS82" s="280" t="n"/>
      <c r="AT82" s="281" t="n"/>
      <c r="AU82" s="289" t="inlineStr">
        <is>
          <t>Isolated Power Systems – Impedance of Isolated Wiring Test
2018 NFPA 99 6.3.2.9.2.1</t>
        </is>
      </c>
      <c r="AV82" s="663" t="n"/>
      <c r="AW82" s="663" t="n"/>
      <c r="AX82" s="264" t="n"/>
      <c r="AY82" s="288" t="n"/>
      <c r="AZ82" s="4" t="n"/>
      <c r="BD82" s="129" t="n"/>
      <c r="BG82" s="387" t="n"/>
    </row>
    <row r="83" ht="49" customHeight="1" thickBot="1">
      <c r="B83" s="3" t="n"/>
      <c r="C83" s="2" t="n"/>
      <c r="D83" s="136" t="inlineStr">
        <is>
          <t>B-E12</t>
        </is>
      </c>
      <c r="E83" s="279" t="n"/>
      <c r="F83" s="280" t="n"/>
      <c r="G83" s="280" t="n"/>
      <c r="H83" s="280" t="n"/>
      <c r="I83" s="280" t="n"/>
      <c r="J83" s="280" t="n"/>
      <c r="K83" s="280" t="n"/>
      <c r="L83" s="280" t="n"/>
      <c r="M83" s="280" t="n"/>
      <c r="N83" s="280" t="n"/>
      <c r="O83" s="280" t="n"/>
      <c r="P83" s="280" t="n"/>
      <c r="Q83" s="280" t="n"/>
      <c r="R83" s="280" t="n"/>
      <c r="S83" s="280" t="n"/>
      <c r="T83" s="280" t="n"/>
      <c r="U83" s="280" t="n"/>
      <c r="V83" s="280" t="n"/>
      <c r="W83" s="280" t="n"/>
      <c r="X83" s="280" t="n"/>
      <c r="Y83" s="280" t="n"/>
      <c r="Z83" s="280" t="n"/>
      <c r="AA83" s="280" t="n"/>
      <c r="AB83" s="280" t="n"/>
      <c r="AC83" s="280" t="n"/>
      <c r="AD83" s="280" t="n"/>
      <c r="AE83" s="280" t="n"/>
      <c r="AF83" s="280" t="n"/>
      <c r="AG83" s="280" t="n"/>
      <c r="AH83" s="280" t="n"/>
      <c r="AI83" s="280" t="n"/>
      <c r="AJ83" s="280" t="n"/>
      <c r="AK83" s="280" t="n"/>
      <c r="AL83" s="280" t="n"/>
      <c r="AM83" s="280" t="n"/>
      <c r="AN83" s="280" t="n"/>
      <c r="AO83" s="280" t="n"/>
      <c r="AP83" s="280" t="n"/>
      <c r="AQ83" s="280" t="n"/>
      <c r="AR83" s="280" t="n"/>
      <c r="AS83" s="280" t="n"/>
      <c r="AT83" s="281" t="n"/>
      <c r="AU83" s="289" t="inlineStr">
        <is>
          <t xml:space="preserve">Medium Voltage Outdoor Systems – Inspections and Test
CEC 225.56
</t>
        </is>
      </c>
      <c r="AV83" s="663" t="n"/>
      <c r="AW83" s="663" t="n"/>
      <c r="AX83" s="264" t="n"/>
      <c r="AY83" s="288" t="n"/>
      <c r="AZ83" s="4" t="n"/>
      <c r="BD83" s="129" t="n"/>
      <c r="BG83" s="387" t="n"/>
    </row>
    <row r="84" ht="28" customHeight="1" thickBot="1">
      <c r="B84" s="3" t="n"/>
      <c r="C84" s="2" t="n"/>
      <c r="D84" s="136" t="inlineStr">
        <is>
          <t>B-E13</t>
        </is>
      </c>
      <c r="E84" s="279" t="n"/>
      <c r="F84" s="280" t="n"/>
      <c r="G84" s="280" t="n"/>
      <c r="H84" s="280" t="n"/>
      <c r="I84" s="280" t="n"/>
      <c r="J84" s="280" t="n"/>
      <c r="K84" s="280" t="n"/>
      <c r="L84" s="280" t="n"/>
      <c r="M84" s="280" t="n"/>
      <c r="N84" s="280" t="n"/>
      <c r="O84" s="280" t="n"/>
      <c r="P84" s="280" t="n"/>
      <c r="Q84" s="280" t="n"/>
      <c r="R84" s="280" t="n"/>
      <c r="S84" s="280" t="n"/>
      <c r="T84" s="280" t="n"/>
      <c r="U84" s="280" t="n"/>
      <c r="V84" s="280" t="n"/>
      <c r="W84" s="280" t="n"/>
      <c r="X84" s="280" t="n"/>
      <c r="Y84" s="280" t="n"/>
      <c r="Z84" s="280" t="n"/>
      <c r="AA84" s="280" t="n"/>
      <c r="AB84" s="280" t="n"/>
      <c r="AC84" s="280" t="n"/>
      <c r="AD84" s="280" t="n"/>
      <c r="AE84" s="280" t="n"/>
      <c r="AF84" s="280" t="n"/>
      <c r="AG84" s="280" t="n"/>
      <c r="AH84" s="280" t="n"/>
      <c r="AI84" s="280" t="n"/>
      <c r="AJ84" s="280" t="n"/>
      <c r="AK84" s="280" t="n"/>
      <c r="AL84" s="280" t="n"/>
      <c r="AM84" s="280" t="n"/>
      <c r="AN84" s="280" t="n"/>
      <c r="AO84" s="280" t="n"/>
      <c r="AP84" s="280" t="n"/>
      <c r="AQ84" s="280" t="n"/>
      <c r="AR84" s="280" t="n"/>
      <c r="AS84" s="280" t="n"/>
      <c r="AT84" s="281" t="n"/>
      <c r="AU84" s="289" t="inlineStr">
        <is>
          <t>Medium Voltage Cable Testing
CEC 328.14 &amp; ANSI/NECA/NCSCB 600-2014</t>
        </is>
      </c>
      <c r="AV84" s="663" t="n"/>
      <c r="AW84" s="663" t="n"/>
      <c r="AX84" s="264" t="n"/>
      <c r="AY84" s="288" t="n"/>
      <c r="AZ84" s="4" t="n"/>
      <c r="BD84" s="129" t="n"/>
      <c r="BG84" s="387" t="n"/>
    </row>
    <row r="85" ht="28" customHeight="1" thickBot="1">
      <c r="B85" s="3" t="n"/>
      <c r="C85" s="2" t="n"/>
      <c r="D85" s="136" t="inlineStr">
        <is>
          <t>B-E14</t>
        </is>
      </c>
      <c r="E85" s="279" t="n"/>
      <c r="F85" s="280" t="n"/>
      <c r="G85" s="280" t="n"/>
      <c r="H85" s="280" t="n"/>
      <c r="I85" s="280" t="n"/>
      <c r="J85" s="280" t="n"/>
      <c r="K85" s="280" t="n"/>
      <c r="L85" s="280" t="n"/>
      <c r="M85" s="280" t="n"/>
      <c r="N85" s="280" t="n"/>
      <c r="O85" s="280" t="n"/>
      <c r="P85" s="280" t="n"/>
      <c r="Q85" s="280" t="n"/>
      <c r="R85" s="280" t="n"/>
      <c r="S85" s="280" t="n"/>
      <c r="T85" s="280" t="n"/>
      <c r="U85" s="280" t="n"/>
      <c r="V85" s="280" t="n"/>
      <c r="W85" s="280" t="n"/>
      <c r="X85" s="280" t="n"/>
      <c r="Y85" s="280" t="n"/>
      <c r="Z85" s="280" t="n"/>
      <c r="AA85" s="280" t="n"/>
      <c r="AB85" s="280" t="n"/>
      <c r="AC85" s="280" t="n"/>
      <c r="AD85" s="280" t="n"/>
      <c r="AE85" s="280" t="n"/>
      <c r="AF85" s="280" t="n"/>
      <c r="AG85" s="280" t="n"/>
      <c r="AH85" s="280" t="n"/>
      <c r="AI85" s="280" t="n"/>
      <c r="AJ85" s="280" t="n"/>
      <c r="AK85" s="280" t="n"/>
      <c r="AL85" s="280" t="n"/>
      <c r="AM85" s="280" t="n"/>
      <c r="AN85" s="280" t="n"/>
      <c r="AO85" s="280" t="n"/>
      <c r="AP85" s="280" t="n"/>
      <c r="AQ85" s="280" t="n"/>
      <c r="AR85" s="280" t="n"/>
      <c r="AS85" s="280" t="n"/>
      <c r="AT85" s="281" t="n"/>
      <c r="AU85" s="289" t="inlineStr">
        <is>
          <t>Insulation Testing
CEC 110.7, 2018 NFPA 99 6.7.4.1.2.2</t>
        </is>
      </c>
      <c r="AV85" s="663" t="n"/>
      <c r="AW85" s="663" t="n"/>
      <c r="AX85" s="264" t="n"/>
      <c r="AY85" s="288" t="n"/>
      <c r="AZ85" s="4" t="n"/>
      <c r="BD85" s="129" t="n"/>
      <c r="BG85" s="387" t="n"/>
    </row>
    <row r="86" ht="28" customHeight="1" thickBot="1">
      <c r="B86" s="3" t="n"/>
      <c r="C86" s="2" t="n"/>
      <c r="D86" s="136" t="inlineStr">
        <is>
          <t>B-E15</t>
        </is>
      </c>
      <c r="E86" s="279" t="n"/>
      <c r="F86" s="280" t="n"/>
      <c r="G86" s="280" t="n"/>
      <c r="H86" s="280" t="n"/>
      <c r="I86" s="280" t="n"/>
      <c r="J86" s="280" t="n"/>
      <c r="K86" s="280" t="n"/>
      <c r="L86" s="280" t="n"/>
      <c r="M86" s="280" t="n"/>
      <c r="N86" s="280" t="n"/>
      <c r="O86" s="280" t="n"/>
      <c r="P86" s="280" t="n"/>
      <c r="Q86" s="280" t="n"/>
      <c r="R86" s="280" t="n"/>
      <c r="S86" s="280" t="n"/>
      <c r="T86" s="280" t="n"/>
      <c r="U86" s="280" t="n"/>
      <c r="V86" s="280" t="n"/>
      <c r="W86" s="280" t="n"/>
      <c r="X86" s="280" t="n"/>
      <c r="Y86" s="280" t="n"/>
      <c r="Z86" s="280" t="n"/>
      <c r="AA86" s="280" t="n"/>
      <c r="AB86" s="280" t="n"/>
      <c r="AC86" s="280" t="n"/>
      <c r="AD86" s="280" t="n"/>
      <c r="AE86" s="280" t="n"/>
      <c r="AF86" s="280" t="n"/>
      <c r="AG86" s="280" t="n"/>
      <c r="AH86" s="280" t="n"/>
      <c r="AI86" s="280" t="n"/>
      <c r="AJ86" s="280" t="n"/>
      <c r="AK86" s="280" t="n"/>
      <c r="AL86" s="280" t="n"/>
      <c r="AM86" s="280" t="n"/>
      <c r="AN86" s="320" t="n"/>
      <c r="AO86" s="320" t="n"/>
      <c r="AP86" s="320" t="n"/>
      <c r="AQ86" s="320" t="n"/>
      <c r="AR86" s="320" t="n"/>
      <c r="AS86" s="320" t="n"/>
      <c r="AT86" s="321" t="n"/>
      <c r="AU86" s="289" t="inlineStr">
        <is>
          <t>Torque Electrical Connections
CEC 110.3(B) &amp; 110.14(D)</t>
        </is>
      </c>
      <c r="AV86" s="663" t="inlineStr">
        <is>
          <t>X</t>
        </is>
      </c>
      <c r="AW86" s="663" t="n"/>
      <c r="AX86" s="264" t="inlineStr">
        <is>
          <t>Rosendin (ground ring &amp; base plates)</t>
        </is>
      </c>
      <c r="AY86" s="288" t="n"/>
      <c r="AZ86" s="4" t="n"/>
      <c r="BD86" s="129" t="n"/>
      <c r="BG86" s="387" t="n"/>
    </row>
    <row r="87" ht="28" customHeight="1" thickBot="1">
      <c r="B87" s="3" t="n"/>
      <c r="C87" s="2" t="n"/>
      <c r="D87" s="136" t="inlineStr">
        <is>
          <t>B-E16</t>
        </is>
      </c>
      <c r="E87" s="279" t="n"/>
      <c r="F87" s="280" t="n"/>
      <c r="G87" s="280" t="n"/>
      <c r="H87" s="280" t="n"/>
      <c r="I87" s="280" t="n"/>
      <c r="J87" s="280" t="n"/>
      <c r="K87" s="280" t="n"/>
      <c r="L87" s="280" t="n"/>
      <c r="M87" s="280" t="n"/>
      <c r="N87" s="280" t="n"/>
      <c r="O87" s="280" t="n"/>
      <c r="P87" s="280" t="n"/>
      <c r="Q87" s="280" t="n"/>
      <c r="R87" s="280" t="n"/>
      <c r="S87" s="280" t="n"/>
      <c r="T87" s="280" t="n"/>
      <c r="U87" s="280" t="n"/>
      <c r="V87" s="280" t="n"/>
      <c r="W87" s="280" t="n"/>
      <c r="X87" s="280" t="n"/>
      <c r="Y87" s="280" t="n"/>
      <c r="Z87" s="280" t="n"/>
      <c r="AA87" s="280" t="n"/>
      <c r="AB87" s="280" t="n"/>
      <c r="AC87" s="280" t="n"/>
      <c r="AD87" s="280" t="n"/>
      <c r="AE87" s="280" t="n"/>
      <c r="AF87" s="280" t="n"/>
      <c r="AG87" s="280" t="n"/>
      <c r="AH87" s="280" t="n"/>
      <c r="AI87" s="280" t="n"/>
      <c r="AJ87" s="280" t="n"/>
      <c r="AK87" s="280" t="n"/>
      <c r="AL87" s="280" t="n"/>
      <c r="AM87" s="280" t="n"/>
      <c r="AN87" s="280" t="n"/>
      <c r="AO87" s="280" t="n"/>
      <c r="AP87" s="280" t="n"/>
      <c r="AQ87" s="280" t="n"/>
      <c r="AR87" s="280" t="n"/>
      <c r="AS87" s="280" t="n"/>
      <c r="AT87" s="281" t="n"/>
      <c r="AU87" s="289" t="inlineStr">
        <is>
          <t>Temporary Installation Grounding
CEC 590.6</t>
        </is>
      </c>
      <c r="AV87" s="663" t="n"/>
      <c r="AW87" s="663" t="n"/>
      <c r="AX87" s="264" t="n"/>
      <c r="AY87" s="288" t="n"/>
      <c r="AZ87" s="4" t="n"/>
      <c r="BD87" s="129" t="n"/>
      <c r="BG87" s="387" t="n"/>
    </row>
    <row r="88" ht="28" customHeight="1" thickBot="1">
      <c r="B88" s="3" t="n"/>
      <c r="C88" s="2" t="n"/>
      <c r="D88" s="136" t="inlineStr">
        <is>
          <t>B-E17</t>
        </is>
      </c>
      <c r="E88" s="279" t="n"/>
      <c r="F88" s="280" t="n"/>
      <c r="G88" s="280" t="n"/>
      <c r="H88" s="280" t="n"/>
      <c r="I88" s="280" t="n"/>
      <c r="J88" s="280" t="n"/>
      <c r="K88" s="280" t="n"/>
      <c r="L88" s="280" t="n"/>
      <c r="M88" s="280" t="n"/>
      <c r="N88" s="280" t="n"/>
      <c r="O88" s="280" t="n"/>
      <c r="P88" s="280" t="n"/>
      <c r="Q88" s="280" t="n"/>
      <c r="R88" s="280" t="n"/>
      <c r="S88" s="280" t="n"/>
      <c r="T88" s="280" t="n"/>
      <c r="U88" s="280" t="n"/>
      <c r="V88" s="280" t="n"/>
      <c r="W88" s="280" t="n"/>
      <c r="X88" s="280" t="n"/>
      <c r="Y88" s="280" t="n"/>
      <c r="Z88" s="280" t="n"/>
      <c r="AA88" s="280" t="n"/>
      <c r="AB88" s="280" t="n"/>
      <c r="AC88" s="280" t="n"/>
      <c r="AD88" s="280" t="n"/>
      <c r="AE88" s="280" t="n"/>
      <c r="AF88" s="280" t="n"/>
      <c r="AG88" s="280" t="n"/>
      <c r="AH88" s="280" t="n"/>
      <c r="AI88" s="280" t="n"/>
      <c r="AJ88" s="280" t="n"/>
      <c r="AK88" s="280" t="n"/>
      <c r="AL88" s="280" t="n"/>
      <c r="AM88" s="280" t="n"/>
      <c r="AN88" s="280" t="n"/>
      <c r="AO88" s="280" t="n"/>
      <c r="AP88" s="280" t="n"/>
      <c r="AQ88" s="280" t="n"/>
      <c r="AR88" s="280" t="n"/>
      <c r="AS88" s="280" t="n"/>
      <c r="AT88" s="281" t="n"/>
      <c r="AU88" s="289" t="inlineStr">
        <is>
          <t>Nurse call system
CEC 517.123</t>
        </is>
      </c>
      <c r="AV88" s="663" t="n"/>
      <c r="AW88" s="663" t="n"/>
      <c r="AX88" s="264" t="n"/>
      <c r="AY88" s="288" t="n"/>
      <c r="AZ88" s="4" t="n"/>
      <c r="BD88" s="129" t="n"/>
      <c r="BG88" s="387" t="n"/>
    </row>
    <row r="89" ht="28" customHeight="1" thickBot="1">
      <c r="B89" s="3" t="n"/>
      <c r="C89" s="2" t="n"/>
      <c r="D89" s="136" t="inlineStr">
        <is>
          <t>B-E18</t>
        </is>
      </c>
      <c r="E89" s="279" t="n"/>
      <c r="F89" s="280" t="n"/>
      <c r="G89" s="280" t="n"/>
      <c r="H89" s="280" t="n"/>
      <c r="I89" s="280" t="n"/>
      <c r="J89" s="280" t="n"/>
      <c r="K89" s="280" t="n"/>
      <c r="L89" s="280" t="n"/>
      <c r="M89" s="280" t="n"/>
      <c r="N89" s="280" t="n"/>
      <c r="O89" s="280" t="n"/>
      <c r="P89" s="280" t="n"/>
      <c r="Q89" s="280" t="n"/>
      <c r="R89" s="280" t="n"/>
      <c r="S89" s="280" t="n"/>
      <c r="T89" s="280" t="n"/>
      <c r="U89" s="280" t="n"/>
      <c r="V89" s="280" t="n"/>
      <c r="W89" s="280" t="n"/>
      <c r="X89" s="280" t="n"/>
      <c r="Y89" s="280" t="n"/>
      <c r="Z89" s="280" t="n"/>
      <c r="AA89" s="280" t="n"/>
      <c r="AB89" s="280" t="n"/>
      <c r="AC89" s="280" t="n"/>
      <c r="AD89" s="280" t="n"/>
      <c r="AE89" s="280" t="n"/>
      <c r="AF89" s="280" t="n"/>
      <c r="AG89" s="280" t="n"/>
      <c r="AH89" s="280" t="n"/>
      <c r="AI89" s="280" t="n"/>
      <c r="AJ89" s="280" t="n"/>
      <c r="AK89" s="280" t="n"/>
      <c r="AL89" s="280" t="n"/>
      <c r="AM89" s="280" t="n"/>
      <c r="AN89" s="280" t="n"/>
      <c r="AO89" s="280" t="n"/>
      <c r="AP89" s="280" t="n"/>
      <c r="AQ89" s="280" t="n"/>
      <c r="AR89" s="280" t="n"/>
      <c r="AS89" s="280" t="n"/>
      <c r="AT89" s="281" t="n"/>
      <c r="AU89" s="289" t="inlineStr">
        <is>
          <t>Arc Energy Reduction
CEC 240.67 &amp; 240.87</t>
        </is>
      </c>
      <c r="AV89" s="663" t="n"/>
      <c r="AW89" s="663" t="n"/>
      <c r="AX89" s="264" t="n"/>
      <c r="AY89" s="288" t="n"/>
      <c r="AZ89" s="4" t="n"/>
      <c r="BD89" s="129" t="n"/>
      <c r="BG89" s="387" t="n"/>
    </row>
    <row r="90" ht="28" customHeight="1" thickBot="1">
      <c r="B90" s="3" t="n"/>
      <c r="C90" s="2" t="n"/>
      <c r="D90" s="136" t="inlineStr">
        <is>
          <t>B-E19</t>
        </is>
      </c>
      <c r="E90" s="279" t="n"/>
      <c r="F90" s="280" t="n"/>
      <c r="G90" s="280" t="n"/>
      <c r="H90" s="280" t="n"/>
      <c r="I90" s="280" t="n"/>
      <c r="J90" s="280" t="n"/>
      <c r="K90" s="280" t="n"/>
      <c r="L90" s="280" t="n"/>
      <c r="M90" s="280" t="n"/>
      <c r="N90" s="280" t="n"/>
      <c r="O90" s="280" t="n"/>
      <c r="P90" s="280" t="n"/>
      <c r="Q90" s="280" t="n"/>
      <c r="R90" s="280" t="n"/>
      <c r="S90" s="280" t="n"/>
      <c r="T90" s="280" t="n"/>
      <c r="U90" s="280" t="n"/>
      <c r="V90" s="280" t="n"/>
      <c r="W90" s="280" t="n"/>
      <c r="X90" s="280" t="n"/>
      <c r="Y90" s="280" t="n"/>
      <c r="Z90" s="280" t="n"/>
      <c r="AA90" s="280" t="n"/>
      <c r="AB90" s="280" t="n"/>
      <c r="AC90" s="280" t="n"/>
      <c r="AD90" s="280" t="n"/>
      <c r="AE90" s="280" t="n"/>
      <c r="AF90" s="280" t="n"/>
      <c r="AG90" s="280" t="n"/>
      <c r="AH90" s="280" t="n"/>
      <c r="AI90" s="280" t="n"/>
      <c r="AJ90" s="280" t="n"/>
      <c r="AK90" s="280" t="n"/>
      <c r="AL90" s="280" t="n"/>
      <c r="AM90" s="280" t="n"/>
      <c r="AN90" s="280" t="n"/>
      <c r="AO90" s="280" t="n"/>
      <c r="AP90" s="280" t="n"/>
      <c r="AQ90" s="280" t="n"/>
      <c r="AR90" s="280" t="n"/>
      <c r="AS90" s="280" t="n"/>
      <c r="AT90" s="281" t="n"/>
      <c r="AU90" s="289" t="inlineStr">
        <is>
          <t>Short-Circuit Current Calculations
CEC 110.24(A), 409.22, 430.99, 440.10(B)</t>
        </is>
      </c>
      <c r="AV90" s="663" t="n"/>
      <c r="AW90" s="663" t="n"/>
      <c r="AX90" s="264" t="n"/>
      <c r="AY90" s="288" t="n"/>
      <c r="AZ90" s="4" t="n"/>
      <c r="BD90" s="129" t="n"/>
      <c r="BG90" s="387" t="n"/>
    </row>
    <row r="91" ht="37" customHeight="1" thickBot="1">
      <c r="B91" s="3" t="n"/>
      <c r="C91" s="2" t="n"/>
      <c r="D91" s="136" t="inlineStr">
        <is>
          <t>B-E20</t>
        </is>
      </c>
      <c r="E91" s="279" t="n"/>
      <c r="F91" s="280" t="n"/>
      <c r="G91" s="280" t="n"/>
      <c r="H91" s="280" t="n"/>
      <c r="I91" s="280" t="n"/>
      <c r="J91" s="280" t="n"/>
      <c r="K91" s="280" t="n"/>
      <c r="L91" s="280" t="n"/>
      <c r="M91" s="280" t="n"/>
      <c r="N91" s="280" t="n"/>
      <c r="O91" s="280" t="n"/>
      <c r="P91" s="280" t="n"/>
      <c r="Q91" s="280" t="n"/>
      <c r="R91" s="280" t="n"/>
      <c r="S91" s="280" t="n"/>
      <c r="T91" s="280" t="n"/>
      <c r="U91" s="280" t="n"/>
      <c r="V91" s="280" t="n"/>
      <c r="W91" s="280" t="n"/>
      <c r="X91" s="280" t="n"/>
      <c r="Y91" s="280" t="n"/>
      <c r="Z91" s="280" t="n"/>
      <c r="AA91" s="280" t="n"/>
      <c r="AB91" s="280" t="n"/>
      <c r="AC91" s="280" t="n"/>
      <c r="AD91" s="280" t="n"/>
      <c r="AE91" s="280" t="n"/>
      <c r="AF91" s="280" t="n"/>
      <c r="AG91" s="280" t="n"/>
      <c r="AH91" s="280" t="n"/>
      <c r="AI91" s="280" t="n"/>
      <c r="AJ91" s="280" t="n"/>
      <c r="AK91" s="280" t="n"/>
      <c r="AL91" s="280" t="n"/>
      <c r="AM91" s="280" t="n"/>
      <c r="AN91" s="280" t="n"/>
      <c r="AO91" s="280" t="n"/>
      <c r="AP91" s="280" t="n"/>
      <c r="AQ91" s="280" t="n"/>
      <c r="AR91" s="280" t="n"/>
      <c r="AS91" s="280" t="n"/>
      <c r="AT91" s="281" t="n"/>
      <c r="AU91" s="289" t="inlineStr">
        <is>
          <t>Available Fault and Short-Circuit Current Field Marking
CEC 110.16(B), 110.24(A), 620.51(D)(1), 700.5(E)</t>
        </is>
      </c>
      <c r="AV91" s="663" t="n"/>
      <c r="AW91" s="663" t="n"/>
      <c r="AX91" s="264" t="n"/>
      <c r="AY91" s="288" t="n"/>
      <c r="AZ91" s="4" t="n"/>
      <c r="BD91" s="126" t="n"/>
      <c r="BG91" s="387" t="n"/>
    </row>
    <row r="92" ht="37" customHeight="1" thickBot="1">
      <c r="B92" s="3" t="n"/>
      <c r="C92" s="2" t="n"/>
      <c r="D92" s="136" t="inlineStr">
        <is>
          <t>B-E21</t>
        </is>
      </c>
      <c r="E92" s="279" t="n"/>
      <c r="F92" s="280" t="n"/>
      <c r="G92" s="280" t="n"/>
      <c r="H92" s="280" t="n"/>
      <c r="I92" s="280" t="n"/>
      <c r="J92" s="280" t="n"/>
      <c r="K92" s="280" t="n"/>
      <c r="L92" s="280" t="n"/>
      <c r="M92" s="280" t="n"/>
      <c r="N92" s="280" t="n"/>
      <c r="O92" s="280" t="n"/>
      <c r="P92" s="280" t="n"/>
      <c r="Q92" s="280" t="n"/>
      <c r="R92" s="280" t="n"/>
      <c r="S92" s="280" t="n"/>
      <c r="T92" s="280" t="n"/>
      <c r="U92" s="280" t="n"/>
      <c r="V92" s="280" t="n"/>
      <c r="W92" s="280" t="n"/>
      <c r="X92" s="280" t="n"/>
      <c r="Y92" s="280" t="n"/>
      <c r="Z92" s="280" t="n"/>
      <c r="AA92" s="280" t="n"/>
      <c r="AB92" s="280" t="n"/>
      <c r="AC92" s="280" t="n"/>
      <c r="AD92" s="280" t="n"/>
      <c r="AE92" s="280" t="n"/>
      <c r="AF92" s="280" t="n"/>
      <c r="AG92" s="280" t="n"/>
      <c r="AH92" s="280" t="n"/>
      <c r="AI92" s="280" t="n"/>
      <c r="AJ92" s="280" t="n"/>
      <c r="AK92" s="280" t="n"/>
      <c r="AL92" s="280" t="n"/>
      <c r="AM92" s="280" t="n"/>
      <c r="AN92" s="280" t="n"/>
      <c r="AO92" s="280" t="n"/>
      <c r="AP92" s="280" t="n"/>
      <c r="AQ92" s="280" t="n"/>
      <c r="AR92" s="280" t="n"/>
      <c r="AS92" s="280" t="n"/>
      <c r="AT92" s="281" t="n"/>
      <c r="AU92" s="289" t="inlineStr">
        <is>
          <t>Means of Egress Illumination
CBC 1008.2 and 1008.3
Illumination and Emergency Power</t>
        </is>
      </c>
      <c r="AV92" s="322" t="n"/>
      <c r="AW92" s="322" t="n"/>
      <c r="AX92" s="264" t="n"/>
      <c r="AY92" s="288" t="n"/>
      <c r="AZ92" s="6" t="n"/>
      <c r="BD92" s="126" t="n"/>
      <c r="BG92" s="387" t="n"/>
    </row>
    <row r="93" ht="28" customHeight="1" thickBot="1">
      <c r="B93" s="3" t="n"/>
      <c r="C93" s="2" t="n"/>
      <c r="D93" s="136" t="inlineStr">
        <is>
          <t>B-E22</t>
        </is>
      </c>
      <c r="E93" s="279" t="n"/>
      <c r="F93" s="280" t="n"/>
      <c r="G93" s="280" t="n"/>
      <c r="H93" s="280" t="n"/>
      <c r="I93" s="280" t="n"/>
      <c r="J93" s="280" t="n"/>
      <c r="K93" s="280" t="n"/>
      <c r="L93" s="280" t="n"/>
      <c r="M93" s="280" t="n"/>
      <c r="N93" s="280" t="n"/>
      <c r="O93" s="280" t="n"/>
      <c r="P93" s="280" t="n"/>
      <c r="Q93" s="280" t="n"/>
      <c r="R93" s="280" t="n"/>
      <c r="S93" s="280" t="n"/>
      <c r="T93" s="280" t="n"/>
      <c r="U93" s="280" t="n"/>
      <c r="V93" s="280" t="n"/>
      <c r="W93" s="280" t="n"/>
      <c r="X93" s="280" t="n"/>
      <c r="Y93" s="280" t="n"/>
      <c r="Z93" s="280" t="n"/>
      <c r="AA93" s="280" t="n"/>
      <c r="AB93" s="280" t="n"/>
      <c r="AC93" s="280" t="n"/>
      <c r="AD93" s="280" t="n"/>
      <c r="AE93" s="280" t="n"/>
      <c r="AF93" s="280" t="n"/>
      <c r="AG93" s="280" t="n"/>
      <c r="AH93" s="280" t="n"/>
      <c r="AI93" s="280" t="n"/>
      <c r="AJ93" s="280" t="n"/>
      <c r="AK93" s="280" t="n"/>
      <c r="AL93" s="280" t="n"/>
      <c r="AM93" s="280" t="n"/>
      <c r="AN93" s="280" t="n"/>
      <c r="AO93" s="280" t="n"/>
      <c r="AP93" s="280" t="n"/>
      <c r="AQ93" s="280" t="n"/>
      <c r="AR93" s="280" t="n"/>
      <c r="AS93" s="280" t="n"/>
      <c r="AT93" s="281" t="n"/>
      <c r="AU93" s="289" t="n"/>
      <c r="AV93" s="663" t="n"/>
      <c r="AW93" s="663" t="n"/>
      <c r="AX93" s="264" t="n"/>
      <c r="AY93" s="288" t="n"/>
      <c r="AZ93" s="4" t="n"/>
      <c r="BD93" s="126" t="n"/>
    </row>
    <row r="94" ht="28" customHeight="1" thickBot="1">
      <c r="B94" s="3" t="n"/>
      <c r="C94" s="2" t="n"/>
      <c r="D94" s="136" t="inlineStr">
        <is>
          <t>B-E23</t>
        </is>
      </c>
      <c r="E94" s="282" t="n"/>
      <c r="F94" s="283" t="n"/>
      <c r="G94" s="283" t="n"/>
      <c r="H94" s="283" t="n"/>
      <c r="I94" s="283" t="n"/>
      <c r="J94" s="283" t="n"/>
      <c r="K94" s="283" t="n"/>
      <c r="L94" s="283" t="n"/>
      <c r="M94" s="283" t="n"/>
      <c r="N94" s="283" t="n"/>
      <c r="O94" s="283" t="n"/>
      <c r="P94" s="283" t="n"/>
      <c r="Q94" s="283" t="n"/>
      <c r="R94" s="283" t="n"/>
      <c r="S94" s="283" t="n"/>
      <c r="T94" s="283" t="n"/>
      <c r="U94" s="283" t="n"/>
      <c r="V94" s="283" t="n"/>
      <c r="W94" s="283" t="n"/>
      <c r="X94" s="283" t="n"/>
      <c r="Y94" s="283" t="n"/>
      <c r="Z94" s="283" t="n"/>
      <c r="AA94" s="283" t="n"/>
      <c r="AB94" s="283" t="n"/>
      <c r="AC94" s="283" t="n"/>
      <c r="AD94" s="283" t="n"/>
      <c r="AE94" s="283" t="n"/>
      <c r="AF94" s="283" t="n"/>
      <c r="AG94" s="283" t="n"/>
      <c r="AH94" s="283" t="n"/>
      <c r="AI94" s="283" t="n"/>
      <c r="AJ94" s="283" t="n"/>
      <c r="AK94" s="283" t="n"/>
      <c r="AL94" s="283" t="n"/>
      <c r="AM94" s="283" t="n"/>
      <c r="AN94" s="283" t="n"/>
      <c r="AO94" s="283" t="n"/>
      <c r="AP94" s="283" t="n"/>
      <c r="AQ94" s="283" t="n"/>
      <c r="AR94" s="283" t="n"/>
      <c r="AS94" s="283" t="n"/>
      <c r="AT94" s="284" t="n"/>
      <c r="AU94" s="323" t="n"/>
      <c r="AV94" s="670" t="n"/>
      <c r="AW94" s="670" t="n"/>
      <c r="AX94" s="295" t="n"/>
      <c r="AY94" s="294" t="n"/>
      <c r="AZ94" s="4" t="n"/>
      <c r="BD94" s="126" t="n"/>
    </row>
    <row r="95" ht="18" customHeight="1" thickBot="1">
      <c r="A95" s="96" t="inlineStr">
        <is>
          <t>x3</t>
        </is>
      </c>
      <c r="B95" s="23" t="inlineStr">
        <is>
          <t>MECHANICAL TESTS</t>
        </is>
      </c>
      <c r="C95" s="24" t="n"/>
      <c r="D95" s="24" t="n"/>
      <c r="E95" s="164" t="n"/>
      <c r="F95" s="164" t="n"/>
      <c r="G95" s="164" t="n"/>
      <c r="H95" s="164" t="n"/>
      <c r="I95" s="164" t="n"/>
      <c r="J95" s="164" t="n"/>
      <c r="K95" s="164" t="n"/>
      <c r="L95" s="164" t="n"/>
      <c r="M95" s="164" t="n"/>
      <c r="N95" s="164" t="n"/>
      <c r="O95" s="164" t="n"/>
      <c r="P95" s="164" t="n"/>
      <c r="Q95" s="164" t="n"/>
      <c r="R95" s="164" t="n"/>
      <c r="S95" s="164" t="n"/>
      <c r="T95" s="164" t="n"/>
      <c r="U95" s="164" t="n"/>
      <c r="V95" s="164" t="n"/>
      <c r="W95" s="164" t="n"/>
      <c r="X95" s="164" t="n"/>
      <c r="Y95" s="164" t="n"/>
      <c r="Z95" s="164" t="n"/>
      <c r="AA95" s="164" t="n"/>
      <c r="AB95" s="164" t="n"/>
      <c r="AC95" s="164" t="n"/>
      <c r="AD95" s="164" t="n"/>
      <c r="AE95" s="164" t="n"/>
      <c r="AF95" s="164" t="n"/>
      <c r="AG95" s="164" t="n"/>
      <c r="AH95" s="164" t="n"/>
      <c r="AI95" s="164" t="n"/>
      <c r="AJ95" s="164" t="n"/>
      <c r="AK95" s="164" t="n"/>
      <c r="AL95" s="164" t="n"/>
      <c r="AM95" s="164" t="n"/>
      <c r="AN95" s="164" t="n"/>
      <c r="AO95" s="164" t="n"/>
      <c r="AP95" s="164" t="n"/>
      <c r="AQ95" s="164" t="n"/>
      <c r="AR95" s="164" t="n"/>
      <c r="AS95" s="164" t="n"/>
      <c r="AT95" s="164" t="n"/>
      <c r="AU95" s="24" t="n"/>
      <c r="AV95" s="201" t="n"/>
      <c r="AW95" s="201" t="n"/>
      <c r="AX95" s="198" t="n"/>
      <c r="AY95" s="24" t="n"/>
      <c r="AZ95" s="24" t="n"/>
      <c r="BD95" s="126" t="n"/>
    </row>
    <row r="96" hidden="1" ht="31" customHeight="1" thickBot="1">
      <c r="B96" s="3" t="n"/>
      <c r="C96" s="2" t="n"/>
      <c r="D96" s="136" t="inlineStr">
        <is>
          <t>B-ME1</t>
        </is>
      </c>
      <c r="E96" s="276" t="n"/>
      <c r="F96" s="277" t="n"/>
      <c r="G96" s="277" t="n"/>
      <c r="H96" s="277" t="n"/>
      <c r="I96" s="277" t="n"/>
      <c r="J96" s="277" t="n"/>
      <c r="K96" s="277" t="n"/>
      <c r="L96" s="277" t="n"/>
      <c r="M96" s="277" t="n"/>
      <c r="N96" s="277" t="n"/>
      <c r="O96" s="277" t="n"/>
      <c r="P96" s="277" t="n"/>
      <c r="Q96" s="277" t="n"/>
      <c r="R96" s="277" t="n"/>
      <c r="S96" s="277" t="n"/>
      <c r="T96" s="277" t="n"/>
      <c r="U96" s="277" t="n"/>
      <c r="V96" s="277" t="n"/>
      <c r="W96" s="277" t="n"/>
      <c r="X96" s="277" t="n"/>
      <c r="Y96" s="277" t="n"/>
      <c r="Z96" s="277" t="n"/>
      <c r="AA96" s="277" t="n"/>
      <c r="AB96" s="277" t="n"/>
      <c r="AC96" s="277" t="n"/>
      <c r="AD96" s="277" t="n"/>
      <c r="AE96" s="277" t="n"/>
      <c r="AF96" s="277" t="n"/>
      <c r="AG96" s="277" t="n"/>
      <c r="AH96" s="277" t="n"/>
      <c r="AI96" s="277" t="n"/>
      <c r="AJ96" s="277" t="n"/>
      <c r="AK96" s="277" t="n"/>
      <c r="AL96" s="277" t="n"/>
      <c r="AM96" s="277" t="n"/>
      <c r="AN96" s="277" t="n"/>
      <c r="AO96" s="277" t="n"/>
      <c r="AP96" s="277" t="n"/>
      <c r="AQ96" s="277" t="n"/>
      <c r="AR96" s="277" t="n"/>
      <c r="AS96" s="277" t="n"/>
      <c r="AT96" s="278" t="n"/>
      <c r="AU96" s="311" t="inlineStr">
        <is>
          <t>Listed hood assemblies
CMC 508.2</t>
        </is>
      </c>
      <c r="AV96" s="664" t="n"/>
      <c r="AW96" s="664" t="n"/>
      <c r="AX96" s="263" t="n"/>
      <c r="AY96" s="286" t="n"/>
      <c r="AZ96" s="4" t="n"/>
      <c r="BD96" s="129" t="n"/>
    </row>
    <row r="97" hidden="1" ht="37" customHeight="1" thickBot="1">
      <c r="B97" s="3" t="n"/>
      <c r="C97" s="2" t="n"/>
      <c r="D97" s="136" t="inlineStr">
        <is>
          <t>B-ME2</t>
        </is>
      </c>
      <c r="E97" s="279" t="n"/>
      <c r="F97" s="280" t="n"/>
      <c r="G97" s="280" t="n"/>
      <c r="H97" s="280" t="n"/>
      <c r="I97" s="280" t="n"/>
      <c r="J97" s="280" t="n"/>
      <c r="K97" s="280" t="n"/>
      <c r="L97" s="280" t="n"/>
      <c r="M97" s="280" t="n"/>
      <c r="N97" s="280" t="n"/>
      <c r="O97" s="280" t="n"/>
      <c r="P97" s="280" t="n"/>
      <c r="Q97" s="280" t="n"/>
      <c r="R97" s="280" t="n"/>
      <c r="S97" s="280" t="n"/>
      <c r="T97" s="280" t="n"/>
      <c r="U97" s="280" t="n"/>
      <c r="V97" s="280" t="n"/>
      <c r="W97" s="280" t="n"/>
      <c r="X97" s="280" t="n"/>
      <c r="Y97" s="280" t="n"/>
      <c r="Z97" s="280" t="n"/>
      <c r="AA97" s="280" t="n"/>
      <c r="AB97" s="280" t="n"/>
      <c r="AC97" s="280" t="n"/>
      <c r="AD97" s="280" t="n"/>
      <c r="AE97" s="280" t="n"/>
      <c r="AF97" s="280" t="n"/>
      <c r="AG97" s="280" t="n"/>
      <c r="AH97" s="280" t="n"/>
      <c r="AI97" s="280" t="n"/>
      <c r="AJ97" s="280" t="n"/>
      <c r="AK97" s="280" t="n"/>
      <c r="AL97" s="280" t="n"/>
      <c r="AM97" s="280" t="n"/>
      <c r="AN97" s="280" t="n"/>
      <c r="AO97" s="280" t="n"/>
      <c r="AP97" s="280" t="n"/>
      <c r="AQ97" s="280" t="n"/>
      <c r="AR97" s="280" t="n"/>
      <c r="AS97" s="280" t="n"/>
      <c r="AT97" s="281" t="n"/>
      <c r="AU97" s="287" t="inlineStr">
        <is>
          <t>Commercial kitchen hood ventilation
CMC 511.2.2.1
Performance test</t>
        </is>
      </c>
      <c r="AV97" s="663" t="n"/>
      <c r="AW97" s="663" t="n"/>
      <c r="AX97" s="264" t="n"/>
      <c r="AY97" s="288" t="n"/>
      <c r="AZ97" s="4" t="n"/>
      <c r="BD97" s="129" t="n"/>
    </row>
    <row r="98" hidden="1" ht="31" customHeight="1" thickBot="1">
      <c r="B98" s="3" t="n"/>
      <c r="C98" s="2" t="n"/>
      <c r="D98" s="136" t="inlineStr">
        <is>
          <t>B-ME3</t>
        </is>
      </c>
      <c r="E98" s="279" t="n"/>
      <c r="F98" s="280" t="n"/>
      <c r="G98" s="280" t="n"/>
      <c r="H98" s="280" t="n"/>
      <c r="I98" s="280" t="n"/>
      <c r="J98" s="280" t="n"/>
      <c r="K98" s="280" t="n"/>
      <c r="L98" s="280" t="n"/>
      <c r="M98" s="280" t="n"/>
      <c r="N98" s="280" t="n"/>
      <c r="O98" s="280" t="n"/>
      <c r="P98" s="280" t="n"/>
      <c r="Q98" s="280" t="n"/>
      <c r="R98" s="280" t="n"/>
      <c r="S98" s="280" t="n"/>
      <c r="T98" s="280" t="n"/>
      <c r="U98" s="280" t="n"/>
      <c r="V98" s="280" t="n"/>
      <c r="W98" s="280" t="n"/>
      <c r="X98" s="280" t="n"/>
      <c r="Y98" s="280" t="n"/>
      <c r="Z98" s="280" t="n"/>
      <c r="AA98" s="280" t="n"/>
      <c r="AB98" s="280" t="n"/>
      <c r="AC98" s="280" t="n"/>
      <c r="AD98" s="280" t="n"/>
      <c r="AE98" s="280" t="n"/>
      <c r="AF98" s="280" t="n"/>
      <c r="AG98" s="280" t="n"/>
      <c r="AH98" s="280" t="n"/>
      <c r="AI98" s="280" t="n"/>
      <c r="AJ98" s="280" t="n"/>
      <c r="AK98" s="280" t="n"/>
      <c r="AL98" s="280" t="n"/>
      <c r="AM98" s="280" t="n"/>
      <c r="AN98" s="280" t="n"/>
      <c r="AO98" s="280" t="n"/>
      <c r="AP98" s="280" t="n"/>
      <c r="AQ98" s="280" t="n"/>
      <c r="AR98" s="280" t="n"/>
      <c r="AS98" s="280" t="n"/>
      <c r="AT98" s="281" t="n"/>
      <c r="AU98" s="289" t="inlineStr">
        <is>
          <t>Refrigeration equipment
CMC 1116.0</t>
        </is>
      </c>
      <c r="AV98" s="663" t="n"/>
      <c r="AW98" s="663" t="n"/>
      <c r="AX98" s="264" t="n"/>
      <c r="AY98" s="288" t="n"/>
      <c r="AZ98" s="4" t="n"/>
      <c r="BD98" s="129" t="n"/>
    </row>
    <row r="99" hidden="1" ht="37" customHeight="1" thickBot="1">
      <c r="B99" s="3" t="n"/>
      <c r="C99" s="2" t="n"/>
      <c r="D99" s="136" t="inlineStr">
        <is>
          <t>B-ME4</t>
        </is>
      </c>
      <c r="E99" s="279" t="n"/>
      <c r="F99" s="280" t="n"/>
      <c r="G99" s="280" t="n"/>
      <c r="H99" s="280" t="n"/>
      <c r="I99" s="280" t="n"/>
      <c r="J99" s="280" t="n"/>
      <c r="K99" s="280" t="n"/>
      <c r="L99" s="280" t="n"/>
      <c r="M99" s="280" t="n"/>
      <c r="N99" s="280" t="n"/>
      <c r="O99" s="280" t="n"/>
      <c r="P99" s="280" t="n"/>
      <c r="Q99" s="280" t="n"/>
      <c r="R99" s="280" t="n"/>
      <c r="S99" s="280" t="n"/>
      <c r="T99" s="280" t="n"/>
      <c r="U99" s="280" t="n"/>
      <c r="V99" s="280" t="n"/>
      <c r="W99" s="280" t="n"/>
      <c r="X99" s="280" t="n"/>
      <c r="Y99" s="280" t="n"/>
      <c r="Z99" s="280" t="n"/>
      <c r="AA99" s="280" t="n"/>
      <c r="AB99" s="280" t="n"/>
      <c r="AC99" s="280" t="n"/>
      <c r="AD99" s="280" t="n"/>
      <c r="AE99" s="280" t="n"/>
      <c r="AF99" s="280" t="n"/>
      <c r="AG99" s="280" t="n"/>
      <c r="AH99" s="280" t="n"/>
      <c r="AI99" s="280" t="n"/>
      <c r="AJ99" s="280" t="n"/>
      <c r="AK99" s="280" t="n"/>
      <c r="AL99" s="280" t="n"/>
      <c r="AM99" s="280" t="n"/>
      <c r="AN99" s="280" t="n"/>
      <c r="AO99" s="280" t="n"/>
      <c r="AP99" s="280" t="n"/>
      <c r="AQ99" s="280" t="n"/>
      <c r="AR99" s="280" t="n"/>
      <c r="AS99" s="280" t="n"/>
      <c r="AT99" s="281" t="n"/>
      <c r="AU99" s="289" t="inlineStr">
        <is>
          <t>Refrigeration detection and alarm system
CMC 1108.4 &amp; CFC 605.6
Acceptance testing</t>
        </is>
      </c>
      <c r="AV99" s="663" t="n"/>
      <c r="AW99" s="663" t="n"/>
      <c r="AX99" s="264" t="n"/>
      <c r="AY99" s="288" t="n"/>
      <c r="AZ99" s="4" t="n"/>
      <c r="BD99" s="129" t="n"/>
    </row>
    <row r="100" hidden="1" ht="37" customHeight="1" thickBot="1">
      <c r="B100" s="3" t="n"/>
      <c r="C100" s="2" t="n"/>
      <c r="D100" s="136" t="inlineStr">
        <is>
          <t>B-ME5</t>
        </is>
      </c>
      <c r="E100" s="279" t="n"/>
      <c r="F100" s="280" t="n"/>
      <c r="G100" s="280" t="n"/>
      <c r="H100" s="280" t="n"/>
      <c r="I100" s="280" t="n"/>
      <c r="J100" s="280" t="n"/>
      <c r="K100" s="280" t="n"/>
      <c r="L100" s="280" t="n"/>
      <c r="M100" s="280" t="n"/>
      <c r="N100" s="280" t="n"/>
      <c r="O100" s="280" t="n"/>
      <c r="P100" s="280" t="n"/>
      <c r="Q100" s="280" t="n"/>
      <c r="R100" s="280" t="n"/>
      <c r="S100" s="280" t="n"/>
      <c r="T100" s="280" t="n"/>
      <c r="U100" s="280" t="n"/>
      <c r="V100" s="280" t="n"/>
      <c r="W100" s="280" t="n"/>
      <c r="X100" s="280" t="n"/>
      <c r="Y100" s="280" t="n"/>
      <c r="Z100" s="280" t="n"/>
      <c r="AA100" s="280" t="n"/>
      <c r="AB100" s="280" t="n"/>
      <c r="AC100" s="280" t="n"/>
      <c r="AD100" s="280" t="n"/>
      <c r="AE100" s="280" t="n"/>
      <c r="AF100" s="280" t="n"/>
      <c r="AG100" s="280" t="n"/>
      <c r="AH100" s="280" t="n"/>
      <c r="AI100" s="280" t="n"/>
      <c r="AJ100" s="280" t="n"/>
      <c r="AK100" s="280" t="n"/>
      <c r="AL100" s="280" t="n"/>
      <c r="AM100" s="280" t="n"/>
      <c r="AN100" s="280" t="n"/>
      <c r="AO100" s="280" t="n"/>
      <c r="AP100" s="280" t="n"/>
      <c r="AQ100" s="280" t="n"/>
      <c r="AR100" s="280" t="n"/>
      <c r="AS100" s="280" t="n"/>
      <c r="AT100" s="281" t="n"/>
      <c r="AU100" s="289" t="inlineStr">
        <is>
          <t>Refrigeration flaring system
CMC 1114.3
Safety and effectiveness</t>
        </is>
      </c>
      <c r="AV100" s="663" t="n"/>
      <c r="AW100" s="663" t="n"/>
      <c r="AX100" s="264" t="n"/>
      <c r="AY100" s="288" t="n"/>
      <c r="AZ100" s="4" t="n"/>
      <c r="BD100" s="129" t="n"/>
    </row>
    <row r="101" hidden="1" ht="31" customHeight="1" thickBot="1">
      <c r="B101" s="3" t="n"/>
      <c r="C101" s="2" t="n"/>
      <c r="D101" s="136" t="inlineStr">
        <is>
          <t>B-ME6</t>
        </is>
      </c>
      <c r="E101" s="279" t="n"/>
      <c r="F101" s="280" t="n"/>
      <c r="G101" s="280" t="n"/>
      <c r="H101" s="280" t="n"/>
      <c r="I101" s="280" t="n"/>
      <c r="J101" s="280" t="n"/>
      <c r="K101" s="280" t="n"/>
      <c r="L101" s="280" t="n"/>
      <c r="M101" s="280" t="n"/>
      <c r="N101" s="280" t="n"/>
      <c r="O101" s="280" t="n"/>
      <c r="P101" s="280" t="n"/>
      <c r="Q101" s="280" t="n"/>
      <c r="R101" s="280" t="n"/>
      <c r="S101" s="280" t="n"/>
      <c r="T101" s="280" t="n"/>
      <c r="U101" s="280" t="n"/>
      <c r="V101" s="280" t="n"/>
      <c r="W101" s="280" t="n"/>
      <c r="X101" s="280" t="n"/>
      <c r="Y101" s="280" t="n"/>
      <c r="Z101" s="280" t="n"/>
      <c r="AA101" s="280" t="n"/>
      <c r="AB101" s="280" t="n"/>
      <c r="AC101" s="280" t="n"/>
      <c r="AD101" s="280" t="n"/>
      <c r="AE101" s="280" t="n"/>
      <c r="AF101" s="280" t="n"/>
      <c r="AG101" s="280" t="n"/>
      <c r="AH101" s="280" t="n"/>
      <c r="AI101" s="280" t="n"/>
      <c r="AJ101" s="280" t="n"/>
      <c r="AK101" s="280" t="n"/>
      <c r="AL101" s="280" t="n"/>
      <c r="AM101" s="280" t="n"/>
      <c r="AN101" s="280" t="n"/>
      <c r="AO101" s="280" t="n"/>
      <c r="AP101" s="280" t="n"/>
      <c r="AQ101" s="280" t="n"/>
      <c r="AR101" s="280" t="n"/>
      <c r="AS101" s="280" t="n"/>
      <c r="AT101" s="281" t="n"/>
      <c r="AU101" s="289" t="inlineStr">
        <is>
          <t>Steam and hot water boilers
CMC 1013.0</t>
        </is>
      </c>
      <c r="AV101" s="663" t="n"/>
      <c r="AW101" s="663" t="n"/>
      <c r="AX101" s="264" t="n"/>
      <c r="AY101" s="288" t="n"/>
      <c r="AZ101" s="4" t="n"/>
      <c r="BD101" s="129" t="n"/>
    </row>
    <row r="102" ht="37" customHeight="1" thickBot="1">
      <c r="B102" s="3" t="n"/>
      <c r="C102" s="2" t="n"/>
      <c r="D102" s="136" t="inlineStr">
        <is>
          <t>B-ME7</t>
        </is>
      </c>
      <c r="E102" s="279" t="n"/>
      <c r="F102" s="280" t="n"/>
      <c r="G102" s="280" t="n"/>
      <c r="H102" s="280" t="n"/>
      <c r="I102" s="280" t="n"/>
      <c r="J102" s="280" t="n"/>
      <c r="K102" s="280" t="n"/>
      <c r="L102" s="280" t="n"/>
      <c r="M102" s="280" t="n"/>
      <c r="N102" s="280" t="n"/>
      <c r="O102" s="280" t="n"/>
      <c r="P102" s="280" t="n"/>
      <c r="Q102" s="280" t="n"/>
      <c r="R102" s="280" t="n"/>
      <c r="S102" s="280" t="n"/>
      <c r="T102" s="280" t="inlineStr">
        <is>
          <t>X</t>
        </is>
      </c>
      <c r="U102" s="280" t="n"/>
      <c r="V102" s="280" t="n"/>
      <c r="W102" s="280" t="n"/>
      <c r="X102" s="280" t="n"/>
      <c r="Y102" s="280" t="n"/>
      <c r="Z102" s="280" t="n"/>
      <c r="AA102" s="280" t="n"/>
      <c r="AB102" s="280" t="n"/>
      <c r="AC102" s="280" t="n"/>
      <c r="AD102" s="280" t="n"/>
      <c r="AE102" s="280" t="n"/>
      <c r="AF102" s="280" t="n"/>
      <c r="AG102" s="280" t="n"/>
      <c r="AH102" s="280" t="n"/>
      <c r="AI102" s="280" t="n"/>
      <c r="AJ102" s="280" t="n"/>
      <c r="AK102" s="280" t="n"/>
      <c r="AL102" s="280" t="n"/>
      <c r="AM102" s="280" t="n"/>
      <c r="AN102" s="320" t="n"/>
      <c r="AO102" s="320" t="n"/>
      <c r="AP102" s="320" t="n"/>
      <c r="AQ102" s="320" t="n"/>
      <c r="AR102" s="320" t="inlineStr">
        <is>
          <t>X</t>
        </is>
      </c>
      <c r="AS102" s="320" t="n"/>
      <c r="AT102" s="321" t="n"/>
      <c r="AU102" s="289" t="inlineStr">
        <is>
          <t>Hydronics
CMC 1205.2, 1220.2.6 &amp; 1221.3
Pressure test of steam and water piping</t>
        </is>
      </c>
      <c r="AV102" s="316" t="inlineStr">
        <is>
          <t>X</t>
        </is>
      </c>
      <c r="AW102" s="663" t="n"/>
      <c r="AX102" s="261" t="inlineStr">
        <is>
          <t>Southland</t>
        </is>
      </c>
      <c r="AY102" s="288" t="n"/>
      <c r="AZ102" s="442" t="n"/>
      <c r="BD102" s="129" t="n"/>
    </row>
    <row r="103" hidden="1" ht="37" customHeight="1" thickBot="1">
      <c r="B103" s="3" t="n"/>
      <c r="C103" s="2" t="n"/>
      <c r="D103" s="136" t="inlineStr">
        <is>
          <t>B-ME8</t>
        </is>
      </c>
      <c r="E103" s="279" t="n"/>
      <c r="F103" s="280" t="n"/>
      <c r="G103" s="280" t="n"/>
      <c r="H103" s="280" t="n"/>
      <c r="I103" s="280" t="n"/>
      <c r="J103" s="280" t="n"/>
      <c r="K103" s="280" t="n"/>
      <c r="L103" s="280" t="n"/>
      <c r="M103" s="280" t="n"/>
      <c r="N103" s="280" t="n"/>
      <c r="O103" s="280" t="n"/>
      <c r="P103" s="280" t="n"/>
      <c r="Q103" s="280" t="n"/>
      <c r="R103" s="280" t="n"/>
      <c r="S103" s="280" t="n"/>
      <c r="T103" s="280" t="n"/>
      <c r="U103" s="280" t="n"/>
      <c r="V103" s="280" t="n"/>
      <c r="W103" s="280" t="n"/>
      <c r="X103" s="280" t="n"/>
      <c r="Y103" s="280" t="n"/>
      <c r="Z103" s="280" t="n"/>
      <c r="AA103" s="280" t="n"/>
      <c r="AB103" s="280" t="n"/>
      <c r="AC103" s="280" t="n"/>
      <c r="AD103" s="280" t="n"/>
      <c r="AE103" s="280" t="n"/>
      <c r="AF103" s="280" t="n"/>
      <c r="AG103" s="280" t="n"/>
      <c r="AH103" s="280" t="n"/>
      <c r="AI103" s="280" t="n"/>
      <c r="AJ103" s="280" t="n"/>
      <c r="AK103" s="280" t="n"/>
      <c r="AL103" s="280" t="n"/>
      <c r="AM103" s="280" t="n"/>
      <c r="AN103" s="280" t="n"/>
      <c r="AO103" s="280" t="n"/>
      <c r="AP103" s="280" t="n"/>
      <c r="AQ103" s="280" t="n"/>
      <c r="AR103" s="280" t="n"/>
      <c r="AS103" s="280" t="n"/>
      <c r="AT103" s="281" t="n"/>
      <c r="AU103" s="287" t="inlineStr">
        <is>
          <t>Process piping
CMC 1405.2.2
Pressure test</t>
        </is>
      </c>
      <c r="AV103" s="316" t="n"/>
      <c r="AW103" s="663" t="n"/>
      <c r="AX103" s="261" t="n"/>
      <c r="AY103" s="288" t="n"/>
      <c r="AZ103" s="4" t="n"/>
      <c r="BD103" s="129" t="n"/>
    </row>
    <row r="104" hidden="1" ht="37" customHeight="1" thickBot="1">
      <c r="B104" s="3" t="n"/>
      <c r="C104" s="2" t="n"/>
      <c r="D104" s="136" t="inlineStr">
        <is>
          <t>B-ME9</t>
        </is>
      </c>
      <c r="E104" s="279" t="n"/>
      <c r="F104" s="280" t="n"/>
      <c r="G104" s="280" t="n"/>
      <c r="H104" s="280" t="n"/>
      <c r="I104" s="280" t="n"/>
      <c r="J104" s="280" t="n"/>
      <c r="K104" s="280" t="n"/>
      <c r="L104" s="280" t="n"/>
      <c r="M104" s="280" t="n"/>
      <c r="N104" s="280" t="n"/>
      <c r="O104" s="280" t="n"/>
      <c r="P104" s="280" t="n"/>
      <c r="Q104" s="280" t="n"/>
      <c r="R104" s="280" t="n"/>
      <c r="S104" s="280" t="n"/>
      <c r="T104" s="280" t="n"/>
      <c r="U104" s="280" t="n"/>
      <c r="V104" s="280" t="n"/>
      <c r="W104" s="280" t="n"/>
      <c r="X104" s="280" t="n"/>
      <c r="Y104" s="280" t="n"/>
      <c r="Z104" s="280" t="n"/>
      <c r="AA104" s="280" t="n"/>
      <c r="AB104" s="280" t="n"/>
      <c r="AC104" s="280" t="n"/>
      <c r="AD104" s="280" t="n"/>
      <c r="AE104" s="280" t="n"/>
      <c r="AF104" s="280" t="n"/>
      <c r="AG104" s="280" t="n"/>
      <c r="AH104" s="280" t="n"/>
      <c r="AI104" s="280" t="n"/>
      <c r="AJ104" s="280" t="n"/>
      <c r="AK104" s="280" t="n"/>
      <c r="AL104" s="280" t="n"/>
      <c r="AM104" s="280" t="n"/>
      <c r="AN104" s="280" t="n"/>
      <c r="AO104" s="280" t="n"/>
      <c r="AP104" s="280" t="n"/>
      <c r="AQ104" s="280" t="n"/>
      <c r="AR104" s="280" t="n"/>
      <c r="AS104" s="280" t="n"/>
      <c r="AT104" s="281" t="n"/>
      <c r="AU104" s="287" t="inlineStr">
        <is>
          <t>Pre Demolition Air Balance
CMC 407.3.1
Pre-demolition Air Balance Test and Report</t>
        </is>
      </c>
      <c r="AV104" s="316" t="n"/>
      <c r="AW104" s="663" t="n"/>
      <c r="AX104" s="261" t="n"/>
      <c r="AY104" s="288" t="n"/>
      <c r="AZ104" s="4" t="n"/>
      <c r="BD104" s="129" t="n"/>
    </row>
    <row r="105" hidden="1" ht="37" customHeight="1" thickBot="1">
      <c r="B105" s="3" t="n"/>
      <c r="C105" s="2" t="n"/>
      <c r="D105" s="136" t="inlineStr">
        <is>
          <t>B-ME10</t>
        </is>
      </c>
      <c r="E105" s="279" t="n"/>
      <c r="F105" s="280" t="n"/>
      <c r="G105" s="280" t="n"/>
      <c r="H105" s="280" t="n"/>
      <c r="I105" s="280" t="n"/>
      <c r="J105" s="280" t="n"/>
      <c r="K105" s="280" t="n"/>
      <c r="L105" s="280" t="n"/>
      <c r="M105" s="280" t="n"/>
      <c r="N105" s="280" t="n"/>
      <c r="O105" s="280" t="n"/>
      <c r="P105" s="280" t="n"/>
      <c r="Q105" s="280" t="n"/>
      <c r="R105" s="280" t="n"/>
      <c r="S105" s="280" t="n"/>
      <c r="T105" s="280" t="n"/>
      <c r="U105" s="280" t="n"/>
      <c r="V105" s="280" t="n"/>
      <c r="W105" s="280" t="n"/>
      <c r="X105" s="280" t="n"/>
      <c r="Y105" s="280" t="n"/>
      <c r="Z105" s="280" t="n"/>
      <c r="AA105" s="280" t="n"/>
      <c r="AB105" s="280" t="n"/>
      <c r="AC105" s="280" t="n"/>
      <c r="AD105" s="280" t="n"/>
      <c r="AE105" s="280" t="n"/>
      <c r="AF105" s="280" t="n"/>
      <c r="AG105" s="280" t="n"/>
      <c r="AH105" s="280" t="n"/>
      <c r="AI105" s="280" t="n"/>
      <c r="AJ105" s="280" t="n"/>
      <c r="AK105" s="280" t="n"/>
      <c r="AL105" s="280" t="n"/>
      <c r="AM105" s="280" t="n"/>
      <c r="AN105" s="280" t="n"/>
      <c r="AO105" s="280" t="n"/>
      <c r="AP105" s="280" t="n"/>
      <c r="AQ105" s="280" t="n"/>
      <c r="AR105" s="280" t="n"/>
      <c r="AS105" s="280" t="n"/>
      <c r="AT105" s="281" t="n"/>
      <c r="AU105" s="287" t="inlineStr">
        <is>
          <t>Post Demolition Air Balance
CMC 407.3.1
Air Balance Test and Report</t>
        </is>
      </c>
      <c r="AV105" s="316" t="n"/>
      <c r="AW105" s="663" t="n"/>
      <c r="AX105" s="261" t="n"/>
      <c r="AY105" s="288" t="n"/>
      <c r="AZ105" s="4" t="n"/>
      <c r="BD105" s="129" t="n"/>
    </row>
    <row r="106" hidden="1" ht="37" customHeight="1" thickBot="1">
      <c r="B106" s="3" t="n"/>
      <c r="C106" s="2" t="n"/>
      <c r="D106" s="136" t="inlineStr">
        <is>
          <t>B-ME11</t>
        </is>
      </c>
      <c r="E106" s="279" t="n"/>
      <c r="F106" s="280" t="n"/>
      <c r="G106" s="280" t="n"/>
      <c r="H106" s="280" t="n"/>
      <c r="I106" s="280" t="n"/>
      <c r="J106" s="280" t="n"/>
      <c r="K106" s="280" t="n"/>
      <c r="L106" s="280" t="n"/>
      <c r="M106" s="280" t="n"/>
      <c r="N106" s="280" t="n"/>
      <c r="O106" s="280" t="n"/>
      <c r="P106" s="280" t="n"/>
      <c r="Q106" s="280" t="n"/>
      <c r="R106" s="280" t="n"/>
      <c r="S106" s="280" t="n"/>
      <c r="T106" s="280" t="n"/>
      <c r="U106" s="280" t="n"/>
      <c r="V106" s="280" t="n"/>
      <c r="W106" s="280" t="n"/>
      <c r="X106" s="280" t="n"/>
      <c r="Y106" s="280" t="n"/>
      <c r="Z106" s="280" t="n"/>
      <c r="AA106" s="280" t="n"/>
      <c r="AB106" s="280" t="n"/>
      <c r="AC106" s="280" t="n"/>
      <c r="AD106" s="280" t="n"/>
      <c r="AE106" s="280" t="n"/>
      <c r="AF106" s="280" t="n"/>
      <c r="AG106" s="280" t="n"/>
      <c r="AH106" s="280" t="n"/>
      <c r="AI106" s="280" t="n"/>
      <c r="AJ106" s="280" t="n"/>
      <c r="AK106" s="280" t="n"/>
      <c r="AL106" s="280" t="n"/>
      <c r="AM106" s="280" t="n"/>
      <c r="AN106" s="280" t="n"/>
      <c r="AO106" s="280" t="n"/>
      <c r="AP106" s="280" t="n"/>
      <c r="AQ106" s="280" t="n"/>
      <c r="AR106" s="280" t="n"/>
      <c r="AS106" s="280" t="n"/>
      <c r="AT106" s="281" t="n"/>
      <c r="AU106" s="287" t="inlineStr">
        <is>
          <t>Ventilation system Air Balance
CMC 407.3.1 &amp; Table 4-A
Areas tested and balanced</t>
        </is>
      </c>
      <c r="AV106" s="316" t="n"/>
      <c r="AW106" s="663" t="n"/>
      <c r="AX106" s="261" t="n"/>
      <c r="AY106" s="288" t="n"/>
      <c r="AZ106" s="4" t="n"/>
      <c r="BD106" s="129" t="n"/>
    </row>
    <row r="107" hidden="1" ht="37" customHeight="1" thickBot="1">
      <c r="B107" s="3" t="n"/>
      <c r="C107" s="2" t="n"/>
      <c r="D107" s="136" t="inlineStr">
        <is>
          <t>B-ME12</t>
        </is>
      </c>
      <c r="E107" s="279" t="n"/>
      <c r="F107" s="280" t="n"/>
      <c r="G107" s="280" t="n"/>
      <c r="H107" s="280" t="n"/>
      <c r="I107" s="280" t="n"/>
      <c r="J107" s="280" t="n"/>
      <c r="K107" s="280" t="n"/>
      <c r="L107" s="280" t="n"/>
      <c r="M107" s="280" t="n"/>
      <c r="N107" s="280" t="n"/>
      <c r="O107" s="280" t="n"/>
      <c r="P107" s="280" t="n"/>
      <c r="Q107" s="280" t="n"/>
      <c r="R107" s="280" t="n"/>
      <c r="S107" s="280" t="n"/>
      <c r="T107" s="280" t="n"/>
      <c r="U107" s="280" t="n"/>
      <c r="V107" s="280" t="n"/>
      <c r="W107" s="280" t="n"/>
      <c r="X107" s="280" t="n"/>
      <c r="Y107" s="280" t="n"/>
      <c r="Z107" s="280" t="n"/>
      <c r="AA107" s="280" t="n"/>
      <c r="AB107" s="280" t="n"/>
      <c r="AC107" s="280" t="n"/>
      <c r="AD107" s="280" t="n"/>
      <c r="AE107" s="280" t="n"/>
      <c r="AF107" s="280" t="n"/>
      <c r="AG107" s="280" t="n"/>
      <c r="AH107" s="280" t="n"/>
      <c r="AI107" s="280" t="n"/>
      <c r="AJ107" s="280" t="n"/>
      <c r="AK107" s="280" t="n"/>
      <c r="AL107" s="280" t="n"/>
      <c r="AM107" s="280" t="n"/>
      <c r="AN107" s="280" t="n"/>
      <c r="AO107" s="280" t="n"/>
      <c r="AP107" s="280" t="n"/>
      <c r="AQ107" s="280" t="n"/>
      <c r="AR107" s="280" t="n"/>
      <c r="AS107" s="280" t="n"/>
      <c r="AT107" s="281" t="n"/>
      <c r="AU107" s="287" t="inlineStr">
        <is>
          <t>Duct Leakage Test
CMC 603.10.1
SMACNA HVAC Air Duct Leakage Test</t>
        </is>
      </c>
      <c r="AV107" s="316" t="n"/>
      <c r="AW107" s="663" t="n"/>
      <c r="AX107" s="261" t="n"/>
      <c r="AY107" s="324" t="n"/>
      <c r="AZ107" s="4" t="n"/>
      <c r="BD107" s="129" t="n"/>
    </row>
    <row r="108" hidden="1" ht="37" customHeight="1" thickBot="1">
      <c r="B108" s="3" t="n"/>
      <c r="C108" s="2" t="n"/>
      <c r="D108" s="136" t="inlineStr">
        <is>
          <t>B-ME13</t>
        </is>
      </c>
      <c r="E108" s="279" t="n"/>
      <c r="F108" s="280" t="n"/>
      <c r="G108" s="280" t="n"/>
      <c r="H108" s="280" t="n"/>
      <c r="I108" s="280" t="n"/>
      <c r="J108" s="280" t="n"/>
      <c r="K108" s="280" t="n"/>
      <c r="L108" s="280" t="n"/>
      <c r="M108" s="280" t="n"/>
      <c r="N108" s="280" t="n"/>
      <c r="O108" s="280" t="n"/>
      <c r="P108" s="280" t="n"/>
      <c r="Q108" s="280" t="n"/>
      <c r="R108" s="280" t="n"/>
      <c r="S108" s="280" t="n"/>
      <c r="T108" s="280" t="n"/>
      <c r="U108" s="280" t="n"/>
      <c r="V108" s="280" t="n"/>
      <c r="W108" s="280" t="n"/>
      <c r="X108" s="280" t="n"/>
      <c r="Y108" s="280" t="n"/>
      <c r="Z108" s="280" t="n"/>
      <c r="AA108" s="280" t="n"/>
      <c r="AB108" s="280" t="n"/>
      <c r="AC108" s="280" t="n"/>
      <c r="AD108" s="280" t="n"/>
      <c r="AE108" s="280" t="n"/>
      <c r="AF108" s="280" t="n"/>
      <c r="AG108" s="280" t="n"/>
      <c r="AH108" s="280" t="n"/>
      <c r="AI108" s="280" t="n"/>
      <c r="AJ108" s="280" t="n"/>
      <c r="AK108" s="280" t="n"/>
      <c r="AL108" s="280" t="n"/>
      <c r="AM108" s="280" t="n"/>
      <c r="AN108" s="280" t="n"/>
      <c r="AO108" s="280" t="n"/>
      <c r="AP108" s="280" t="n"/>
      <c r="AQ108" s="280" t="n"/>
      <c r="AR108" s="280" t="n"/>
      <c r="AS108" s="280" t="n"/>
      <c r="AT108" s="281" t="n"/>
      <c r="AU108" s="287" t="inlineStr">
        <is>
          <t>Airborne Infection Isolation Rooms and Protective Environment Rooms
CMC 416.4 Alarm system test</t>
        </is>
      </c>
      <c r="AV108" s="316" t="n"/>
      <c r="AW108" s="663" t="n"/>
      <c r="AX108" s="261" t="n"/>
      <c r="AY108" s="288" t="n"/>
      <c r="AZ108" s="4" t="n"/>
      <c r="BD108" s="129" t="n"/>
    </row>
    <row r="109" hidden="1" ht="49" customHeight="1" thickBot="1">
      <c r="B109" s="3" t="n"/>
      <c r="C109" s="2" t="n"/>
      <c r="D109" s="136" t="inlineStr">
        <is>
          <t>B-ME14</t>
        </is>
      </c>
      <c r="E109" s="279" t="n"/>
      <c r="F109" s="280" t="n"/>
      <c r="G109" s="280" t="n"/>
      <c r="H109" s="280" t="n"/>
      <c r="I109" s="280" t="n"/>
      <c r="J109" s="280" t="n"/>
      <c r="K109" s="280" t="n"/>
      <c r="L109" s="280" t="n"/>
      <c r="M109" s="280" t="n"/>
      <c r="N109" s="280" t="n"/>
      <c r="O109" s="280" t="n"/>
      <c r="P109" s="280" t="n"/>
      <c r="Q109" s="280" t="n"/>
      <c r="R109" s="280" t="n"/>
      <c r="S109" s="280" t="n"/>
      <c r="T109" s="280" t="n"/>
      <c r="U109" s="280" t="n"/>
      <c r="V109" s="280" t="n"/>
      <c r="W109" s="280" t="n"/>
      <c r="X109" s="280" t="n"/>
      <c r="Y109" s="280" t="n"/>
      <c r="Z109" s="280" t="n"/>
      <c r="AA109" s="280" t="n"/>
      <c r="AB109" s="280" t="n"/>
      <c r="AC109" s="280" t="n"/>
      <c r="AD109" s="280" t="n"/>
      <c r="AE109" s="280" t="n"/>
      <c r="AF109" s="280" t="n"/>
      <c r="AG109" s="280" t="n"/>
      <c r="AH109" s="280" t="n"/>
      <c r="AI109" s="280" t="n"/>
      <c r="AJ109" s="280" t="n"/>
      <c r="AK109" s="280" t="n"/>
      <c r="AL109" s="280" t="n"/>
      <c r="AM109" s="280" t="n"/>
      <c r="AN109" s="280" t="n"/>
      <c r="AO109" s="280" t="n"/>
      <c r="AP109" s="280" t="n"/>
      <c r="AQ109" s="280" t="n"/>
      <c r="AR109" s="280" t="n"/>
      <c r="AS109" s="280" t="n"/>
      <c r="AT109" s="281" t="n"/>
      <c r="AU109" s="287" t="inlineStr">
        <is>
          <t>Airborne Infection Isolation Rooms and Protective Environment Rooms
CMC 417.0
Mechanical system tested and balanced</t>
        </is>
      </c>
      <c r="AV109" s="316" t="n"/>
      <c r="AW109" s="663" t="n"/>
      <c r="AX109" s="261" t="n"/>
      <c r="AY109" s="288" t="n"/>
      <c r="AZ109" s="4" t="n"/>
      <c r="BD109" s="126" t="n"/>
    </row>
    <row r="110" hidden="1" ht="35" customHeight="1" thickBot="1">
      <c r="B110" s="3" t="n"/>
      <c r="C110" s="2" t="n"/>
      <c r="D110" s="136" t="inlineStr">
        <is>
          <t>B-ME15</t>
        </is>
      </c>
      <c r="E110" s="279" t="n"/>
      <c r="F110" s="280" t="n"/>
      <c r="G110" s="280" t="n"/>
      <c r="H110" s="280" t="n"/>
      <c r="I110" s="280" t="n"/>
      <c r="J110" s="280" t="n"/>
      <c r="K110" s="280" t="n"/>
      <c r="L110" s="280" t="n"/>
      <c r="M110" s="280" t="n"/>
      <c r="N110" s="280" t="n"/>
      <c r="O110" s="280" t="n"/>
      <c r="P110" s="280" t="n"/>
      <c r="Q110" s="280" t="n"/>
      <c r="R110" s="280" t="n"/>
      <c r="S110" s="280" t="n"/>
      <c r="T110" s="280" t="n"/>
      <c r="U110" s="280" t="n"/>
      <c r="V110" s="280" t="n"/>
      <c r="W110" s="280" t="n"/>
      <c r="X110" s="280" t="n"/>
      <c r="Y110" s="280" t="n"/>
      <c r="Z110" s="280" t="n"/>
      <c r="AA110" s="280" t="n"/>
      <c r="AB110" s="280" t="n"/>
      <c r="AC110" s="280" t="n"/>
      <c r="AD110" s="280" t="n"/>
      <c r="AE110" s="280" t="n"/>
      <c r="AF110" s="280" t="n"/>
      <c r="AG110" s="280" t="n"/>
      <c r="AH110" s="280" t="n"/>
      <c r="AI110" s="280" t="n"/>
      <c r="AJ110" s="280" t="n"/>
      <c r="AK110" s="280" t="n"/>
      <c r="AL110" s="280" t="n"/>
      <c r="AM110" s="280" t="n"/>
      <c r="AN110" s="280" t="n"/>
      <c r="AO110" s="280" t="n"/>
      <c r="AP110" s="280" t="n"/>
      <c r="AQ110" s="280" t="n"/>
      <c r="AR110" s="280" t="n"/>
      <c r="AS110" s="280" t="n"/>
      <c r="AT110" s="281" t="n"/>
      <c r="AU110" s="325" t="n"/>
      <c r="AV110" s="663" t="n"/>
      <c r="AW110" s="663" t="n"/>
      <c r="AX110" s="264" t="n"/>
      <c r="AY110" s="288" t="n"/>
      <c r="AZ110" s="4" t="n"/>
      <c r="BD110" s="126" t="n"/>
    </row>
    <row r="111" hidden="1" ht="35" customHeight="1" thickBot="1">
      <c r="B111" s="3" t="n"/>
      <c r="C111" s="2" t="n"/>
      <c r="D111" s="136" t="inlineStr">
        <is>
          <t>B-ME16</t>
        </is>
      </c>
      <c r="E111" s="282" t="n"/>
      <c r="F111" s="283" t="n"/>
      <c r="G111" s="283" t="n"/>
      <c r="H111" s="283" t="n"/>
      <c r="I111" s="283" t="n"/>
      <c r="J111" s="283" t="n"/>
      <c r="K111" s="283" t="n"/>
      <c r="L111" s="283" t="n"/>
      <c r="M111" s="283" t="n"/>
      <c r="N111" s="283" t="n"/>
      <c r="O111" s="283" t="n"/>
      <c r="P111" s="283" t="n"/>
      <c r="Q111" s="283" t="n"/>
      <c r="R111" s="283" t="n"/>
      <c r="S111" s="283" t="n"/>
      <c r="T111" s="283" t="n"/>
      <c r="U111" s="283" t="n"/>
      <c r="V111" s="283" t="n"/>
      <c r="W111" s="283" t="n"/>
      <c r="X111" s="283" t="n"/>
      <c r="Y111" s="283" t="n"/>
      <c r="Z111" s="283" t="n"/>
      <c r="AA111" s="283" t="n"/>
      <c r="AB111" s="283" t="n"/>
      <c r="AC111" s="283" t="n"/>
      <c r="AD111" s="283" t="n"/>
      <c r="AE111" s="283" t="n"/>
      <c r="AF111" s="283" t="n"/>
      <c r="AG111" s="283" t="n"/>
      <c r="AH111" s="283" t="n"/>
      <c r="AI111" s="283" t="n"/>
      <c r="AJ111" s="283" t="n"/>
      <c r="AK111" s="283" t="n"/>
      <c r="AL111" s="283" t="n"/>
      <c r="AM111" s="283" t="n"/>
      <c r="AN111" s="283" t="n"/>
      <c r="AO111" s="283" t="n"/>
      <c r="AP111" s="283" t="n"/>
      <c r="AQ111" s="283" t="n"/>
      <c r="AR111" s="283" t="n"/>
      <c r="AS111" s="283" t="n"/>
      <c r="AT111" s="284" t="n"/>
      <c r="AU111" s="326" t="n"/>
      <c r="AV111" s="670" t="n"/>
      <c r="AW111" s="670" t="n"/>
      <c r="AX111" s="295" t="n"/>
      <c r="AY111" s="294" t="n"/>
      <c r="AZ111" s="4" t="n"/>
      <c r="BD111" s="126" t="n"/>
    </row>
    <row r="112" ht="18" customHeight="1" thickBot="1">
      <c r="A112" s="96" t="inlineStr">
        <is>
          <t>x4</t>
        </is>
      </c>
      <c r="B112" s="26" t="inlineStr">
        <is>
          <t>PLUMBING TESTS</t>
        </is>
      </c>
      <c r="C112" s="27" t="n"/>
      <c r="D112" s="27" t="n"/>
      <c r="E112" s="166" t="n"/>
      <c r="F112" s="166" t="n"/>
      <c r="G112" s="166" t="n"/>
      <c r="H112" s="166" t="n"/>
      <c r="I112" s="166" t="n"/>
      <c r="J112" s="166" t="n"/>
      <c r="K112" s="166" t="n"/>
      <c r="L112" s="166" t="n"/>
      <c r="M112" s="166" t="n"/>
      <c r="N112" s="166" t="n"/>
      <c r="O112" s="166" t="n"/>
      <c r="P112" s="166" t="n"/>
      <c r="Q112" s="166" t="n"/>
      <c r="R112" s="166" t="n"/>
      <c r="S112" s="166" t="n"/>
      <c r="T112" s="166" t="n"/>
      <c r="U112" s="166" t="n"/>
      <c r="V112" s="166" t="n"/>
      <c r="W112" s="166" t="n"/>
      <c r="X112" s="166" t="n"/>
      <c r="Y112" s="166" t="n"/>
      <c r="Z112" s="166" t="n"/>
      <c r="AA112" s="166" t="n"/>
      <c r="AB112" s="166" t="n"/>
      <c r="AC112" s="166" t="n"/>
      <c r="AD112" s="166" t="n"/>
      <c r="AE112" s="166" t="n"/>
      <c r="AF112" s="166" t="n"/>
      <c r="AG112" s="166" t="n"/>
      <c r="AH112" s="166" t="n"/>
      <c r="AI112" s="166" t="n"/>
      <c r="AJ112" s="166" t="n"/>
      <c r="AK112" s="166" t="n"/>
      <c r="AL112" s="166" t="n"/>
      <c r="AM112" s="166" t="n"/>
      <c r="AN112" s="166" t="n"/>
      <c r="AO112" s="166" t="n"/>
      <c r="AP112" s="166" t="n"/>
      <c r="AQ112" s="166" t="n"/>
      <c r="AR112" s="166" t="n"/>
      <c r="AS112" s="166" t="n"/>
      <c r="AT112" s="166" t="n"/>
      <c r="AU112" s="27" t="n"/>
      <c r="AV112" s="202" t="n"/>
      <c r="AW112" s="202" t="n"/>
      <c r="AX112" s="200" t="n"/>
      <c r="AY112" s="51" t="n"/>
      <c r="AZ112" s="28" t="n"/>
      <c r="BD112" s="126" t="n"/>
    </row>
    <row r="113" hidden="1" ht="25" customHeight="1" thickBot="1">
      <c r="B113" s="3" t="n"/>
      <c r="C113" s="2" t="n"/>
      <c r="D113" s="136" t="inlineStr">
        <is>
          <t>B-P1</t>
        </is>
      </c>
      <c r="E113" s="276" t="n"/>
      <c r="F113" s="277" t="n"/>
      <c r="G113" s="277" t="n"/>
      <c r="H113" s="277" t="n"/>
      <c r="I113" s="277" t="n"/>
      <c r="J113" s="277" t="n"/>
      <c r="K113" s="277" t="n"/>
      <c r="L113" s="277" t="n"/>
      <c r="M113" s="277" t="n"/>
      <c r="N113" s="277" t="n"/>
      <c r="O113" s="277" t="n"/>
      <c r="P113" s="277" t="n"/>
      <c r="Q113" s="277" t="n"/>
      <c r="R113" s="277" t="n"/>
      <c r="S113" s="277" t="n"/>
      <c r="T113" s="277" t="n"/>
      <c r="U113" s="277" t="n"/>
      <c r="V113" s="277" t="n"/>
      <c r="W113" s="277" t="n"/>
      <c r="X113" s="277" t="n"/>
      <c r="Y113" s="277" t="n"/>
      <c r="Z113" s="277" t="n"/>
      <c r="AA113" s="277" t="n"/>
      <c r="AB113" s="277" t="n"/>
      <c r="AC113" s="277" t="n"/>
      <c r="AD113" s="277" t="n"/>
      <c r="AE113" s="277" t="n"/>
      <c r="AF113" s="277" t="n"/>
      <c r="AG113" s="277" t="n"/>
      <c r="AH113" s="277" t="n"/>
      <c r="AI113" s="277" t="n"/>
      <c r="AJ113" s="277" t="n"/>
      <c r="AK113" s="277" t="n"/>
      <c r="AL113" s="277" t="n"/>
      <c r="AM113" s="277" t="n"/>
      <c r="AN113" s="277" t="n"/>
      <c r="AO113" s="277" t="n"/>
      <c r="AP113" s="277" t="n"/>
      <c r="AQ113" s="277" t="n"/>
      <c r="AR113" s="277" t="n"/>
      <c r="AS113" s="277" t="n"/>
      <c r="AT113" s="278" t="n"/>
      <c r="AU113" s="285" t="inlineStr">
        <is>
          <t>Disinfection of potable water systems
CPC 609.9</t>
        </is>
      </c>
      <c r="AV113" s="327" t="n"/>
      <c r="AW113" s="664" t="n"/>
      <c r="AX113" s="259" t="n"/>
      <c r="AY113" s="286" t="n"/>
      <c r="AZ113" s="67" t="n"/>
      <c r="BD113" s="129" t="n"/>
    </row>
    <row r="114" hidden="1" ht="37" customHeight="1" thickBot="1">
      <c r="B114" s="3" t="n"/>
      <c r="C114" s="2" t="n"/>
      <c r="D114" s="136" t="inlineStr">
        <is>
          <t>B-P2</t>
        </is>
      </c>
      <c r="E114" s="279" t="n"/>
      <c r="F114" s="280" t="n"/>
      <c r="G114" s="280" t="n"/>
      <c r="H114" s="280" t="n"/>
      <c r="I114" s="280" t="n"/>
      <c r="J114" s="280" t="n"/>
      <c r="K114" s="280" t="n"/>
      <c r="L114" s="280" t="n"/>
      <c r="M114" s="280" t="n"/>
      <c r="N114" s="280" t="n"/>
      <c r="O114" s="280" t="n"/>
      <c r="P114" s="280" t="n"/>
      <c r="Q114" s="280" t="n"/>
      <c r="R114" s="280" t="n"/>
      <c r="S114" s="280" t="n"/>
      <c r="T114" s="280" t="n"/>
      <c r="U114" s="280" t="n"/>
      <c r="V114" s="280" t="n"/>
      <c r="W114" s="280" t="n"/>
      <c r="X114" s="280" t="n"/>
      <c r="Y114" s="280" t="n"/>
      <c r="Z114" s="280" t="n"/>
      <c r="AA114" s="280" t="n"/>
      <c r="AB114" s="280" t="n"/>
      <c r="AC114" s="280" t="n"/>
      <c r="AD114" s="280" t="n"/>
      <c r="AE114" s="280" t="n"/>
      <c r="AF114" s="280" t="n"/>
      <c r="AG114" s="280" t="n"/>
      <c r="AH114" s="280" t="n"/>
      <c r="AI114" s="280" t="n"/>
      <c r="AJ114" s="280" t="n"/>
      <c r="AK114" s="280" t="n"/>
      <c r="AL114" s="280" t="n"/>
      <c r="AM114" s="280" t="n"/>
      <c r="AN114" s="280" t="n"/>
      <c r="AO114" s="280" t="n"/>
      <c r="AP114" s="280" t="n"/>
      <c r="AQ114" s="280" t="n"/>
      <c r="AR114" s="280" t="n"/>
      <c r="AS114" s="280" t="n"/>
      <c r="AT114" s="281" t="n"/>
      <c r="AU114" s="289" t="inlineStr">
        <is>
          <t>Medical gas and vacuum
NFPA  99-2018 § 5.1.12
Gas and vacuum system performance testing</t>
        </is>
      </c>
      <c r="AV114" s="316" t="n"/>
      <c r="AW114" s="663" t="n"/>
      <c r="AX114" s="261" t="n"/>
      <c r="AY114" s="288" t="n"/>
      <c r="AZ114" s="4" t="n"/>
      <c r="BD114" s="129" t="n"/>
    </row>
    <row r="115" hidden="1" ht="37" customHeight="1" thickBot="1">
      <c r="B115" s="3" t="n"/>
      <c r="C115" s="2" t="n"/>
      <c r="D115" s="136" t="inlineStr">
        <is>
          <t>B-P3</t>
        </is>
      </c>
      <c r="E115" s="279" t="n"/>
      <c r="F115" s="280" t="n"/>
      <c r="G115" s="280" t="n"/>
      <c r="H115" s="280" t="n"/>
      <c r="I115" s="280" t="n"/>
      <c r="J115" s="280" t="n"/>
      <c r="K115" s="280" t="n"/>
      <c r="L115" s="280" t="n"/>
      <c r="M115" s="280" t="n"/>
      <c r="N115" s="280" t="n"/>
      <c r="O115" s="280" t="n"/>
      <c r="P115" s="280" t="n"/>
      <c r="Q115" s="280" t="n"/>
      <c r="R115" s="280" t="n"/>
      <c r="S115" s="280" t="n"/>
      <c r="T115" s="280" t="n"/>
      <c r="U115" s="280" t="n"/>
      <c r="V115" s="280" t="n"/>
      <c r="W115" s="280" t="n"/>
      <c r="X115" s="280" t="n"/>
      <c r="Y115" s="280" t="n"/>
      <c r="Z115" s="280" t="n"/>
      <c r="AA115" s="280" t="n"/>
      <c r="AB115" s="280" t="n"/>
      <c r="AC115" s="280" t="n"/>
      <c r="AD115" s="280" t="n"/>
      <c r="AE115" s="280" t="n"/>
      <c r="AF115" s="280" t="n"/>
      <c r="AG115" s="280" t="n"/>
      <c r="AH115" s="280" t="n"/>
      <c r="AI115" s="280" t="n"/>
      <c r="AJ115" s="280" t="n"/>
      <c r="AK115" s="280" t="n"/>
      <c r="AL115" s="280" t="n"/>
      <c r="AM115" s="280" t="n"/>
      <c r="AN115" s="280" t="n"/>
      <c r="AO115" s="280" t="n"/>
      <c r="AP115" s="280" t="n"/>
      <c r="AQ115" s="280" t="n"/>
      <c r="AR115" s="280" t="n"/>
      <c r="AS115" s="280" t="n"/>
      <c r="AT115" s="281" t="n"/>
      <c r="AU115" s="289" t="inlineStr">
        <is>
          <t>Medical gas and vacuum
NFPA  99-2018 § 5.1.12
Gas and vacuum system verifcation testing</t>
        </is>
      </c>
      <c r="AV115" s="316" t="n"/>
      <c r="AW115" s="663" t="n"/>
      <c r="AX115" s="261" t="n"/>
      <c r="AY115" s="288" t="n"/>
      <c r="AZ115" s="4" t="n"/>
      <c r="BD115" s="129" t="n"/>
    </row>
    <row r="116" hidden="1" ht="37" customHeight="1" thickBot="1">
      <c r="B116" s="3" t="n"/>
      <c r="C116" s="2" t="n"/>
      <c r="D116" s="136" t="inlineStr">
        <is>
          <t>B-P4</t>
        </is>
      </c>
      <c r="E116" s="279" t="n"/>
      <c r="F116" s="280" t="n"/>
      <c r="G116" s="280" t="n"/>
      <c r="H116" s="280" t="n"/>
      <c r="I116" s="280" t="n"/>
      <c r="J116" s="280" t="n"/>
      <c r="K116" s="280" t="n"/>
      <c r="L116" s="280" t="n"/>
      <c r="M116" s="280" t="n"/>
      <c r="N116" s="280" t="n"/>
      <c r="O116" s="280" t="n"/>
      <c r="P116" s="280" t="n"/>
      <c r="Q116" s="280" t="n"/>
      <c r="R116" s="280" t="n"/>
      <c r="S116" s="280" t="n"/>
      <c r="T116" s="280" t="n"/>
      <c r="U116" s="280" t="n"/>
      <c r="V116" s="280" t="n"/>
      <c r="W116" s="280" t="n"/>
      <c r="X116" s="280" t="n"/>
      <c r="Y116" s="280" t="n"/>
      <c r="Z116" s="280" t="n"/>
      <c r="AA116" s="280" t="n"/>
      <c r="AB116" s="280" t="n"/>
      <c r="AC116" s="280" t="n"/>
      <c r="AD116" s="280" t="n"/>
      <c r="AE116" s="280" t="n"/>
      <c r="AF116" s="280" t="n"/>
      <c r="AG116" s="280" t="n"/>
      <c r="AH116" s="280" t="n"/>
      <c r="AI116" s="280" t="n"/>
      <c r="AJ116" s="280" t="n"/>
      <c r="AK116" s="280" t="n"/>
      <c r="AL116" s="280" t="n"/>
      <c r="AM116" s="280" t="n"/>
      <c r="AN116" s="280" t="n"/>
      <c r="AO116" s="280" t="n"/>
      <c r="AP116" s="280" t="n"/>
      <c r="AQ116" s="280" t="n"/>
      <c r="AR116" s="280" t="n"/>
      <c r="AS116" s="280" t="n"/>
      <c r="AT116" s="281" t="n"/>
      <c r="AU116" s="289" t="inlineStr">
        <is>
          <t>Existing sewers and drains
CPC 102.4.1, 105.3, 105.3.2, &amp; 712.0
Tested for conformance with requirements for new work</t>
        </is>
      </c>
      <c r="AV116" s="316" t="n"/>
      <c r="AW116" s="663" t="n"/>
      <c r="AX116" s="261" t="n"/>
      <c r="AY116" s="288" t="n"/>
      <c r="AZ116" s="4" t="n"/>
      <c r="BD116" s="129" t="n"/>
    </row>
    <row r="117" hidden="1" ht="37" customHeight="1" thickBot="1">
      <c r="B117" s="3" t="n"/>
      <c r="C117" s="2" t="n"/>
      <c r="D117" s="136" t="inlineStr">
        <is>
          <t>B-P5</t>
        </is>
      </c>
      <c r="E117" s="279" t="n"/>
      <c r="F117" s="280" t="n"/>
      <c r="G117" s="280" t="n"/>
      <c r="H117" s="280" t="n"/>
      <c r="I117" s="280" t="n"/>
      <c r="J117" s="280" t="n"/>
      <c r="K117" s="280" t="n"/>
      <c r="L117" s="280" t="n"/>
      <c r="M117" s="280" t="n"/>
      <c r="N117" s="280" t="n"/>
      <c r="O117" s="280" t="n"/>
      <c r="P117" s="280" t="n"/>
      <c r="Q117" s="280" t="n"/>
      <c r="R117" s="280" t="n"/>
      <c r="S117" s="280" t="n"/>
      <c r="T117" s="280" t="n"/>
      <c r="U117" s="280" t="n"/>
      <c r="V117" s="280" t="n"/>
      <c r="W117" s="280" t="n"/>
      <c r="X117" s="280" t="n"/>
      <c r="Y117" s="280" t="n"/>
      <c r="Z117" s="280" t="n"/>
      <c r="AA117" s="280" t="n"/>
      <c r="AB117" s="280" t="n"/>
      <c r="AC117" s="280" t="n"/>
      <c r="AD117" s="280" t="n"/>
      <c r="AE117" s="280" t="n"/>
      <c r="AF117" s="280" t="n"/>
      <c r="AG117" s="280" t="n"/>
      <c r="AH117" s="280" t="n"/>
      <c r="AI117" s="280" t="n"/>
      <c r="AJ117" s="280" t="n"/>
      <c r="AK117" s="280" t="n"/>
      <c r="AL117" s="280" t="n"/>
      <c r="AM117" s="280" t="n"/>
      <c r="AN117" s="280" t="n"/>
      <c r="AO117" s="280" t="n"/>
      <c r="AP117" s="280" t="n"/>
      <c r="AQ117" s="280" t="n"/>
      <c r="AR117" s="280" t="n"/>
      <c r="AS117" s="280" t="n"/>
      <c r="AT117" s="281" t="n"/>
      <c r="AU117" s="289" t="inlineStr">
        <is>
          <t>Water supply system
CPC 105.3, 105.3.2,  &amp; 609.4
Pressure tested prior to covering or concealment</t>
        </is>
      </c>
      <c r="AV117" s="316" t="n"/>
      <c r="AW117" s="663" t="n"/>
      <c r="AX117" s="261" t="n"/>
      <c r="AY117" s="288" t="n"/>
      <c r="AZ117" s="4" t="n"/>
      <c r="BD117" s="129" t="n"/>
    </row>
    <row r="118" ht="49" customHeight="1" thickBot="1">
      <c r="B118" s="3" t="n"/>
      <c r="C118" s="2" t="n"/>
      <c r="D118" s="136" t="inlineStr">
        <is>
          <t>B-P6</t>
        </is>
      </c>
      <c r="E118" s="279" t="n"/>
      <c r="F118" s="280" t="n"/>
      <c r="G118" s="280" t="n"/>
      <c r="H118" s="280" t="n"/>
      <c r="I118" s="280" t="n"/>
      <c r="J118" s="280" t="inlineStr">
        <is>
          <t>X</t>
        </is>
      </c>
      <c r="K118" s="280" t="n"/>
      <c r="L118" s="280" t="n"/>
      <c r="M118" s="280" t="n"/>
      <c r="N118" s="280" t="n"/>
      <c r="O118" s="280" t="n"/>
      <c r="P118" s="280" t="n"/>
      <c r="Q118" s="280" t="n"/>
      <c r="R118" s="280" t="n"/>
      <c r="S118" s="280" t="n"/>
      <c r="T118" s="280" t="inlineStr">
        <is>
          <t>X</t>
        </is>
      </c>
      <c r="U118" s="280" t="n"/>
      <c r="V118" s="280" t="n"/>
      <c r="W118" s="280" t="n"/>
      <c r="X118" s="280" t="n"/>
      <c r="Y118" s="280" t="n"/>
      <c r="Z118" s="280" t="n"/>
      <c r="AA118" s="280" t="n"/>
      <c r="AB118" s="280" t="n"/>
      <c r="AC118" s="280" t="n"/>
      <c r="AD118" s="280" t="n"/>
      <c r="AE118" s="280" t="n"/>
      <c r="AF118" s="280" t="n"/>
      <c r="AG118" s="280" t="n"/>
      <c r="AH118" s="280" t="n"/>
      <c r="AI118" s="280" t="n"/>
      <c r="AJ118" s="280" t="n"/>
      <c r="AK118" s="280" t="n"/>
      <c r="AL118" s="280" t="n"/>
      <c r="AM118" s="280" t="n"/>
      <c r="AN118" s="320" t="inlineStr">
        <is>
          <t>X</t>
        </is>
      </c>
      <c r="AO118" s="320" t="n"/>
      <c r="AP118" s="320" t="inlineStr">
        <is>
          <t>X</t>
        </is>
      </c>
      <c r="AQ118" s="320" t="n"/>
      <c r="AR118" s="320" t="inlineStr">
        <is>
          <t>X</t>
        </is>
      </c>
      <c r="AS118" s="320" t="n"/>
      <c r="AT118" s="321" t="n"/>
      <c r="AU118" s="289" t="inlineStr">
        <is>
          <t>Plumbing, drainage, and venting systems
CPC 105.3, 105.3.2, &amp; 712.0
Water or air tested prior to use, covering or concealment. No air test for plastic piping.</t>
        </is>
      </c>
      <c r="AV118" s="316" t="inlineStr">
        <is>
          <t>X</t>
        </is>
      </c>
      <c r="AW118" s="663" t="n"/>
      <c r="AX118" s="261" t="inlineStr">
        <is>
          <t>Southland</t>
        </is>
      </c>
      <c r="AY118" s="288" t="n"/>
      <c r="AZ118" s="442" t="n"/>
      <c r="BD118" s="129" t="n"/>
    </row>
    <row r="119" hidden="1" ht="49" customHeight="1" thickBot="1">
      <c r="B119" s="3" t="n"/>
      <c r="C119" s="2" t="n"/>
      <c r="D119" s="136" t="inlineStr">
        <is>
          <t>B-P7</t>
        </is>
      </c>
      <c r="E119" s="279" t="n"/>
      <c r="F119" s="280" t="n"/>
      <c r="G119" s="280" t="n"/>
      <c r="H119" s="280" t="n"/>
      <c r="I119" s="280" t="n"/>
      <c r="J119" s="280" t="n"/>
      <c r="K119" s="280" t="n"/>
      <c r="L119" s="280" t="n"/>
      <c r="M119" s="280" t="n"/>
      <c r="N119" s="280" t="n"/>
      <c r="O119" s="280" t="n"/>
      <c r="P119" s="280" t="n"/>
      <c r="Q119" s="280" t="n"/>
      <c r="R119" s="280" t="n"/>
      <c r="S119" s="280" t="n"/>
      <c r="T119" s="280" t="n"/>
      <c r="U119" s="280" t="n"/>
      <c r="V119" s="280" t="n"/>
      <c r="W119" s="280" t="n"/>
      <c r="X119" s="280" t="n"/>
      <c r="Y119" s="280" t="n"/>
      <c r="Z119" s="280" t="n"/>
      <c r="AA119" s="280" t="n"/>
      <c r="AB119" s="280" t="n"/>
      <c r="AC119" s="280" t="n"/>
      <c r="AD119" s="280" t="n"/>
      <c r="AE119" s="280" t="n"/>
      <c r="AF119" s="280" t="n"/>
      <c r="AG119" s="280" t="n"/>
      <c r="AH119" s="280" t="n"/>
      <c r="AI119" s="280" t="n"/>
      <c r="AJ119" s="280" t="n"/>
      <c r="AK119" s="280" t="n"/>
      <c r="AL119" s="280" t="n"/>
      <c r="AM119" s="280" t="n"/>
      <c r="AN119" s="280" t="n"/>
      <c r="AO119" s="280" t="n"/>
      <c r="AP119" s="280" t="n"/>
      <c r="AQ119" s="280" t="n"/>
      <c r="AR119" s="280" t="n"/>
      <c r="AS119" s="280" t="n"/>
      <c r="AT119" s="281" t="n"/>
      <c r="AU119" s="289" t="inlineStr">
        <is>
          <t>Building sewer
CPC 105.3, 105.3.2, 712.0 &amp; 723.0
Water or air tested prior to use, covering or concealment. No air test for plastic piping.</t>
        </is>
      </c>
      <c r="AV119" s="316" t="n"/>
      <c r="AW119" s="663" t="n"/>
      <c r="AX119" s="261" t="n"/>
      <c r="AY119" s="288" t="n"/>
      <c r="AZ119" s="4" t="n"/>
      <c r="BD119" s="129" t="n"/>
    </row>
    <row r="120" hidden="1" ht="37" customHeight="1" thickBot="1">
      <c r="B120" s="3" t="n"/>
      <c r="C120" s="2" t="n"/>
      <c r="D120" s="136" t="inlineStr">
        <is>
          <t>B-P8</t>
        </is>
      </c>
      <c r="E120" s="279" t="n"/>
      <c r="F120" s="280" t="n"/>
      <c r="G120" s="280" t="n"/>
      <c r="H120" s="280" t="n"/>
      <c r="I120" s="280" t="n"/>
      <c r="J120" s="280" t="n"/>
      <c r="K120" s="280" t="n"/>
      <c r="L120" s="280" t="n"/>
      <c r="M120" s="280" t="n"/>
      <c r="N120" s="280" t="n"/>
      <c r="O120" s="280" t="n"/>
      <c r="P120" s="280" t="n"/>
      <c r="Q120" s="280" t="n"/>
      <c r="R120" s="280" t="n"/>
      <c r="S120" s="280" t="n"/>
      <c r="T120" s="280" t="n"/>
      <c r="U120" s="280" t="n"/>
      <c r="V120" s="280" t="n"/>
      <c r="W120" s="280" t="n"/>
      <c r="X120" s="280" t="n"/>
      <c r="Y120" s="280" t="n"/>
      <c r="Z120" s="280" t="n"/>
      <c r="AA120" s="280" t="n"/>
      <c r="AB120" s="280" t="n"/>
      <c r="AC120" s="280" t="n"/>
      <c r="AD120" s="280" t="n"/>
      <c r="AE120" s="280" t="n"/>
      <c r="AF120" s="280" t="n"/>
      <c r="AG120" s="280" t="n"/>
      <c r="AH120" s="280" t="n"/>
      <c r="AI120" s="280" t="n"/>
      <c r="AJ120" s="280" t="n"/>
      <c r="AK120" s="280" t="n"/>
      <c r="AL120" s="280" t="n"/>
      <c r="AM120" s="280" t="n"/>
      <c r="AN120" s="280" t="n"/>
      <c r="AO120" s="280" t="n"/>
      <c r="AP120" s="280" t="n"/>
      <c r="AQ120" s="280" t="n"/>
      <c r="AR120" s="280" t="n"/>
      <c r="AS120" s="280" t="n"/>
      <c r="AT120" s="281" t="n"/>
      <c r="AU120" s="289" t="inlineStr">
        <is>
          <t>Storm drain piping
CPC 1107.1
Water or air tested prior to use, covering or concealment</t>
        </is>
      </c>
      <c r="AV120" s="316" t="n"/>
      <c r="AW120" s="663" t="n"/>
      <c r="AX120" s="261" t="n"/>
      <c r="AY120" s="288" t="n"/>
      <c r="AZ120" s="4" t="n"/>
      <c r="BD120" s="129" t="n"/>
    </row>
    <row r="121" hidden="1" ht="49" customHeight="1" thickBot="1">
      <c r="B121" s="3" t="n"/>
      <c r="C121" s="2" t="n"/>
      <c r="D121" s="136" t="inlineStr">
        <is>
          <t>B-P9</t>
        </is>
      </c>
      <c r="E121" s="279" t="n"/>
      <c r="F121" s="280" t="n"/>
      <c r="G121" s="280" t="n"/>
      <c r="H121" s="280" t="n"/>
      <c r="I121" s="280" t="n"/>
      <c r="J121" s="280" t="n"/>
      <c r="K121" s="280" t="n"/>
      <c r="L121" s="280" t="n"/>
      <c r="M121" s="280" t="n"/>
      <c r="N121" s="280" t="n"/>
      <c r="O121" s="280" t="n"/>
      <c r="P121" s="280" t="n"/>
      <c r="Q121" s="280" t="n"/>
      <c r="R121" s="280" t="n"/>
      <c r="S121" s="280" t="n"/>
      <c r="T121" s="280" t="n"/>
      <c r="U121" s="280" t="n"/>
      <c r="V121" s="280" t="n"/>
      <c r="W121" s="280" t="n"/>
      <c r="X121" s="280" t="n"/>
      <c r="Y121" s="280" t="n"/>
      <c r="Z121" s="280" t="n"/>
      <c r="AA121" s="280" t="n"/>
      <c r="AB121" s="280" t="n"/>
      <c r="AC121" s="280" t="n"/>
      <c r="AD121" s="280" t="n"/>
      <c r="AE121" s="280" t="n"/>
      <c r="AF121" s="280" t="n"/>
      <c r="AG121" s="280" t="n"/>
      <c r="AH121" s="280" t="n"/>
      <c r="AI121" s="280" t="n"/>
      <c r="AJ121" s="280" t="n"/>
      <c r="AK121" s="280" t="n"/>
      <c r="AL121" s="280" t="n"/>
      <c r="AM121" s="280" t="n"/>
      <c r="AN121" s="280" t="n"/>
      <c r="AO121" s="280" t="n"/>
      <c r="AP121" s="280" t="n"/>
      <c r="AQ121" s="280" t="n"/>
      <c r="AR121" s="280" t="n"/>
      <c r="AS121" s="280" t="n"/>
      <c r="AT121" s="281" t="n"/>
      <c r="AU121" s="287" t="inlineStr">
        <is>
          <t>Fuel piping
CPC 1213.0
Air, CO2 or nitrogen tested prior to use, covering or concealment</t>
        </is>
      </c>
      <c r="AV121" s="316" t="n"/>
      <c r="AW121" s="663" t="n"/>
      <c r="AX121" s="261" t="n"/>
      <c r="AY121" s="288" t="n"/>
      <c r="AZ121" s="4" t="n"/>
      <c r="BD121" s="129" t="n"/>
    </row>
    <row r="122" hidden="1" ht="37" customHeight="1" thickBot="1">
      <c r="B122" s="3" t="n"/>
      <c r="C122" s="2" t="n"/>
      <c r="D122" s="136" t="inlineStr">
        <is>
          <t>B-P10</t>
        </is>
      </c>
      <c r="E122" s="279" t="n"/>
      <c r="F122" s="280" t="n"/>
      <c r="G122" s="280" t="n"/>
      <c r="H122" s="280" t="n"/>
      <c r="I122" s="280" t="n"/>
      <c r="J122" s="280" t="n"/>
      <c r="K122" s="280" t="n"/>
      <c r="L122" s="280" t="n"/>
      <c r="M122" s="280" t="n"/>
      <c r="N122" s="280" t="n"/>
      <c r="O122" s="280" t="n"/>
      <c r="P122" s="280" t="n"/>
      <c r="Q122" s="280" t="n"/>
      <c r="R122" s="280" t="n"/>
      <c r="S122" s="280" t="n"/>
      <c r="T122" s="280" t="n"/>
      <c r="U122" s="280" t="n"/>
      <c r="V122" s="280" t="n"/>
      <c r="W122" s="280" t="n"/>
      <c r="X122" s="280" t="n"/>
      <c r="Y122" s="280" t="n"/>
      <c r="Z122" s="280" t="n"/>
      <c r="AA122" s="280" t="n"/>
      <c r="AB122" s="280" t="n"/>
      <c r="AC122" s="280" t="n"/>
      <c r="AD122" s="280" t="n"/>
      <c r="AE122" s="280" t="n"/>
      <c r="AF122" s="280" t="n"/>
      <c r="AG122" s="280" t="n"/>
      <c r="AH122" s="280" t="n"/>
      <c r="AI122" s="280" t="n"/>
      <c r="AJ122" s="280" t="n"/>
      <c r="AK122" s="280" t="n"/>
      <c r="AL122" s="280" t="n"/>
      <c r="AM122" s="280" t="n"/>
      <c r="AN122" s="280" t="n"/>
      <c r="AO122" s="280" t="n"/>
      <c r="AP122" s="280" t="n"/>
      <c r="AQ122" s="280" t="n"/>
      <c r="AR122" s="280" t="n"/>
      <c r="AS122" s="280" t="n"/>
      <c r="AT122" s="281" t="n"/>
      <c r="AU122" s="289" t="inlineStr">
        <is>
          <t>Private sewer disposal system
CPC 105.0, 105.3.2, &amp; CPC Appendix H H1001.2
Tested prior to use, covering or concealment</t>
        </is>
      </c>
      <c r="AV122" s="316" t="n"/>
      <c r="AW122" s="663" t="n"/>
      <c r="AX122" s="261" t="n"/>
      <c r="AY122" s="288" t="n"/>
      <c r="AZ122" s="4" t="n"/>
      <c r="BD122" s="129" t="n"/>
    </row>
    <row r="123" hidden="1" ht="37" customHeight="1" thickBot="1">
      <c r="B123" s="3" t="n"/>
      <c r="C123" s="2" t="n"/>
      <c r="D123" s="136" t="inlineStr">
        <is>
          <t>B-P11</t>
        </is>
      </c>
      <c r="E123" s="279" t="n"/>
      <c r="F123" s="280" t="n"/>
      <c r="G123" s="280" t="n"/>
      <c r="H123" s="280" t="n"/>
      <c r="I123" s="280" t="n"/>
      <c r="J123" s="280" t="n"/>
      <c r="K123" s="280" t="n"/>
      <c r="L123" s="280" t="n"/>
      <c r="M123" s="280" t="n"/>
      <c r="N123" s="280" t="n"/>
      <c r="O123" s="280" t="n"/>
      <c r="P123" s="280" t="n"/>
      <c r="Q123" s="280" t="n"/>
      <c r="R123" s="280" t="n"/>
      <c r="S123" s="280" t="n"/>
      <c r="T123" s="280" t="n"/>
      <c r="U123" s="280" t="n"/>
      <c r="V123" s="280" t="n"/>
      <c r="W123" s="280" t="n"/>
      <c r="X123" s="280" t="n"/>
      <c r="Y123" s="280" t="n"/>
      <c r="Z123" s="280" t="n"/>
      <c r="AA123" s="280" t="n"/>
      <c r="AB123" s="280" t="n"/>
      <c r="AC123" s="280" t="n"/>
      <c r="AD123" s="280" t="n"/>
      <c r="AE123" s="280" t="n"/>
      <c r="AF123" s="280" t="n"/>
      <c r="AG123" s="280" t="n"/>
      <c r="AH123" s="280" t="n"/>
      <c r="AI123" s="280" t="n"/>
      <c r="AJ123" s="280" t="n"/>
      <c r="AK123" s="280" t="n"/>
      <c r="AL123" s="280" t="n"/>
      <c r="AM123" s="280" t="n"/>
      <c r="AN123" s="280" t="n"/>
      <c r="AO123" s="280" t="n"/>
      <c r="AP123" s="280" t="n"/>
      <c r="AQ123" s="280" t="n"/>
      <c r="AR123" s="280" t="n"/>
      <c r="AS123" s="280" t="n"/>
      <c r="AT123" s="281" t="n"/>
      <c r="AU123" s="287" t="inlineStr">
        <is>
          <t>Protectively coated pipe
CPC 312.5
Tested for voids, damage and imperfections</t>
        </is>
      </c>
      <c r="AV123" s="316" t="n"/>
      <c r="AW123" s="663" t="n"/>
      <c r="AX123" s="261" t="n"/>
      <c r="AY123" s="288" t="n"/>
      <c r="AZ123" s="4" t="n"/>
      <c r="BD123" s="129" t="n"/>
    </row>
    <row r="124" hidden="1" ht="37" customHeight="1" thickBot="1">
      <c r="B124" s="3" t="n"/>
      <c r="C124" s="2" t="n"/>
      <c r="D124" s="136" t="inlineStr">
        <is>
          <t>B-P12</t>
        </is>
      </c>
      <c r="E124" s="279" t="n"/>
      <c r="F124" s="280" t="n"/>
      <c r="G124" s="280" t="n"/>
      <c r="H124" s="280" t="n"/>
      <c r="I124" s="280" t="n"/>
      <c r="J124" s="280" t="n"/>
      <c r="K124" s="280" t="n"/>
      <c r="L124" s="280" t="n"/>
      <c r="M124" s="280" t="n"/>
      <c r="N124" s="280" t="n"/>
      <c r="O124" s="280" t="n"/>
      <c r="P124" s="280" t="n"/>
      <c r="Q124" s="280" t="n"/>
      <c r="R124" s="280" t="n"/>
      <c r="S124" s="280" t="n"/>
      <c r="T124" s="280" t="n"/>
      <c r="U124" s="280" t="n"/>
      <c r="V124" s="280" t="n"/>
      <c r="W124" s="280" t="n"/>
      <c r="X124" s="280" t="n"/>
      <c r="Y124" s="280" t="n"/>
      <c r="Z124" s="280" t="n"/>
      <c r="AA124" s="280" t="n"/>
      <c r="AB124" s="280" t="n"/>
      <c r="AC124" s="280" t="n"/>
      <c r="AD124" s="280" t="n"/>
      <c r="AE124" s="280" t="n"/>
      <c r="AF124" s="280" t="n"/>
      <c r="AG124" s="280" t="n"/>
      <c r="AH124" s="280" t="n"/>
      <c r="AI124" s="280" t="n"/>
      <c r="AJ124" s="280" t="n"/>
      <c r="AK124" s="280" t="n"/>
      <c r="AL124" s="280" t="n"/>
      <c r="AM124" s="280" t="n"/>
      <c r="AN124" s="280" t="n"/>
      <c r="AO124" s="280" t="n"/>
      <c r="AP124" s="280" t="n"/>
      <c r="AQ124" s="280" t="n"/>
      <c r="AR124" s="280" t="n"/>
      <c r="AS124" s="280" t="n"/>
      <c r="AT124" s="281" t="n"/>
      <c r="AU124" s="289" t="inlineStr">
        <is>
          <t>Defective systems
CPC 105.3.1, 105.3.2, 712.0
Air test of defective drainage and plumbing systems</t>
        </is>
      </c>
      <c r="AV124" s="316" t="n"/>
      <c r="AW124" s="663" t="n"/>
      <c r="AX124" s="261" t="n"/>
      <c r="AY124" s="288" t="n"/>
      <c r="AZ124" s="4" t="n"/>
      <c r="BD124" s="129" t="n"/>
    </row>
    <row r="125" hidden="1" ht="28" customHeight="1" thickBot="1">
      <c r="B125" s="3" t="n"/>
      <c r="C125" s="2" t="n"/>
      <c r="D125" s="136" t="inlineStr">
        <is>
          <t>B-P13</t>
        </is>
      </c>
      <c r="E125" s="279" t="n"/>
      <c r="F125" s="280" t="n"/>
      <c r="G125" s="280" t="n"/>
      <c r="H125" s="280" t="n"/>
      <c r="I125" s="280" t="n"/>
      <c r="J125" s="280" t="n"/>
      <c r="K125" s="280" t="n"/>
      <c r="L125" s="280" t="n"/>
      <c r="M125" s="280" t="n"/>
      <c r="N125" s="280" t="n"/>
      <c r="O125" s="280" t="n"/>
      <c r="P125" s="280" t="n"/>
      <c r="Q125" s="280" t="n"/>
      <c r="R125" s="280" t="n"/>
      <c r="S125" s="280" t="n"/>
      <c r="T125" s="280" t="n"/>
      <c r="U125" s="280" t="n"/>
      <c r="V125" s="280" t="n"/>
      <c r="W125" s="280" t="n"/>
      <c r="X125" s="280" t="n"/>
      <c r="Y125" s="280" t="n"/>
      <c r="Z125" s="280" t="n"/>
      <c r="AA125" s="280" t="n"/>
      <c r="AB125" s="280" t="n"/>
      <c r="AC125" s="280" t="n"/>
      <c r="AD125" s="280" t="n"/>
      <c r="AE125" s="280" t="n"/>
      <c r="AF125" s="280" t="n"/>
      <c r="AG125" s="280" t="n"/>
      <c r="AH125" s="280" t="n"/>
      <c r="AI125" s="280" t="n"/>
      <c r="AJ125" s="280" t="n"/>
      <c r="AK125" s="280" t="n"/>
      <c r="AL125" s="280" t="n"/>
      <c r="AM125" s="280" t="n"/>
      <c r="AN125" s="280" t="n"/>
      <c r="AO125" s="280" t="n"/>
      <c r="AP125" s="280" t="n"/>
      <c r="AQ125" s="280" t="n"/>
      <c r="AR125" s="280" t="n"/>
      <c r="AS125" s="280" t="n"/>
      <c r="AT125" s="281" t="n"/>
      <c r="AU125" s="289" t="inlineStr">
        <is>
          <t>Shower receptors
CPC 408.7.5</t>
        </is>
      </c>
      <c r="AV125" s="316" t="n"/>
      <c r="AW125" s="663" t="n"/>
      <c r="AX125" s="261" t="n"/>
      <c r="AY125" s="288" t="n"/>
      <c r="AZ125" s="4" t="n"/>
      <c r="BD125" s="129" t="n"/>
    </row>
    <row r="126" hidden="1" ht="37" customHeight="1" thickBot="1">
      <c r="B126" s="3" t="n"/>
      <c r="C126" s="2" t="n"/>
      <c r="D126" s="136" t="inlineStr">
        <is>
          <t>B-P14</t>
        </is>
      </c>
      <c r="E126" s="279" t="n"/>
      <c r="F126" s="280" t="n"/>
      <c r="G126" s="280" t="n"/>
      <c r="H126" s="280" t="n"/>
      <c r="I126" s="280" t="n"/>
      <c r="J126" s="280" t="n"/>
      <c r="K126" s="280" t="n"/>
      <c r="L126" s="280" t="n"/>
      <c r="M126" s="280" t="n"/>
      <c r="N126" s="280" t="n"/>
      <c r="O126" s="280" t="n"/>
      <c r="P126" s="280" t="n"/>
      <c r="Q126" s="280" t="n"/>
      <c r="R126" s="280" t="n"/>
      <c r="S126" s="280" t="n"/>
      <c r="T126" s="280" t="n"/>
      <c r="U126" s="280" t="n"/>
      <c r="V126" s="280" t="n"/>
      <c r="W126" s="280" t="n"/>
      <c r="X126" s="280" t="n"/>
      <c r="Y126" s="280" t="n"/>
      <c r="Z126" s="280" t="n"/>
      <c r="AA126" s="280" t="n"/>
      <c r="AB126" s="280" t="n"/>
      <c r="AC126" s="280" t="n"/>
      <c r="AD126" s="280" t="n"/>
      <c r="AE126" s="280" t="n"/>
      <c r="AF126" s="280" t="n"/>
      <c r="AG126" s="280" t="n"/>
      <c r="AH126" s="280" t="n"/>
      <c r="AI126" s="280" t="n"/>
      <c r="AJ126" s="280" t="n"/>
      <c r="AK126" s="280" t="n"/>
      <c r="AL126" s="280" t="n"/>
      <c r="AM126" s="280" t="n"/>
      <c r="AN126" s="280" t="n"/>
      <c r="AO126" s="280" t="n"/>
      <c r="AP126" s="280" t="n"/>
      <c r="AQ126" s="280" t="n"/>
      <c r="AR126" s="280" t="n"/>
      <c r="AS126" s="280" t="n"/>
      <c r="AT126" s="281" t="n"/>
      <c r="AU126" s="287" t="inlineStr">
        <is>
          <t>Backflow prevention devices and assemblies
CPC 603.2 &amp; 603.4.2
Assembly tested</t>
        </is>
      </c>
      <c r="AV126" s="316" t="n"/>
      <c r="AW126" s="663" t="n"/>
      <c r="AX126" s="261" t="n"/>
      <c r="AY126" s="288" t="n"/>
      <c r="AZ126" s="4" t="n"/>
      <c r="BD126" s="129" t="n"/>
    </row>
    <row r="127" hidden="1" ht="37" customHeight="1" thickBot="1">
      <c r="B127" s="3" t="n"/>
      <c r="C127" s="2" t="n"/>
      <c r="D127" s="136" t="inlineStr">
        <is>
          <t>B-P15</t>
        </is>
      </c>
      <c r="E127" s="279" t="n"/>
      <c r="F127" s="280" t="n"/>
      <c r="G127" s="280" t="n"/>
      <c r="H127" s="280" t="n"/>
      <c r="I127" s="280" t="n"/>
      <c r="J127" s="280" t="n"/>
      <c r="K127" s="280" t="n"/>
      <c r="L127" s="280" t="n"/>
      <c r="M127" s="280" t="n"/>
      <c r="N127" s="280" t="n"/>
      <c r="O127" s="280" t="n"/>
      <c r="P127" s="280" t="n"/>
      <c r="Q127" s="280" t="n"/>
      <c r="R127" s="280" t="n"/>
      <c r="S127" s="280" t="n"/>
      <c r="T127" s="280" t="n"/>
      <c r="U127" s="280" t="n"/>
      <c r="V127" s="280" t="n"/>
      <c r="W127" s="280" t="n"/>
      <c r="X127" s="280" t="n"/>
      <c r="Y127" s="280" t="n"/>
      <c r="Z127" s="280" t="n"/>
      <c r="AA127" s="280" t="n"/>
      <c r="AB127" s="280" t="n"/>
      <c r="AC127" s="280" t="n"/>
      <c r="AD127" s="280" t="n"/>
      <c r="AE127" s="280" t="n"/>
      <c r="AF127" s="280" t="n"/>
      <c r="AG127" s="280" t="n"/>
      <c r="AH127" s="280" t="n"/>
      <c r="AI127" s="280" t="n"/>
      <c r="AJ127" s="280" t="n"/>
      <c r="AK127" s="280" t="n"/>
      <c r="AL127" s="280" t="n"/>
      <c r="AM127" s="280" t="n"/>
      <c r="AN127" s="280" t="n"/>
      <c r="AO127" s="280" t="n"/>
      <c r="AP127" s="280" t="n"/>
      <c r="AQ127" s="280" t="n"/>
      <c r="AR127" s="280" t="n"/>
      <c r="AS127" s="280" t="n"/>
      <c r="AT127" s="281" t="n"/>
      <c r="AU127" s="287" t="inlineStr">
        <is>
          <t>Nonpotable water
CPC 1502.0
Testing of alternate water sources and cross-connections</t>
        </is>
      </c>
      <c r="AV127" s="316" t="n"/>
      <c r="AW127" s="663" t="n"/>
      <c r="AX127" s="261" t="n"/>
      <c r="AY127" s="288" t="n"/>
      <c r="AZ127" s="4" t="n"/>
      <c r="BD127" s="129" t="n"/>
    </row>
    <row r="128" hidden="1" ht="49" customHeight="1" thickBot="1">
      <c r="B128" s="3" t="n"/>
      <c r="C128" s="2" t="n"/>
      <c r="D128" s="136" t="inlineStr">
        <is>
          <t>B-P16</t>
        </is>
      </c>
      <c r="E128" s="279" t="n"/>
      <c r="F128" s="280" t="n"/>
      <c r="G128" s="280" t="n"/>
      <c r="H128" s="280" t="n"/>
      <c r="I128" s="280" t="n"/>
      <c r="J128" s="280" t="n"/>
      <c r="K128" s="280" t="n"/>
      <c r="L128" s="280" t="n"/>
      <c r="M128" s="280" t="n"/>
      <c r="N128" s="280" t="n"/>
      <c r="O128" s="280" t="n"/>
      <c r="P128" s="280" t="n"/>
      <c r="Q128" s="280" t="n"/>
      <c r="R128" s="280" t="n"/>
      <c r="S128" s="280" t="n"/>
      <c r="T128" s="280" t="n"/>
      <c r="U128" s="280" t="n"/>
      <c r="V128" s="280" t="n"/>
      <c r="W128" s="280" t="n"/>
      <c r="X128" s="280" t="n"/>
      <c r="Y128" s="280" t="n"/>
      <c r="Z128" s="280" t="n"/>
      <c r="AA128" s="280" t="n"/>
      <c r="AB128" s="280" t="n"/>
      <c r="AC128" s="280" t="n"/>
      <c r="AD128" s="280" t="n"/>
      <c r="AE128" s="280" t="n"/>
      <c r="AF128" s="280" t="n"/>
      <c r="AG128" s="280" t="n"/>
      <c r="AH128" s="280" t="n"/>
      <c r="AI128" s="280" t="n"/>
      <c r="AJ128" s="280" t="n"/>
      <c r="AK128" s="280" t="n"/>
      <c r="AL128" s="280" t="n"/>
      <c r="AM128" s="280" t="n"/>
      <c r="AN128" s="280" t="n"/>
      <c r="AO128" s="280" t="n"/>
      <c r="AP128" s="280" t="n"/>
      <c r="AQ128" s="280" t="n"/>
      <c r="AR128" s="280" t="n"/>
      <c r="AS128" s="280" t="n"/>
      <c r="AT128" s="281" t="n"/>
      <c r="AU128" s="287" t="inlineStr">
        <is>
          <t>Recycled water supply systems
CPC 1505.5 &amp; 1505.13
Initial cross-connection test and system testing before initial operation</t>
        </is>
      </c>
      <c r="AV128" s="316" t="n"/>
      <c r="AW128" s="663" t="n"/>
      <c r="AX128" s="261" t="n"/>
      <c r="AY128" s="288" t="n"/>
      <c r="AZ128" s="4" t="n"/>
      <c r="BD128" s="129" t="n"/>
    </row>
    <row r="129" hidden="1" ht="49" customHeight="1" thickBot="1">
      <c r="B129" s="3" t="n"/>
      <c r="C129" s="2" t="n"/>
      <c r="D129" s="136" t="inlineStr">
        <is>
          <t>B-P17</t>
        </is>
      </c>
      <c r="E129" s="279" t="n"/>
      <c r="F129" s="280" t="n"/>
      <c r="G129" s="280" t="n"/>
      <c r="H129" s="280" t="n"/>
      <c r="I129" s="280" t="n"/>
      <c r="J129" s="280" t="n"/>
      <c r="K129" s="280" t="n"/>
      <c r="L129" s="280" t="n"/>
      <c r="M129" s="280" t="n"/>
      <c r="N129" s="280" t="n"/>
      <c r="O129" s="280" t="n"/>
      <c r="P129" s="280" t="n"/>
      <c r="Q129" s="280" t="n"/>
      <c r="R129" s="280" t="n"/>
      <c r="S129" s="280" t="n"/>
      <c r="T129" s="280" t="n"/>
      <c r="U129" s="280" t="n"/>
      <c r="V129" s="280" t="n"/>
      <c r="W129" s="280" t="n"/>
      <c r="X129" s="280" t="n"/>
      <c r="Y129" s="280" t="n"/>
      <c r="Z129" s="280" t="n"/>
      <c r="AA129" s="280" t="n"/>
      <c r="AB129" s="280" t="n"/>
      <c r="AC129" s="280" t="n"/>
      <c r="AD129" s="280" t="n"/>
      <c r="AE129" s="280" t="n"/>
      <c r="AF129" s="280" t="n"/>
      <c r="AG129" s="280" t="n"/>
      <c r="AH129" s="280" t="n"/>
      <c r="AI129" s="280" t="n"/>
      <c r="AJ129" s="280" t="n"/>
      <c r="AK129" s="280" t="n"/>
      <c r="AL129" s="280" t="n"/>
      <c r="AM129" s="280" t="n"/>
      <c r="AN129" s="280" t="n"/>
      <c r="AO129" s="280" t="n"/>
      <c r="AP129" s="280" t="n"/>
      <c r="AQ129" s="280" t="n"/>
      <c r="AR129" s="280" t="n"/>
      <c r="AS129" s="280" t="n"/>
      <c r="AT129" s="281" t="n"/>
      <c r="AU129" s="287" t="inlineStr">
        <is>
          <t>On-site treated nonpotable gray water systems
CPC 1506.5, 1506.12, 1502.1
Initial cross-connection test and system testing before initial operation</t>
        </is>
      </c>
      <c r="AV129" s="663" t="n"/>
      <c r="AW129" s="663" t="n"/>
      <c r="AX129" s="264" t="n"/>
      <c r="AY129" s="288" t="n"/>
      <c r="AZ129" s="4" t="n"/>
      <c r="BD129" s="129" t="n"/>
    </row>
    <row r="130" hidden="1" ht="37" customHeight="1" thickBot="1">
      <c r="B130" s="3" t="n"/>
      <c r="C130" s="2" t="n"/>
      <c r="D130" s="136" t="inlineStr">
        <is>
          <t>B-P18</t>
        </is>
      </c>
      <c r="E130" s="279" t="n"/>
      <c r="F130" s="280" t="n"/>
      <c r="G130" s="280" t="n"/>
      <c r="H130" s="280" t="n"/>
      <c r="I130" s="280" t="n"/>
      <c r="J130" s="280" t="n"/>
      <c r="K130" s="280" t="n"/>
      <c r="L130" s="280" t="n"/>
      <c r="M130" s="280" t="n"/>
      <c r="N130" s="280" t="n"/>
      <c r="O130" s="280" t="n"/>
      <c r="P130" s="280" t="n"/>
      <c r="Q130" s="280" t="n"/>
      <c r="R130" s="280" t="n"/>
      <c r="S130" s="280" t="n"/>
      <c r="T130" s="280" t="n"/>
      <c r="U130" s="280" t="n"/>
      <c r="V130" s="280" t="n"/>
      <c r="W130" s="280" t="n"/>
      <c r="X130" s="280" t="n"/>
      <c r="Y130" s="280" t="n"/>
      <c r="Z130" s="280" t="n"/>
      <c r="AA130" s="280" t="n"/>
      <c r="AB130" s="280" t="n"/>
      <c r="AC130" s="280" t="n"/>
      <c r="AD130" s="280" t="n"/>
      <c r="AE130" s="280" t="n"/>
      <c r="AF130" s="280" t="n"/>
      <c r="AG130" s="280" t="n"/>
      <c r="AH130" s="280" t="n"/>
      <c r="AI130" s="280" t="n"/>
      <c r="AJ130" s="280" t="n"/>
      <c r="AK130" s="280" t="n"/>
      <c r="AL130" s="280" t="n"/>
      <c r="AM130" s="280" t="n"/>
      <c r="AN130" s="280" t="n"/>
      <c r="AO130" s="280" t="n"/>
      <c r="AP130" s="280" t="n"/>
      <c r="AQ130" s="280" t="n"/>
      <c r="AR130" s="280" t="n"/>
      <c r="AS130" s="280" t="n"/>
      <c r="AT130" s="281" t="n"/>
      <c r="AU130" s="379" t="inlineStr">
        <is>
          <t>Medical Gas and Vacuum
NFPA 99-2018 § 5.1.10.11.11
Qualification of brazing procedures and brazing</t>
        </is>
      </c>
      <c r="AV130" s="663" t="inlineStr">
        <is>
          <t>X</t>
        </is>
      </c>
      <c r="AW130" s="663" t="n"/>
      <c r="AX130" s="264" t="inlineStr">
        <is>
          <t>Southland</t>
        </is>
      </c>
      <c r="AY130" s="288" t="n"/>
      <c r="AZ130" s="4" t="n"/>
      <c r="BD130" s="129" t="n"/>
    </row>
    <row r="131" hidden="1" ht="28" customHeight="1" thickBot="1">
      <c r="B131" s="3" t="n"/>
      <c r="C131" s="2" t="n"/>
      <c r="D131" s="136" t="inlineStr">
        <is>
          <t>B-P19</t>
        </is>
      </c>
      <c r="E131" s="282" t="n"/>
      <c r="F131" s="283" t="n"/>
      <c r="G131" s="283" t="n"/>
      <c r="H131" s="283" t="n"/>
      <c r="I131" s="283" t="n"/>
      <c r="J131" s="283" t="n"/>
      <c r="K131" s="283" t="n"/>
      <c r="L131" s="283" t="n"/>
      <c r="M131" s="283" t="n"/>
      <c r="N131" s="283" t="n"/>
      <c r="O131" s="283" t="n"/>
      <c r="P131" s="283" t="n"/>
      <c r="Q131" s="283" t="n"/>
      <c r="R131" s="283" t="n"/>
      <c r="S131" s="283" t="n"/>
      <c r="T131" s="283" t="n"/>
      <c r="U131" s="283" t="n"/>
      <c r="V131" s="283" t="n"/>
      <c r="W131" s="283" t="n"/>
      <c r="X131" s="283" t="n"/>
      <c r="Y131" s="283" t="n"/>
      <c r="Z131" s="283" t="n"/>
      <c r="AA131" s="283" t="n"/>
      <c r="AB131" s="283" t="n"/>
      <c r="AC131" s="283" t="n"/>
      <c r="AD131" s="283" t="n"/>
      <c r="AE131" s="283" t="n"/>
      <c r="AF131" s="283" t="n"/>
      <c r="AG131" s="283" t="n"/>
      <c r="AH131" s="283" t="n"/>
      <c r="AI131" s="283" t="n"/>
      <c r="AJ131" s="283" t="n"/>
      <c r="AK131" s="283" t="n"/>
      <c r="AL131" s="283" t="n"/>
      <c r="AM131" s="283" t="n"/>
      <c r="AN131" s="283" t="n"/>
      <c r="AO131" s="283" t="n"/>
      <c r="AP131" s="283" t="n"/>
      <c r="AQ131" s="283" t="n"/>
      <c r="AR131" s="283" t="n"/>
      <c r="AS131" s="283" t="n"/>
      <c r="AT131" s="284" t="n"/>
      <c r="AU131" s="291" t="n"/>
      <c r="AV131" s="670" t="n"/>
      <c r="AW131" s="670" t="n"/>
      <c r="AX131" s="295" t="n"/>
      <c r="AY131" s="294" t="n"/>
      <c r="AZ131" s="4" t="n"/>
      <c r="BD131" s="126" t="n"/>
    </row>
    <row r="132" hidden="1" ht="18" customHeight="1" thickBot="1">
      <c r="A132" s="96" t="inlineStr">
        <is>
          <t>x5</t>
        </is>
      </c>
      <c r="B132" s="26" t="inlineStr">
        <is>
          <t>FIRE PROTECTION AND LIFE SAFETY SYSTEMS</t>
        </is>
      </c>
      <c r="C132" s="27" t="n"/>
      <c r="D132" s="27" t="n"/>
      <c r="E132" s="166" t="n"/>
      <c r="F132" s="166" t="n"/>
      <c r="G132" s="166" t="n"/>
      <c r="H132" s="166" t="n"/>
      <c r="I132" s="166" t="n"/>
      <c r="J132" s="166" t="n"/>
      <c r="K132" s="166" t="n"/>
      <c r="L132" s="166" t="n"/>
      <c r="M132" s="166" t="n"/>
      <c r="N132" s="166" t="n"/>
      <c r="O132" s="166" t="n"/>
      <c r="P132" s="166" t="n"/>
      <c r="Q132" s="166" t="n"/>
      <c r="R132" s="166" t="n"/>
      <c r="S132" s="166" t="n"/>
      <c r="T132" s="166" t="n"/>
      <c r="U132" s="166" t="n"/>
      <c r="V132" s="166" t="n"/>
      <c r="W132" s="166" t="n"/>
      <c r="X132" s="166" t="n"/>
      <c r="Y132" s="166" t="n"/>
      <c r="Z132" s="166" t="n"/>
      <c r="AA132" s="166" t="n"/>
      <c r="AB132" s="166" t="n"/>
      <c r="AC132" s="166" t="n"/>
      <c r="AD132" s="166" t="n"/>
      <c r="AE132" s="166" t="n"/>
      <c r="AF132" s="166" t="n"/>
      <c r="AG132" s="166" t="n"/>
      <c r="AH132" s="166" t="n"/>
      <c r="AI132" s="166" t="n"/>
      <c r="AJ132" s="166" t="n"/>
      <c r="AK132" s="166" t="n"/>
      <c r="AL132" s="166" t="n"/>
      <c r="AM132" s="166" t="n"/>
      <c r="AN132" s="166" t="n"/>
      <c r="AO132" s="166" t="n"/>
      <c r="AP132" s="166" t="n"/>
      <c r="AQ132" s="166" t="n"/>
      <c r="AR132" s="166" t="n"/>
      <c r="AS132" s="166" t="n"/>
      <c r="AT132" s="166" t="n"/>
      <c r="AU132" s="27" t="n"/>
      <c r="AV132" s="202" t="n"/>
      <c r="AW132" s="202" t="n"/>
      <c r="AX132" s="200" t="n"/>
      <c r="AY132" s="51" t="n"/>
      <c r="AZ132" s="28" t="n"/>
      <c r="BD132" s="130" t="n"/>
      <c r="BE132" s="508" t="n"/>
    </row>
    <row r="133" hidden="1" ht="37" customHeight="1" thickBot="1">
      <c r="B133" s="3" t="n"/>
      <c r="C133" s="2" t="n"/>
      <c r="D133" s="136" t="inlineStr">
        <is>
          <t>B-FP1</t>
        </is>
      </c>
      <c r="E133" s="276" t="n"/>
      <c r="F133" s="277" t="n"/>
      <c r="G133" s="277" t="n"/>
      <c r="H133" s="277" t="n"/>
      <c r="I133" s="277" t="n"/>
      <c r="J133" s="277" t="n"/>
      <c r="K133" s="277" t="n"/>
      <c r="L133" s="277" t="n"/>
      <c r="M133" s="277" t="n"/>
      <c r="N133" s="277" t="n"/>
      <c r="O133" s="277" t="n"/>
      <c r="P133" s="277" t="n"/>
      <c r="Q133" s="277" t="n"/>
      <c r="R133" s="277" t="n"/>
      <c r="S133" s="277" t="n"/>
      <c r="T133" s="277" t="n"/>
      <c r="U133" s="277" t="n"/>
      <c r="V133" s="277" t="n"/>
      <c r="W133" s="277" t="n"/>
      <c r="X133" s="277" t="n"/>
      <c r="Y133" s="277" t="n"/>
      <c r="Z133" s="277" t="n"/>
      <c r="AA133" s="277" t="n"/>
      <c r="AB133" s="277" t="n"/>
      <c r="AC133" s="277" t="n"/>
      <c r="AD133" s="277" t="n"/>
      <c r="AE133" s="277" t="n"/>
      <c r="AF133" s="277" t="n"/>
      <c r="AG133" s="277" t="n"/>
      <c r="AH133" s="277" t="n"/>
      <c r="AI133" s="277" t="n"/>
      <c r="AJ133" s="277" t="n"/>
      <c r="AK133" s="277" t="n"/>
      <c r="AL133" s="277" t="n"/>
      <c r="AM133" s="277" t="n"/>
      <c r="AN133" s="277" t="n"/>
      <c r="AO133" s="277" t="n"/>
      <c r="AP133" s="277" t="n"/>
      <c r="AQ133" s="277" t="n"/>
      <c r="AR133" s="277" t="n"/>
      <c r="AS133" s="277" t="n"/>
      <c r="AT133" s="278" t="n"/>
      <c r="AU133" s="314" t="inlineStr">
        <is>
          <t>Fire Alarm
CFC 901.5 &amp; CFC 907.7 NFPA 72-2016 §14.4
Acceptance and Reacceptance Testing</t>
        </is>
      </c>
      <c r="AV133" s="327" t="n"/>
      <c r="AW133" s="664" t="n"/>
      <c r="AX133" s="259" t="n"/>
      <c r="AY133" s="286" t="n"/>
      <c r="AZ133" s="67" t="n"/>
      <c r="BD133" s="129" t="n"/>
    </row>
    <row r="134" hidden="1" ht="37" customHeight="1" thickBot="1">
      <c r="B134" s="3" t="n"/>
      <c r="C134" s="2" t="n"/>
      <c r="D134" s="136" t="inlineStr">
        <is>
          <t>B-FP2</t>
        </is>
      </c>
      <c r="E134" s="279" t="n"/>
      <c r="F134" s="280" t="n"/>
      <c r="G134" s="280" t="n"/>
      <c r="H134" s="280" t="n"/>
      <c r="I134" s="280" t="n"/>
      <c r="J134" s="280" t="n"/>
      <c r="K134" s="280" t="n"/>
      <c r="L134" s="280" t="n"/>
      <c r="M134" s="280" t="n"/>
      <c r="N134" s="280" t="n"/>
      <c r="O134" s="280" t="n"/>
      <c r="P134" s="280" t="n"/>
      <c r="Q134" s="280" t="n"/>
      <c r="R134" s="280" t="n"/>
      <c r="S134" s="280" t="n"/>
      <c r="T134" s="280" t="n"/>
      <c r="U134" s="280" t="n"/>
      <c r="V134" s="280" t="n"/>
      <c r="W134" s="280" t="n"/>
      <c r="X134" s="280" t="n"/>
      <c r="Y134" s="280" t="n"/>
      <c r="Z134" s="280" t="n"/>
      <c r="AA134" s="280" t="n"/>
      <c r="AB134" s="280" t="n"/>
      <c r="AC134" s="280" t="n"/>
      <c r="AD134" s="280" t="n"/>
      <c r="AE134" s="280" t="n"/>
      <c r="AF134" s="280" t="n"/>
      <c r="AG134" s="280" t="n"/>
      <c r="AH134" s="280" t="n"/>
      <c r="AI134" s="280" t="n"/>
      <c r="AJ134" s="280" t="n"/>
      <c r="AK134" s="280" t="n"/>
      <c r="AL134" s="280" t="n"/>
      <c r="AM134" s="280" t="n"/>
      <c r="AN134" s="280" t="n"/>
      <c r="AO134" s="280" t="n"/>
      <c r="AP134" s="280" t="n"/>
      <c r="AQ134" s="280" t="n"/>
      <c r="AR134" s="280" t="n"/>
      <c r="AS134" s="280" t="n"/>
      <c r="AT134" s="281" t="n"/>
      <c r="AU134" s="287" t="inlineStr">
        <is>
          <t>Fire and smoke dampers
CFC 901.5 &amp; CFC 907.8
Acceptance testing</t>
        </is>
      </c>
      <c r="AV134" s="316" t="n"/>
      <c r="AW134" s="663" t="n"/>
      <c r="AX134" s="261" t="n"/>
      <c r="AY134" s="288" t="n"/>
      <c r="AZ134" s="4" t="n"/>
      <c r="BD134" s="129" t="n"/>
    </row>
    <row r="135" hidden="1" ht="37" customHeight="1" thickBot="1">
      <c r="B135" s="3" t="n"/>
      <c r="C135" s="2" t="n"/>
      <c r="D135" s="136" t="inlineStr">
        <is>
          <t>B-FP3</t>
        </is>
      </c>
      <c r="E135" s="279" t="n"/>
      <c r="F135" s="280" t="n"/>
      <c r="G135" s="280" t="n"/>
      <c r="H135" s="280" t="n"/>
      <c r="I135" s="280" t="n"/>
      <c r="J135" s="280" t="n"/>
      <c r="K135" s="280" t="n"/>
      <c r="L135" s="280" t="n"/>
      <c r="M135" s="280" t="n"/>
      <c r="N135" s="280" t="n"/>
      <c r="O135" s="280" t="n"/>
      <c r="P135" s="280" t="n"/>
      <c r="Q135" s="280" t="n"/>
      <c r="R135" s="280" t="n"/>
      <c r="S135" s="280" t="n"/>
      <c r="T135" s="280" t="n"/>
      <c r="U135" s="280" t="n"/>
      <c r="V135" s="280" t="n"/>
      <c r="W135" s="280" t="n"/>
      <c r="X135" s="280" t="n"/>
      <c r="Y135" s="280" t="n"/>
      <c r="Z135" s="280" t="n"/>
      <c r="AA135" s="280" t="n"/>
      <c r="AB135" s="280" t="n"/>
      <c r="AC135" s="280" t="n"/>
      <c r="AD135" s="280" t="n"/>
      <c r="AE135" s="280" t="n"/>
      <c r="AF135" s="280" t="n"/>
      <c r="AG135" s="280" t="n"/>
      <c r="AH135" s="280" t="n"/>
      <c r="AI135" s="280" t="n"/>
      <c r="AJ135" s="280" t="n"/>
      <c r="AK135" s="280" t="n"/>
      <c r="AL135" s="280" t="n"/>
      <c r="AM135" s="280" t="n"/>
      <c r="AN135" s="280" t="n"/>
      <c r="AO135" s="280" t="n"/>
      <c r="AP135" s="280" t="n"/>
      <c r="AQ135" s="280" t="n"/>
      <c r="AR135" s="280" t="n"/>
      <c r="AS135" s="280" t="n"/>
      <c r="AT135" s="281" t="n"/>
      <c r="AU135" s="309" t="inlineStr">
        <is>
          <t>Duct Detectors
CFC 901.5, NFPA 72-2016  §14.4
Differential Pressure Test</t>
        </is>
      </c>
      <c r="AV135" s="316" t="n"/>
      <c r="AW135" s="663" t="n"/>
      <c r="AX135" s="261" t="n"/>
      <c r="AY135" s="288" t="n"/>
      <c r="AZ135" s="67" t="n"/>
      <c r="BD135" s="129" t="n"/>
    </row>
    <row r="136" hidden="1" ht="37" customHeight="1" thickBot="1">
      <c r="B136" s="3" t="n"/>
      <c r="C136" s="2" t="n"/>
      <c r="D136" s="136" t="inlineStr">
        <is>
          <t>B-FP4</t>
        </is>
      </c>
      <c r="E136" s="279" t="n"/>
      <c r="F136" s="280" t="n"/>
      <c r="G136" s="280" t="n"/>
      <c r="H136" s="280" t="n"/>
      <c r="I136" s="280" t="n"/>
      <c r="J136" s="280" t="n"/>
      <c r="K136" s="280" t="n"/>
      <c r="L136" s="280" t="n"/>
      <c r="M136" s="280" t="n"/>
      <c r="N136" s="280" t="n"/>
      <c r="O136" s="280" t="n"/>
      <c r="P136" s="280" t="n"/>
      <c r="Q136" s="280" t="n"/>
      <c r="R136" s="280" t="n"/>
      <c r="S136" s="280" t="n"/>
      <c r="T136" s="280" t="n"/>
      <c r="U136" s="280" t="n"/>
      <c r="V136" s="280" t="n"/>
      <c r="W136" s="280" t="n"/>
      <c r="X136" s="280" t="n"/>
      <c r="Y136" s="280" t="n"/>
      <c r="Z136" s="280" t="n"/>
      <c r="AA136" s="280" t="n"/>
      <c r="AB136" s="280" t="n"/>
      <c r="AC136" s="280" t="n"/>
      <c r="AD136" s="280" t="n"/>
      <c r="AE136" s="280" t="n"/>
      <c r="AF136" s="280" t="n"/>
      <c r="AG136" s="280" t="n"/>
      <c r="AH136" s="280" t="n"/>
      <c r="AI136" s="280" t="n"/>
      <c r="AJ136" s="280" t="n"/>
      <c r="AK136" s="280" t="n"/>
      <c r="AL136" s="280" t="n"/>
      <c r="AM136" s="280" t="n"/>
      <c r="AN136" s="280" t="n"/>
      <c r="AO136" s="280" t="n"/>
      <c r="AP136" s="280" t="n"/>
      <c r="AQ136" s="280" t="n"/>
      <c r="AR136" s="280" t="n"/>
      <c r="AS136" s="280" t="n"/>
      <c r="AT136" s="281" t="n"/>
      <c r="AU136" s="287" t="inlineStr">
        <is>
          <t>Smoke control system
CFC 901.5, CFC 909.18 &amp; CBC 1705.18 and 1705A.18
Acceptance testing</t>
        </is>
      </c>
      <c r="AV136" s="316" t="n"/>
      <c r="AW136" s="663" t="n"/>
      <c r="AX136" s="261" t="n"/>
      <c r="AY136" s="288" t="n"/>
      <c r="AZ136" s="4" t="n"/>
      <c r="BD136" s="129" t="n"/>
    </row>
    <row r="137" hidden="1" ht="37" customHeight="1" thickBot="1">
      <c r="B137" s="3" t="n"/>
      <c r="C137" s="2" t="n"/>
      <c r="D137" s="136" t="inlineStr">
        <is>
          <t>B-FP5</t>
        </is>
      </c>
      <c r="E137" s="279" t="n"/>
      <c r="F137" s="280" t="n"/>
      <c r="G137" s="280" t="n"/>
      <c r="H137" s="280" t="n"/>
      <c r="I137" s="280" t="n"/>
      <c r="J137" s="280" t="n"/>
      <c r="K137" s="280" t="n"/>
      <c r="L137" s="280" t="n"/>
      <c r="M137" s="280" t="n"/>
      <c r="N137" s="280" t="n"/>
      <c r="O137" s="280" t="n"/>
      <c r="P137" s="280" t="n"/>
      <c r="Q137" s="280" t="n"/>
      <c r="R137" s="280" t="n"/>
      <c r="S137" s="280" t="n"/>
      <c r="T137" s="280" t="n"/>
      <c r="U137" s="280" t="n"/>
      <c r="V137" s="280" t="n"/>
      <c r="W137" s="280" t="n"/>
      <c r="X137" s="280" t="n"/>
      <c r="Y137" s="280" t="n"/>
      <c r="Z137" s="280" t="n"/>
      <c r="AA137" s="280" t="n"/>
      <c r="AB137" s="280" t="n"/>
      <c r="AC137" s="280" t="n"/>
      <c r="AD137" s="280" t="n"/>
      <c r="AE137" s="280" t="n"/>
      <c r="AF137" s="280" t="n"/>
      <c r="AG137" s="280" t="n"/>
      <c r="AH137" s="280" t="n"/>
      <c r="AI137" s="280" t="n"/>
      <c r="AJ137" s="280" t="n"/>
      <c r="AK137" s="280" t="n"/>
      <c r="AL137" s="280" t="n"/>
      <c r="AM137" s="280" t="n"/>
      <c r="AN137" s="280" t="n"/>
      <c r="AO137" s="280" t="n"/>
      <c r="AP137" s="280" t="n"/>
      <c r="AQ137" s="280" t="n"/>
      <c r="AR137" s="280" t="n"/>
      <c r="AS137" s="280" t="n"/>
      <c r="AT137" s="281" t="n"/>
      <c r="AU137" s="287" t="inlineStr">
        <is>
          <t>Fire sprinkler
CFC 901.5 &amp; NFPA 13-2016 Chapter 25
Acceptance testing – Aboveground piping</t>
        </is>
      </c>
      <c r="AV137" s="316" t="n"/>
      <c r="AW137" s="663" t="n"/>
      <c r="AX137" s="261" t="n"/>
      <c r="AY137" s="288" t="n"/>
      <c r="AZ137" s="4" t="n"/>
      <c r="BD137" s="129" t="n"/>
    </row>
    <row r="138" hidden="1" ht="37" customHeight="1" thickBot="1">
      <c r="B138" s="3" t="n"/>
      <c r="C138" s="2" t="n"/>
      <c r="D138" s="136" t="inlineStr">
        <is>
          <t>B-FP6</t>
        </is>
      </c>
      <c r="E138" s="279" t="n"/>
      <c r="F138" s="280" t="n"/>
      <c r="G138" s="280" t="n"/>
      <c r="H138" s="280" t="n"/>
      <c r="I138" s="280" t="n"/>
      <c r="J138" s="280" t="n"/>
      <c r="K138" s="280" t="n"/>
      <c r="L138" s="280" t="n"/>
      <c r="M138" s="280" t="n"/>
      <c r="N138" s="280" t="n"/>
      <c r="O138" s="280" t="n"/>
      <c r="P138" s="280" t="n"/>
      <c r="Q138" s="280" t="n"/>
      <c r="R138" s="280" t="n"/>
      <c r="S138" s="280" t="n"/>
      <c r="T138" s="280" t="n"/>
      <c r="U138" s="280" t="n"/>
      <c r="V138" s="280" t="n"/>
      <c r="W138" s="280" t="n"/>
      <c r="X138" s="280" t="n"/>
      <c r="Y138" s="280" t="n"/>
      <c r="Z138" s="280" t="n"/>
      <c r="AA138" s="280" t="n"/>
      <c r="AB138" s="280" t="n"/>
      <c r="AC138" s="280" t="n"/>
      <c r="AD138" s="280" t="n"/>
      <c r="AE138" s="280" t="n"/>
      <c r="AF138" s="280" t="n"/>
      <c r="AG138" s="280" t="n"/>
      <c r="AH138" s="280" t="n"/>
      <c r="AI138" s="280" t="n"/>
      <c r="AJ138" s="280" t="n"/>
      <c r="AK138" s="280" t="n"/>
      <c r="AL138" s="280" t="n"/>
      <c r="AM138" s="280" t="n"/>
      <c r="AN138" s="280" t="n"/>
      <c r="AO138" s="280" t="n"/>
      <c r="AP138" s="280" t="n"/>
      <c r="AQ138" s="280" t="n"/>
      <c r="AR138" s="280" t="n"/>
      <c r="AS138" s="280" t="n"/>
      <c r="AT138" s="281" t="n"/>
      <c r="AU138" s="287" t="inlineStr">
        <is>
          <t>Fire sprinkler
CFC 901.5 &amp; NFPA 13-2016 Chapter 25
Acceptance testing – Underground piping</t>
        </is>
      </c>
      <c r="AV138" s="663" t="n"/>
      <c r="AW138" s="663" t="n"/>
      <c r="AX138" s="663" t="n"/>
      <c r="AY138" s="288" t="n"/>
      <c r="AZ138" s="4" t="n"/>
      <c r="BD138" s="129" t="n"/>
    </row>
    <row r="139" hidden="1" ht="37" customHeight="1" thickBot="1">
      <c r="B139" s="3" t="n"/>
      <c r="C139" s="2" t="n"/>
      <c r="D139" s="136" t="inlineStr">
        <is>
          <t>B-FP7</t>
        </is>
      </c>
      <c r="E139" s="279" t="n"/>
      <c r="F139" s="280" t="n"/>
      <c r="G139" s="280" t="n"/>
      <c r="H139" s="280" t="n"/>
      <c r="I139" s="280" t="n"/>
      <c r="J139" s="280" t="n"/>
      <c r="K139" s="280" t="n"/>
      <c r="L139" s="280" t="n"/>
      <c r="M139" s="280" t="n"/>
      <c r="N139" s="280" t="n"/>
      <c r="O139" s="280" t="n"/>
      <c r="P139" s="280" t="n"/>
      <c r="Q139" s="280" t="n"/>
      <c r="R139" s="280" t="n"/>
      <c r="S139" s="280" t="n"/>
      <c r="T139" s="280" t="n"/>
      <c r="U139" s="280" t="n"/>
      <c r="V139" s="280" t="n"/>
      <c r="W139" s="280" t="n"/>
      <c r="X139" s="280" t="n"/>
      <c r="Y139" s="280" t="n"/>
      <c r="Z139" s="280" t="n"/>
      <c r="AA139" s="280" t="n"/>
      <c r="AB139" s="280" t="n"/>
      <c r="AC139" s="280" t="n"/>
      <c r="AD139" s="280" t="n"/>
      <c r="AE139" s="280" t="n"/>
      <c r="AF139" s="280" t="n"/>
      <c r="AG139" s="280" t="n"/>
      <c r="AH139" s="280" t="n"/>
      <c r="AI139" s="280" t="n"/>
      <c r="AJ139" s="280" t="n"/>
      <c r="AK139" s="280" t="n"/>
      <c r="AL139" s="280" t="n"/>
      <c r="AM139" s="280" t="n"/>
      <c r="AN139" s="280" t="n"/>
      <c r="AO139" s="280" t="n"/>
      <c r="AP139" s="280" t="n"/>
      <c r="AQ139" s="280" t="n"/>
      <c r="AR139" s="280" t="n"/>
      <c r="AS139" s="280" t="n"/>
      <c r="AT139" s="281" t="n"/>
      <c r="AU139" s="287" t="inlineStr">
        <is>
          <t>Standpipe system
CFC 901.5 &amp; NFPA 14-2016 Chapter 11
Acceptance testing – Aboveground piping</t>
        </is>
      </c>
      <c r="AV139" s="663" t="n"/>
      <c r="AW139" s="663" t="n"/>
      <c r="AX139" s="663" t="n"/>
      <c r="AY139" s="288" t="n"/>
      <c r="AZ139" s="4" t="n"/>
      <c r="BD139" s="129" t="n"/>
    </row>
    <row r="140" hidden="1" ht="37" customHeight="1" thickBot="1">
      <c r="B140" s="3" t="n"/>
      <c r="C140" s="2" t="n"/>
      <c r="D140" s="136" t="inlineStr">
        <is>
          <t>B-FP8</t>
        </is>
      </c>
      <c r="E140" s="279" t="n"/>
      <c r="F140" s="280" t="n"/>
      <c r="G140" s="280" t="n"/>
      <c r="H140" s="280" t="n"/>
      <c r="I140" s="280" t="n"/>
      <c r="J140" s="280" t="n"/>
      <c r="K140" s="280" t="n"/>
      <c r="L140" s="280" t="n"/>
      <c r="M140" s="280" t="n"/>
      <c r="N140" s="280" t="n"/>
      <c r="O140" s="280" t="n"/>
      <c r="P140" s="280" t="n"/>
      <c r="Q140" s="280" t="n"/>
      <c r="R140" s="280" t="n"/>
      <c r="S140" s="280" t="n"/>
      <c r="T140" s="280" t="n"/>
      <c r="U140" s="280" t="n"/>
      <c r="V140" s="280" t="n"/>
      <c r="W140" s="280" t="n"/>
      <c r="X140" s="280" t="n"/>
      <c r="Y140" s="280" t="n"/>
      <c r="Z140" s="280" t="n"/>
      <c r="AA140" s="280" t="n"/>
      <c r="AB140" s="280" t="n"/>
      <c r="AC140" s="280" t="n"/>
      <c r="AD140" s="280" t="n"/>
      <c r="AE140" s="280" t="n"/>
      <c r="AF140" s="280" t="n"/>
      <c r="AG140" s="280" t="n"/>
      <c r="AH140" s="280" t="n"/>
      <c r="AI140" s="280" t="n"/>
      <c r="AJ140" s="280" t="n"/>
      <c r="AK140" s="280" t="n"/>
      <c r="AL140" s="280" t="n"/>
      <c r="AM140" s="280" t="n"/>
      <c r="AN140" s="280" t="n"/>
      <c r="AO140" s="280" t="n"/>
      <c r="AP140" s="280" t="n"/>
      <c r="AQ140" s="280" t="n"/>
      <c r="AR140" s="280" t="n"/>
      <c r="AS140" s="280" t="n"/>
      <c r="AT140" s="281" t="n"/>
      <c r="AU140" s="287" t="inlineStr">
        <is>
          <t>Standpipe system
CFC 901.5, CFC 905.3.1 &amp; NFPA 14-2016 Chapter 11
Acceptance testing in buildings 4-stories or more</t>
        </is>
      </c>
      <c r="AV140" s="663" t="n"/>
      <c r="AW140" s="663" t="n"/>
      <c r="AX140" s="663" t="n"/>
      <c r="AY140" s="288" t="n"/>
      <c r="AZ140" s="4" t="n"/>
      <c r="BD140" s="129" t="n"/>
    </row>
    <row r="141" hidden="1" ht="37" customHeight="1" thickBot="1">
      <c r="B141" s="3" t="n"/>
      <c r="C141" s="2" t="n"/>
      <c r="D141" s="136" t="inlineStr">
        <is>
          <t>B-FP9</t>
        </is>
      </c>
      <c r="E141" s="279" t="n"/>
      <c r="F141" s="280" t="n"/>
      <c r="G141" s="280" t="n"/>
      <c r="H141" s="280" t="n"/>
      <c r="I141" s="280" t="n"/>
      <c r="J141" s="280" t="n"/>
      <c r="K141" s="280" t="n"/>
      <c r="L141" s="280" t="n"/>
      <c r="M141" s="280" t="n"/>
      <c r="N141" s="280" t="n"/>
      <c r="O141" s="280" t="n"/>
      <c r="P141" s="280" t="n"/>
      <c r="Q141" s="280" t="n"/>
      <c r="R141" s="280" t="n"/>
      <c r="S141" s="280" t="n"/>
      <c r="T141" s="280" t="n"/>
      <c r="U141" s="280" t="n"/>
      <c r="V141" s="280" t="n"/>
      <c r="W141" s="280" t="n"/>
      <c r="X141" s="280" t="n"/>
      <c r="Y141" s="280" t="n"/>
      <c r="Z141" s="280" t="n"/>
      <c r="AA141" s="280" t="n"/>
      <c r="AB141" s="280" t="n"/>
      <c r="AC141" s="280" t="n"/>
      <c r="AD141" s="280" t="n"/>
      <c r="AE141" s="280" t="n"/>
      <c r="AF141" s="280" t="n"/>
      <c r="AG141" s="280" t="n"/>
      <c r="AH141" s="280" t="n"/>
      <c r="AI141" s="280" t="n"/>
      <c r="AJ141" s="280" t="n"/>
      <c r="AK141" s="280" t="n"/>
      <c r="AL141" s="280" t="n"/>
      <c r="AM141" s="280" t="n"/>
      <c r="AN141" s="280" t="n"/>
      <c r="AO141" s="280" t="n"/>
      <c r="AP141" s="280" t="n"/>
      <c r="AQ141" s="280" t="n"/>
      <c r="AR141" s="280" t="n"/>
      <c r="AS141" s="280" t="n"/>
      <c r="AT141" s="281" t="n"/>
      <c r="AU141" s="287" t="inlineStr">
        <is>
          <t>Standpipe system
CFC 901.5 &amp; NFPA 14-2016 Chapter 11
Acceptance testing – Underground piping</t>
        </is>
      </c>
      <c r="AV141" s="663" t="n"/>
      <c r="AW141" s="663" t="n"/>
      <c r="AX141" s="663" t="n"/>
      <c r="AY141" s="288" t="n"/>
      <c r="AZ141" s="4" t="n"/>
      <c r="BD141" s="129" t="n"/>
    </row>
    <row r="142" hidden="1" ht="37" customHeight="1" thickBot="1">
      <c r="B142" s="3" t="n"/>
      <c r="C142" s="2" t="n"/>
      <c r="D142" s="136" t="inlineStr">
        <is>
          <t>B-FP10</t>
        </is>
      </c>
      <c r="E142" s="279" t="n"/>
      <c r="F142" s="280" t="n"/>
      <c r="G142" s="280" t="n"/>
      <c r="H142" s="280" t="n"/>
      <c r="I142" s="280" t="n"/>
      <c r="J142" s="280" t="n"/>
      <c r="K142" s="280" t="n"/>
      <c r="L142" s="280" t="n"/>
      <c r="M142" s="280" t="n"/>
      <c r="N142" s="280" t="n"/>
      <c r="O142" s="280" t="n"/>
      <c r="P142" s="280" t="n"/>
      <c r="Q142" s="280" t="n"/>
      <c r="R142" s="280" t="n"/>
      <c r="S142" s="280" t="n"/>
      <c r="T142" s="280" t="n"/>
      <c r="U142" s="280" t="n"/>
      <c r="V142" s="280" t="n"/>
      <c r="W142" s="280" t="n"/>
      <c r="X142" s="280" t="n"/>
      <c r="Y142" s="280" t="n"/>
      <c r="Z142" s="280" t="n"/>
      <c r="AA142" s="280" t="n"/>
      <c r="AB142" s="280" t="n"/>
      <c r="AC142" s="280" t="n"/>
      <c r="AD142" s="280" t="n"/>
      <c r="AE142" s="280" t="n"/>
      <c r="AF142" s="280" t="n"/>
      <c r="AG142" s="280" t="n"/>
      <c r="AH142" s="280" t="n"/>
      <c r="AI142" s="280" t="n"/>
      <c r="AJ142" s="280" t="n"/>
      <c r="AK142" s="280" t="n"/>
      <c r="AL142" s="280" t="n"/>
      <c r="AM142" s="280" t="n"/>
      <c r="AN142" s="280" t="n"/>
      <c r="AO142" s="280" t="n"/>
      <c r="AP142" s="280" t="n"/>
      <c r="AQ142" s="280" t="n"/>
      <c r="AR142" s="280" t="n"/>
      <c r="AS142" s="280" t="n"/>
      <c r="AT142" s="281" t="n"/>
      <c r="AU142" s="287" t="inlineStr">
        <is>
          <t>Private fire mains
CFC 901.5 &amp; NFPA  24-2016 § 10.10
Acceptance testing</t>
        </is>
      </c>
      <c r="AV142" s="663" t="n"/>
      <c r="AW142" s="663" t="n"/>
      <c r="AX142" s="663" t="n"/>
      <c r="AY142" s="288" t="n"/>
      <c r="AZ142" s="4" t="n"/>
      <c r="BD142" s="129" t="n"/>
    </row>
    <row r="143" hidden="1" ht="37" customHeight="1" thickBot="1">
      <c r="B143" s="3" t="n"/>
      <c r="C143" s="2" t="n"/>
      <c r="D143" s="136" t="inlineStr">
        <is>
          <t>B-FP11</t>
        </is>
      </c>
      <c r="E143" s="279" t="n"/>
      <c r="F143" s="280" t="n"/>
      <c r="G143" s="280" t="n"/>
      <c r="H143" s="280" t="n"/>
      <c r="I143" s="280" t="n"/>
      <c r="J143" s="280" t="n"/>
      <c r="K143" s="280" t="n"/>
      <c r="L143" s="280" t="n"/>
      <c r="M143" s="280" t="n"/>
      <c r="N143" s="280" t="n"/>
      <c r="O143" s="280" t="n"/>
      <c r="P143" s="280" t="n"/>
      <c r="Q143" s="280" t="n"/>
      <c r="R143" s="280" t="n"/>
      <c r="S143" s="280" t="n"/>
      <c r="T143" s="280" t="n"/>
      <c r="U143" s="280" t="n"/>
      <c r="V143" s="280" t="n"/>
      <c r="W143" s="280" t="n"/>
      <c r="X143" s="280" t="n"/>
      <c r="Y143" s="280" t="n"/>
      <c r="Z143" s="280" t="n"/>
      <c r="AA143" s="280" t="n"/>
      <c r="AB143" s="280" t="n"/>
      <c r="AC143" s="280" t="n"/>
      <c r="AD143" s="280" t="n"/>
      <c r="AE143" s="280" t="n"/>
      <c r="AF143" s="280" t="n"/>
      <c r="AG143" s="280" t="n"/>
      <c r="AH143" s="280" t="n"/>
      <c r="AI143" s="280" t="n"/>
      <c r="AJ143" s="280" t="n"/>
      <c r="AK143" s="280" t="n"/>
      <c r="AL143" s="280" t="n"/>
      <c r="AM143" s="280" t="n"/>
      <c r="AN143" s="280" t="n"/>
      <c r="AO143" s="280" t="n"/>
      <c r="AP143" s="280" t="n"/>
      <c r="AQ143" s="280" t="n"/>
      <c r="AR143" s="280" t="n"/>
      <c r="AS143" s="280" t="n"/>
      <c r="AT143" s="281" t="n"/>
      <c r="AU143" s="287" t="inlineStr">
        <is>
          <t>Fire pumps
CFC 901.5 &amp; NFPA 20-2016 § 14.1 &amp; 14.2 Acceptance testing</t>
        </is>
      </c>
      <c r="AV143" s="663" t="n"/>
      <c r="AW143" s="663" t="n"/>
      <c r="AX143" s="328" t="n"/>
      <c r="AY143" s="288" t="n"/>
      <c r="AZ143" s="4" t="n"/>
      <c r="BD143" s="129" t="n"/>
    </row>
    <row r="144" hidden="1" ht="37" customHeight="1" thickBot="1">
      <c r="B144" s="3" t="n"/>
      <c r="C144" s="2" t="n"/>
      <c r="D144" s="136" t="inlineStr">
        <is>
          <t>B-FP12</t>
        </is>
      </c>
      <c r="E144" s="279" t="n"/>
      <c r="F144" s="280" t="n"/>
      <c r="G144" s="280" t="n"/>
      <c r="H144" s="280" t="n"/>
      <c r="I144" s="280" t="n"/>
      <c r="J144" s="280" t="n"/>
      <c r="K144" s="280" t="n"/>
      <c r="L144" s="280" t="n"/>
      <c r="M144" s="280" t="n"/>
      <c r="N144" s="280" t="n"/>
      <c r="O144" s="280" t="n"/>
      <c r="P144" s="280" t="n"/>
      <c r="Q144" s="280" t="n"/>
      <c r="R144" s="280" t="n"/>
      <c r="S144" s="280" t="n"/>
      <c r="T144" s="280" t="n"/>
      <c r="U144" s="280" t="n"/>
      <c r="V144" s="280" t="n"/>
      <c r="W144" s="280" t="n"/>
      <c r="X144" s="280" t="n"/>
      <c r="Y144" s="280" t="n"/>
      <c r="Z144" s="280" t="n"/>
      <c r="AA144" s="280" t="n"/>
      <c r="AB144" s="280" t="n"/>
      <c r="AC144" s="280" t="n"/>
      <c r="AD144" s="280" t="n"/>
      <c r="AE144" s="280" t="n"/>
      <c r="AF144" s="280" t="n"/>
      <c r="AG144" s="280" t="n"/>
      <c r="AH144" s="280" t="n"/>
      <c r="AI144" s="280" t="n"/>
      <c r="AJ144" s="280" t="n"/>
      <c r="AK144" s="280" t="n"/>
      <c r="AL144" s="280" t="n"/>
      <c r="AM144" s="280" t="n"/>
      <c r="AN144" s="280" t="n"/>
      <c r="AO144" s="280" t="n"/>
      <c r="AP144" s="280" t="n"/>
      <c r="AQ144" s="280" t="n"/>
      <c r="AR144" s="280" t="n"/>
      <c r="AS144" s="280" t="n"/>
      <c r="AT144" s="281" t="n"/>
      <c r="AU144" s="287" t="inlineStr">
        <is>
          <t>Fire protection water tank
CFC 901.5 &amp; NFPA 22-2018 Chapter 17
Acceptance testing</t>
        </is>
      </c>
      <c r="AV144" s="663" t="n"/>
      <c r="AW144" s="663" t="n"/>
      <c r="AX144" s="328" t="n"/>
      <c r="AY144" s="288" t="n"/>
      <c r="AZ144" s="4" t="n"/>
      <c r="BD144" s="129" t="n"/>
    </row>
    <row r="145" hidden="1" ht="37" customHeight="1" thickBot="1">
      <c r="B145" s="3" t="n"/>
      <c r="C145" s="2" t="n"/>
      <c r="D145" s="136" t="inlineStr">
        <is>
          <t>B-FP13</t>
        </is>
      </c>
      <c r="E145" s="279" t="n"/>
      <c r="F145" s="280" t="n"/>
      <c r="G145" s="280" t="n"/>
      <c r="H145" s="280" t="n"/>
      <c r="I145" s="280" t="n"/>
      <c r="J145" s="280" t="n"/>
      <c r="K145" s="280" t="n"/>
      <c r="L145" s="280" t="n"/>
      <c r="M145" s="280" t="n"/>
      <c r="N145" s="280" t="n"/>
      <c r="O145" s="280" t="n"/>
      <c r="P145" s="280" t="n"/>
      <c r="Q145" s="280" t="n"/>
      <c r="R145" s="280" t="n"/>
      <c r="S145" s="280" t="n"/>
      <c r="T145" s="280" t="n"/>
      <c r="U145" s="280" t="n"/>
      <c r="V145" s="280" t="n"/>
      <c r="W145" s="280" t="n"/>
      <c r="X145" s="280" t="n"/>
      <c r="Y145" s="280" t="n"/>
      <c r="Z145" s="280" t="n"/>
      <c r="AA145" s="280" t="n"/>
      <c r="AB145" s="280" t="n"/>
      <c r="AC145" s="280" t="n"/>
      <c r="AD145" s="280" t="n"/>
      <c r="AE145" s="280" t="n"/>
      <c r="AF145" s="280" t="n"/>
      <c r="AG145" s="280" t="n"/>
      <c r="AH145" s="280" t="n"/>
      <c r="AI145" s="280" t="n"/>
      <c r="AJ145" s="280" t="n"/>
      <c r="AK145" s="280" t="n"/>
      <c r="AL145" s="280" t="n"/>
      <c r="AM145" s="280" t="n"/>
      <c r="AN145" s="280" t="n"/>
      <c r="AO145" s="280" t="n"/>
      <c r="AP145" s="280" t="n"/>
      <c r="AQ145" s="280" t="n"/>
      <c r="AR145" s="280" t="n"/>
      <c r="AS145" s="280" t="n"/>
      <c r="AT145" s="281" t="n"/>
      <c r="AU145" s="287" t="inlineStr">
        <is>
          <t>Wet chemical extinguishing system
CFC 901.5 &amp; NFPA 17A-2017 § 6.4
Acceptance testing</t>
        </is>
      </c>
      <c r="AV145" s="663" t="n"/>
      <c r="AW145" s="663" t="n"/>
      <c r="AX145" s="328" t="n"/>
      <c r="AY145" s="288" t="n"/>
      <c r="AZ145" s="4" t="n"/>
      <c r="BD145" s="129" t="n"/>
    </row>
    <row r="146" hidden="1" ht="37" customHeight="1" thickBot="1">
      <c r="B146" s="3" t="n"/>
      <c r="C146" s="2" t="n"/>
      <c r="D146" s="136" t="inlineStr">
        <is>
          <t>B-FP14</t>
        </is>
      </c>
      <c r="E146" s="279" t="n"/>
      <c r="F146" s="280" t="n"/>
      <c r="G146" s="280" t="n"/>
      <c r="H146" s="280" t="n"/>
      <c r="I146" s="280" t="n"/>
      <c r="J146" s="280" t="n"/>
      <c r="K146" s="280" t="n"/>
      <c r="L146" s="280" t="n"/>
      <c r="M146" s="280" t="n"/>
      <c r="N146" s="280" t="n"/>
      <c r="O146" s="280" t="n"/>
      <c r="P146" s="280" t="n"/>
      <c r="Q146" s="280" t="n"/>
      <c r="R146" s="280" t="n"/>
      <c r="S146" s="280" t="n"/>
      <c r="T146" s="280" t="n"/>
      <c r="U146" s="280" t="n"/>
      <c r="V146" s="280" t="n"/>
      <c r="W146" s="280" t="n"/>
      <c r="X146" s="280" t="n"/>
      <c r="Y146" s="280" t="n"/>
      <c r="Z146" s="280" t="n"/>
      <c r="AA146" s="280" t="n"/>
      <c r="AB146" s="280" t="n"/>
      <c r="AC146" s="280" t="n"/>
      <c r="AD146" s="280" t="n"/>
      <c r="AE146" s="280" t="n"/>
      <c r="AF146" s="280" t="n"/>
      <c r="AG146" s="280" t="n"/>
      <c r="AH146" s="280" t="n"/>
      <c r="AI146" s="280" t="n"/>
      <c r="AJ146" s="280" t="n"/>
      <c r="AK146" s="280" t="n"/>
      <c r="AL146" s="280" t="n"/>
      <c r="AM146" s="280" t="n"/>
      <c r="AN146" s="280" t="n"/>
      <c r="AO146" s="280" t="n"/>
      <c r="AP146" s="280" t="n"/>
      <c r="AQ146" s="280" t="n"/>
      <c r="AR146" s="280" t="n"/>
      <c r="AS146" s="280" t="n"/>
      <c r="AT146" s="281" t="n"/>
      <c r="AU146" s="289" t="inlineStr">
        <is>
          <t>Clean agent extinguishing system
CFC 901.5 &amp; NFPA 2001-2015 § 7.7
Acceptance testing</t>
        </is>
      </c>
      <c r="AV146" s="663" t="n"/>
      <c r="AW146" s="663" t="n"/>
      <c r="AX146" s="328" t="n"/>
      <c r="AY146" s="288" t="n"/>
      <c r="AZ146" s="4" t="n"/>
      <c r="BD146" s="129" t="n"/>
    </row>
    <row r="147" hidden="1" ht="37" customHeight="1" thickBot="1">
      <c r="B147" s="3" t="n"/>
      <c r="C147" s="2" t="n"/>
      <c r="D147" s="136" t="inlineStr">
        <is>
          <t>B-FP15</t>
        </is>
      </c>
      <c r="E147" s="279" t="n"/>
      <c r="F147" s="280" t="n"/>
      <c r="G147" s="280" t="n"/>
      <c r="H147" s="280" t="n"/>
      <c r="I147" s="280" t="n"/>
      <c r="J147" s="280" t="n"/>
      <c r="K147" s="280" t="n"/>
      <c r="L147" s="280" t="n"/>
      <c r="M147" s="280" t="n"/>
      <c r="N147" s="280" t="n"/>
      <c r="O147" s="280" t="n"/>
      <c r="P147" s="280" t="n"/>
      <c r="Q147" s="280" t="n"/>
      <c r="R147" s="280" t="n"/>
      <c r="S147" s="280" t="n"/>
      <c r="T147" s="280" t="n"/>
      <c r="U147" s="280" t="n"/>
      <c r="V147" s="280" t="n"/>
      <c r="W147" s="280" t="n"/>
      <c r="X147" s="280" t="n"/>
      <c r="Y147" s="280" t="n"/>
      <c r="Z147" s="280" t="n"/>
      <c r="AA147" s="280" t="n"/>
      <c r="AB147" s="280" t="n"/>
      <c r="AC147" s="280" t="n"/>
      <c r="AD147" s="280" t="n"/>
      <c r="AE147" s="280" t="n"/>
      <c r="AF147" s="280" t="n"/>
      <c r="AG147" s="280" t="n"/>
      <c r="AH147" s="280" t="n"/>
      <c r="AI147" s="280" t="n"/>
      <c r="AJ147" s="280" t="n"/>
      <c r="AK147" s="280" t="n"/>
      <c r="AL147" s="280" t="n"/>
      <c r="AM147" s="280" t="n"/>
      <c r="AN147" s="280" t="n"/>
      <c r="AO147" s="280" t="n"/>
      <c r="AP147" s="280" t="n"/>
      <c r="AQ147" s="280" t="n"/>
      <c r="AR147" s="280" t="n"/>
      <c r="AS147" s="280" t="n"/>
      <c r="AT147" s="281" t="n"/>
      <c r="AU147" s="287" t="inlineStr">
        <is>
          <t>CO2 extinguishing system
CFC 901.5 &amp; NFPA 12-2015 § 4.4.3 &amp; 4.4.4 Acceptance testing</t>
        </is>
      </c>
      <c r="AV147" s="663" t="n"/>
      <c r="AW147" s="663" t="n"/>
      <c r="AX147" s="328" t="n"/>
      <c r="AY147" s="288" t="n"/>
      <c r="AZ147" s="4" t="n"/>
      <c r="BD147" s="129" t="n"/>
    </row>
    <row r="148" hidden="1" ht="37" customHeight="1" thickBot="1">
      <c r="B148" s="3" t="n"/>
      <c r="C148" s="2" t="n"/>
      <c r="D148" s="136" t="inlineStr">
        <is>
          <t>B-FP16</t>
        </is>
      </c>
      <c r="E148" s="279" t="n"/>
      <c r="F148" s="280" t="n"/>
      <c r="G148" s="280" t="n"/>
      <c r="H148" s="280" t="n"/>
      <c r="I148" s="280" t="n"/>
      <c r="J148" s="280" t="n"/>
      <c r="K148" s="280" t="n"/>
      <c r="L148" s="280" t="n"/>
      <c r="M148" s="280" t="n"/>
      <c r="N148" s="280" t="n"/>
      <c r="O148" s="280" t="n"/>
      <c r="P148" s="280" t="n"/>
      <c r="Q148" s="280" t="n"/>
      <c r="R148" s="280" t="n"/>
      <c r="S148" s="280" t="n"/>
      <c r="T148" s="280" t="n"/>
      <c r="U148" s="280" t="n"/>
      <c r="V148" s="280" t="n"/>
      <c r="W148" s="280" t="n"/>
      <c r="X148" s="280" t="n"/>
      <c r="Y148" s="280" t="n"/>
      <c r="Z148" s="280" t="n"/>
      <c r="AA148" s="280" t="n"/>
      <c r="AB148" s="280" t="n"/>
      <c r="AC148" s="280" t="n"/>
      <c r="AD148" s="280" t="n"/>
      <c r="AE148" s="280" t="n"/>
      <c r="AF148" s="280" t="n"/>
      <c r="AG148" s="280" t="n"/>
      <c r="AH148" s="280" t="n"/>
      <c r="AI148" s="280" t="n"/>
      <c r="AJ148" s="280" t="n"/>
      <c r="AK148" s="280" t="n"/>
      <c r="AL148" s="280" t="n"/>
      <c r="AM148" s="280" t="n"/>
      <c r="AN148" s="280" t="n"/>
      <c r="AO148" s="280" t="n"/>
      <c r="AP148" s="280" t="n"/>
      <c r="AQ148" s="280" t="n"/>
      <c r="AR148" s="280" t="n"/>
      <c r="AS148" s="280" t="n"/>
      <c r="AT148" s="281" t="n"/>
      <c r="AU148" s="287" t="inlineStr">
        <is>
          <t>Dry chemical extinguishing system
CFC 901.5 &amp; NFPA 17-2017 § 10.4
Acceptance testing</t>
        </is>
      </c>
      <c r="AV148" s="663" t="n"/>
      <c r="AW148" s="663" t="n"/>
      <c r="AX148" s="328" t="n"/>
      <c r="AY148" s="288" t="n"/>
      <c r="AZ148" s="4" t="n"/>
      <c r="BD148" s="129" t="n"/>
    </row>
    <row r="149" hidden="1" ht="37" customHeight="1" thickBot="1">
      <c r="B149" s="3" t="n"/>
      <c r="C149" s="2" t="n"/>
      <c r="D149" s="136" t="inlineStr">
        <is>
          <t>B-FP17</t>
        </is>
      </c>
      <c r="E149" s="279" t="n"/>
      <c r="F149" s="280" t="n"/>
      <c r="G149" s="280" t="n"/>
      <c r="H149" s="280" t="n"/>
      <c r="I149" s="280" t="n"/>
      <c r="J149" s="280" t="n"/>
      <c r="K149" s="280" t="n"/>
      <c r="L149" s="280" t="n"/>
      <c r="M149" s="280" t="n"/>
      <c r="N149" s="280" t="n"/>
      <c r="O149" s="280" t="n"/>
      <c r="P149" s="280" t="n"/>
      <c r="Q149" s="280" t="n"/>
      <c r="R149" s="280" t="n"/>
      <c r="S149" s="280" t="n"/>
      <c r="T149" s="280" t="n"/>
      <c r="U149" s="280" t="n"/>
      <c r="V149" s="280" t="n"/>
      <c r="W149" s="280" t="n"/>
      <c r="X149" s="280" t="n"/>
      <c r="Y149" s="280" t="n"/>
      <c r="Z149" s="280" t="n"/>
      <c r="AA149" s="280" t="n"/>
      <c r="AB149" s="280" t="n"/>
      <c r="AC149" s="280" t="n"/>
      <c r="AD149" s="280" t="n"/>
      <c r="AE149" s="280" t="n"/>
      <c r="AF149" s="280" t="n"/>
      <c r="AG149" s="280" t="n"/>
      <c r="AH149" s="280" t="n"/>
      <c r="AI149" s="280" t="n"/>
      <c r="AJ149" s="280" t="n"/>
      <c r="AK149" s="280" t="n"/>
      <c r="AL149" s="280" t="n"/>
      <c r="AM149" s="280" t="n"/>
      <c r="AN149" s="280" t="n"/>
      <c r="AO149" s="280" t="n"/>
      <c r="AP149" s="280" t="n"/>
      <c r="AQ149" s="280" t="n"/>
      <c r="AR149" s="280" t="n"/>
      <c r="AS149" s="280" t="n"/>
      <c r="AT149" s="281" t="n"/>
      <c r="AU149" s="287" t="inlineStr">
        <is>
          <t>Halon 1301 extinguishing system
CFC 901.5 &amp; NFPA 12A-2015 § 6.7
Acceptance testing</t>
        </is>
      </c>
      <c r="AV149" s="663" t="n"/>
      <c r="AW149" s="663" t="n"/>
      <c r="AX149" s="328" t="n"/>
      <c r="AY149" s="288" t="n"/>
      <c r="AZ149" s="4" t="n"/>
      <c r="BD149" s="129" t="n"/>
    </row>
    <row r="150" hidden="1" ht="37" customHeight="1" thickBot="1">
      <c r="B150" s="3" t="n"/>
      <c r="C150" s="2" t="n"/>
      <c r="D150" s="136" t="inlineStr">
        <is>
          <t>B-FP18</t>
        </is>
      </c>
      <c r="E150" s="279" t="n"/>
      <c r="F150" s="280" t="n"/>
      <c r="G150" s="280" t="n"/>
      <c r="H150" s="280" t="n"/>
      <c r="I150" s="280" t="n"/>
      <c r="J150" s="280" t="n"/>
      <c r="K150" s="280" t="n"/>
      <c r="L150" s="280" t="n"/>
      <c r="M150" s="280" t="n"/>
      <c r="N150" s="280" t="n"/>
      <c r="O150" s="280" t="n"/>
      <c r="P150" s="280" t="n"/>
      <c r="Q150" s="280" t="n"/>
      <c r="R150" s="280" t="n"/>
      <c r="S150" s="280" t="n"/>
      <c r="T150" s="280" t="n"/>
      <c r="U150" s="280" t="n"/>
      <c r="V150" s="280" t="n"/>
      <c r="W150" s="280" t="n"/>
      <c r="X150" s="280" t="n"/>
      <c r="Y150" s="280" t="n"/>
      <c r="Z150" s="280" t="n"/>
      <c r="AA150" s="280" t="n"/>
      <c r="AB150" s="280" t="n"/>
      <c r="AC150" s="280" t="n"/>
      <c r="AD150" s="280" t="n"/>
      <c r="AE150" s="280" t="n"/>
      <c r="AF150" s="280" t="n"/>
      <c r="AG150" s="280" t="n"/>
      <c r="AH150" s="280" t="n"/>
      <c r="AI150" s="280" t="n"/>
      <c r="AJ150" s="280" t="n"/>
      <c r="AK150" s="280" t="n"/>
      <c r="AL150" s="280" t="n"/>
      <c r="AM150" s="280" t="n"/>
      <c r="AN150" s="280" t="n"/>
      <c r="AO150" s="280" t="n"/>
      <c r="AP150" s="280" t="n"/>
      <c r="AQ150" s="280" t="n"/>
      <c r="AR150" s="280" t="n"/>
      <c r="AS150" s="280" t="n"/>
      <c r="AT150" s="281" t="n"/>
      <c r="AU150" s="287" t="inlineStr">
        <is>
          <t>Underground fuel storage tank
CFC 5704.2.12 &amp; NFPA 30-2018 § 21.5.1
Initial  testing</t>
        </is>
      </c>
      <c r="AV150" s="663" t="n"/>
      <c r="AW150" s="663" t="n"/>
      <c r="AX150" s="328" t="n"/>
      <c r="AY150" s="288" t="n"/>
      <c r="AZ150" s="4" t="n"/>
      <c r="BD150" s="129" t="n"/>
    </row>
    <row r="151" hidden="1" ht="37" customHeight="1" thickBot="1">
      <c r="B151" s="3" t="n"/>
      <c r="C151" s="2" t="n"/>
      <c r="D151" s="136" t="inlineStr">
        <is>
          <t>B-FP19</t>
        </is>
      </c>
      <c r="E151" s="279" t="n"/>
      <c r="F151" s="280" t="n"/>
      <c r="G151" s="280" t="n"/>
      <c r="H151" s="280" t="n"/>
      <c r="I151" s="280" t="n"/>
      <c r="J151" s="280" t="n"/>
      <c r="K151" s="280" t="n"/>
      <c r="L151" s="280" t="n"/>
      <c r="M151" s="280" t="n"/>
      <c r="N151" s="280" t="n"/>
      <c r="O151" s="280" t="n"/>
      <c r="P151" s="280" t="n"/>
      <c r="Q151" s="280" t="n"/>
      <c r="R151" s="280" t="n"/>
      <c r="S151" s="280" t="n"/>
      <c r="T151" s="280" t="n"/>
      <c r="U151" s="280" t="n"/>
      <c r="V151" s="280" t="n"/>
      <c r="W151" s="280" t="n"/>
      <c r="X151" s="280" t="n"/>
      <c r="Y151" s="280" t="n"/>
      <c r="Z151" s="280" t="n"/>
      <c r="AA151" s="280" t="n"/>
      <c r="AB151" s="280" t="n"/>
      <c r="AC151" s="280" t="n"/>
      <c r="AD151" s="280" t="n"/>
      <c r="AE151" s="280" t="n"/>
      <c r="AF151" s="280" t="n"/>
      <c r="AG151" s="280" t="n"/>
      <c r="AH151" s="280" t="n"/>
      <c r="AI151" s="280" t="n"/>
      <c r="AJ151" s="280" t="n"/>
      <c r="AK151" s="280" t="n"/>
      <c r="AL151" s="280" t="n"/>
      <c r="AM151" s="280" t="n"/>
      <c r="AN151" s="280" t="n"/>
      <c r="AO151" s="280" t="n"/>
      <c r="AP151" s="280" t="n"/>
      <c r="AQ151" s="280" t="n"/>
      <c r="AR151" s="280" t="n"/>
      <c r="AS151" s="280" t="n"/>
      <c r="AT151" s="281" t="n"/>
      <c r="AU151" s="287" t="inlineStr">
        <is>
          <t>Underground fuel storage tank
CFC 5704.2.12 &amp; NFPA 30-2018 § 21.5.2
Tightness testing</t>
        </is>
      </c>
      <c r="AV151" s="663" t="n"/>
      <c r="AW151" s="663" t="n"/>
      <c r="AX151" s="328" t="n"/>
      <c r="AY151" s="288" t="n"/>
      <c r="AZ151" s="4" t="n"/>
      <c r="BD151" s="129" t="n"/>
    </row>
    <row r="152" hidden="1" ht="37" customHeight="1" thickBot="1">
      <c r="B152" s="3" t="n"/>
      <c r="C152" s="2" t="n"/>
      <c r="D152" s="136" t="inlineStr">
        <is>
          <t>B-FP20</t>
        </is>
      </c>
      <c r="E152" s="279" t="n"/>
      <c r="F152" s="280" t="n"/>
      <c r="G152" s="280" t="n"/>
      <c r="H152" s="280" t="n"/>
      <c r="I152" s="280" t="n"/>
      <c r="J152" s="280" t="n"/>
      <c r="K152" s="280" t="n"/>
      <c r="L152" s="280" t="n"/>
      <c r="M152" s="280" t="n"/>
      <c r="N152" s="280" t="n"/>
      <c r="O152" s="280" t="n"/>
      <c r="P152" s="280" t="n"/>
      <c r="Q152" s="280" t="n"/>
      <c r="R152" s="280" t="n"/>
      <c r="S152" s="280" t="n"/>
      <c r="T152" s="280" t="n"/>
      <c r="U152" s="280" t="n"/>
      <c r="V152" s="280" t="n"/>
      <c r="W152" s="280" t="n"/>
      <c r="X152" s="280" t="n"/>
      <c r="Y152" s="280" t="n"/>
      <c r="Z152" s="280" t="n"/>
      <c r="AA152" s="280" t="n"/>
      <c r="AB152" s="280" t="n"/>
      <c r="AC152" s="280" t="n"/>
      <c r="AD152" s="280" t="n"/>
      <c r="AE152" s="280" t="n"/>
      <c r="AF152" s="280" t="n"/>
      <c r="AG152" s="280" t="n"/>
      <c r="AH152" s="280" t="n"/>
      <c r="AI152" s="280" t="n"/>
      <c r="AJ152" s="280" t="n"/>
      <c r="AK152" s="280" t="n"/>
      <c r="AL152" s="280" t="n"/>
      <c r="AM152" s="280" t="n"/>
      <c r="AN152" s="280" t="n"/>
      <c r="AO152" s="280" t="n"/>
      <c r="AP152" s="280" t="n"/>
      <c r="AQ152" s="280" t="n"/>
      <c r="AR152" s="280" t="n"/>
      <c r="AS152" s="280" t="n"/>
      <c r="AT152" s="281" t="n"/>
      <c r="AU152" s="287" t="inlineStr">
        <is>
          <t>Flammable and combustible liquid fuel piping
CFC 5703.6.3
Pressure testing</t>
        </is>
      </c>
      <c r="AV152" s="663" t="n"/>
      <c r="AW152" s="663" t="n"/>
      <c r="AX152" s="328" t="n"/>
      <c r="AY152" s="288" t="n"/>
      <c r="AZ152" s="4" t="n"/>
      <c r="BD152" s="129" t="n"/>
    </row>
    <row r="153" hidden="1" ht="37" customHeight="1" thickBot="1">
      <c r="B153" s="3" t="n"/>
      <c r="C153" s="2" t="n"/>
      <c r="D153" s="136" t="inlineStr">
        <is>
          <t>B-FP21</t>
        </is>
      </c>
      <c r="E153" s="279" t="n"/>
      <c r="F153" s="280" t="n"/>
      <c r="G153" s="280" t="n"/>
      <c r="H153" s="280" t="n"/>
      <c r="I153" s="280" t="n"/>
      <c r="J153" s="280" t="n"/>
      <c r="K153" s="280" t="n"/>
      <c r="L153" s="280" t="n"/>
      <c r="M153" s="280" t="n"/>
      <c r="N153" s="280" t="n"/>
      <c r="O153" s="280" t="n"/>
      <c r="P153" s="280" t="n"/>
      <c r="Q153" s="280" t="n"/>
      <c r="R153" s="280" t="n"/>
      <c r="S153" s="280" t="n"/>
      <c r="T153" s="280" t="n"/>
      <c r="U153" s="280" t="n"/>
      <c r="V153" s="280" t="n"/>
      <c r="W153" s="280" t="n"/>
      <c r="X153" s="280" t="n"/>
      <c r="Y153" s="280" t="n"/>
      <c r="Z153" s="280" t="n"/>
      <c r="AA153" s="280" t="n"/>
      <c r="AB153" s="280" t="n"/>
      <c r="AC153" s="280" t="n"/>
      <c r="AD153" s="280" t="n"/>
      <c r="AE153" s="280" t="n"/>
      <c r="AF153" s="280" t="n"/>
      <c r="AG153" s="280" t="n"/>
      <c r="AH153" s="280" t="n"/>
      <c r="AI153" s="280" t="n"/>
      <c r="AJ153" s="280" t="n"/>
      <c r="AK153" s="280" t="n"/>
      <c r="AL153" s="280" t="n"/>
      <c r="AM153" s="280" t="n"/>
      <c r="AN153" s="280" t="n"/>
      <c r="AO153" s="280" t="n"/>
      <c r="AP153" s="280" t="n"/>
      <c r="AQ153" s="280" t="n"/>
      <c r="AR153" s="280" t="n"/>
      <c r="AS153" s="280" t="n"/>
      <c r="AT153" s="281" t="n"/>
      <c r="AU153" s="287" t="inlineStr">
        <is>
          <t>Emergency Responder Radio Coverage
CFC 510.5.3
Acceptance test procedure</t>
        </is>
      </c>
      <c r="AV153" s="663" t="n"/>
      <c r="AW153" s="663" t="n"/>
      <c r="AX153" s="328" t="n"/>
      <c r="AY153" s="288" t="n"/>
      <c r="AZ153" s="4" t="n"/>
      <c r="BD153" s="129" t="n"/>
    </row>
    <row r="154" hidden="1" ht="37" customHeight="1" thickBot="1">
      <c r="B154" s="3" t="n"/>
      <c r="C154" s="2" t="n"/>
      <c r="D154" s="136" t="inlineStr">
        <is>
          <t>B-FP22</t>
        </is>
      </c>
      <c r="E154" s="279" t="n"/>
      <c r="F154" s="280" t="n"/>
      <c r="G154" s="280" t="n"/>
      <c r="H154" s="280" t="n"/>
      <c r="I154" s="280" t="n"/>
      <c r="J154" s="280" t="n"/>
      <c r="K154" s="280" t="n"/>
      <c r="L154" s="280" t="n"/>
      <c r="M154" s="280" t="n"/>
      <c r="N154" s="280" t="n"/>
      <c r="O154" s="280" t="n"/>
      <c r="P154" s="280" t="n"/>
      <c r="Q154" s="280" t="n"/>
      <c r="R154" s="280" t="n"/>
      <c r="S154" s="280" t="n"/>
      <c r="T154" s="280" t="n"/>
      <c r="U154" s="280" t="n"/>
      <c r="V154" s="280" t="n"/>
      <c r="W154" s="280" t="n"/>
      <c r="X154" s="280" t="n"/>
      <c r="Y154" s="280" t="n"/>
      <c r="Z154" s="280" t="n"/>
      <c r="AA154" s="280" t="n"/>
      <c r="AB154" s="280" t="n"/>
      <c r="AC154" s="280" t="n"/>
      <c r="AD154" s="280" t="n"/>
      <c r="AE154" s="280" t="n"/>
      <c r="AF154" s="280" t="n"/>
      <c r="AG154" s="280" t="n"/>
      <c r="AH154" s="280" t="n"/>
      <c r="AI154" s="280" t="n"/>
      <c r="AJ154" s="280" t="n"/>
      <c r="AK154" s="280" t="n"/>
      <c r="AL154" s="280" t="n"/>
      <c r="AM154" s="280" t="n"/>
      <c r="AN154" s="280" t="n"/>
      <c r="AO154" s="280" t="n"/>
      <c r="AP154" s="280" t="n"/>
      <c r="AQ154" s="280" t="n"/>
      <c r="AR154" s="280" t="n"/>
      <c r="AS154" s="280" t="n"/>
      <c r="AT154" s="281" t="n"/>
      <c r="AU154" s="287" t="inlineStr">
        <is>
          <t>Testing of Elevator Shutdown
2019 C.B.C. 3005.5, NFPA 72-2016 21.4 and ASME A17.1-2013</t>
        </is>
      </c>
      <c r="AV154" s="663" t="n"/>
      <c r="AW154" s="663" t="n"/>
      <c r="AX154" s="328" t="n"/>
      <c r="AY154" s="288" t="n"/>
      <c r="AZ154" s="4" t="n"/>
      <c r="BD154" s="126" t="n"/>
    </row>
    <row r="155" hidden="1" ht="37" customHeight="1" thickBot="1">
      <c r="B155" s="3" t="n"/>
      <c r="C155" s="2" t="n"/>
      <c r="D155" s="136" t="inlineStr">
        <is>
          <t>B-FP23</t>
        </is>
      </c>
      <c r="E155" s="279" t="n"/>
      <c r="F155" s="280" t="n"/>
      <c r="G155" s="280" t="n"/>
      <c r="H155" s="280" t="n"/>
      <c r="I155" s="280" t="n"/>
      <c r="J155" s="280" t="n"/>
      <c r="K155" s="280" t="n"/>
      <c r="L155" s="280" t="n"/>
      <c r="M155" s="280" t="n"/>
      <c r="N155" s="280" t="n"/>
      <c r="O155" s="280" t="n"/>
      <c r="P155" s="280" t="n"/>
      <c r="Q155" s="280" t="n"/>
      <c r="R155" s="280" t="n"/>
      <c r="S155" s="280" t="n"/>
      <c r="T155" s="280" t="n"/>
      <c r="U155" s="280" t="n"/>
      <c r="V155" s="280" t="n"/>
      <c r="W155" s="280" t="n"/>
      <c r="X155" s="280" t="n"/>
      <c r="Y155" s="280" t="n"/>
      <c r="Z155" s="280" t="n"/>
      <c r="AA155" s="280" t="n"/>
      <c r="AB155" s="280" t="n"/>
      <c r="AC155" s="280" t="n"/>
      <c r="AD155" s="280" t="n"/>
      <c r="AE155" s="280" t="n"/>
      <c r="AF155" s="280" t="n"/>
      <c r="AG155" s="280" t="n"/>
      <c r="AH155" s="280" t="n"/>
      <c r="AI155" s="280" t="n"/>
      <c r="AJ155" s="280" t="n"/>
      <c r="AK155" s="280" t="n"/>
      <c r="AL155" s="280" t="n"/>
      <c r="AM155" s="280" t="n"/>
      <c r="AN155" s="280" t="n"/>
      <c r="AO155" s="280" t="n"/>
      <c r="AP155" s="280" t="n"/>
      <c r="AQ155" s="280" t="n"/>
      <c r="AR155" s="280" t="n"/>
      <c r="AS155" s="280" t="n"/>
      <c r="AT155" s="281" t="n"/>
      <c r="AU155" s="287" t="inlineStr">
        <is>
          <t>Elevator Emergency Operation
2019 CBC 3003.2
Emergency Recal and In-cart operation</t>
        </is>
      </c>
      <c r="AV155" s="663" t="n"/>
      <c r="AW155" s="663" t="n"/>
      <c r="AX155" s="328" t="n"/>
      <c r="AY155" s="288" t="n"/>
      <c r="AZ155" s="4" t="n"/>
      <c r="BD155" s="126" t="n"/>
    </row>
    <row r="156" hidden="1" ht="37" customHeight="1" thickBot="1">
      <c r="B156" s="3" t="n"/>
      <c r="C156" s="2" t="n"/>
      <c r="D156" s="136" t="inlineStr">
        <is>
          <t>B-FP24</t>
        </is>
      </c>
      <c r="E156" s="279" t="n"/>
      <c r="F156" s="280" t="n"/>
      <c r="G156" s="280" t="n"/>
      <c r="H156" s="280" t="n"/>
      <c r="I156" s="280" t="n"/>
      <c r="J156" s="280" t="n"/>
      <c r="K156" s="280" t="n"/>
      <c r="L156" s="280" t="n"/>
      <c r="M156" s="280" t="n"/>
      <c r="N156" s="280" t="n"/>
      <c r="O156" s="280" t="n"/>
      <c r="P156" s="280" t="n"/>
      <c r="Q156" s="280" t="n"/>
      <c r="R156" s="280" t="n"/>
      <c r="S156" s="280" t="n"/>
      <c r="T156" s="280" t="n"/>
      <c r="U156" s="280" t="n"/>
      <c r="V156" s="280" t="n"/>
      <c r="W156" s="280" t="n"/>
      <c r="X156" s="280" t="n"/>
      <c r="Y156" s="280" t="n"/>
      <c r="Z156" s="280" t="n"/>
      <c r="AA156" s="280" t="n"/>
      <c r="AB156" s="280" t="n"/>
      <c r="AC156" s="280" t="n"/>
      <c r="AD156" s="280" t="n"/>
      <c r="AE156" s="280" t="n"/>
      <c r="AF156" s="280" t="n"/>
      <c r="AG156" s="280" t="n"/>
      <c r="AH156" s="280" t="n"/>
      <c r="AI156" s="280" t="n"/>
      <c r="AJ156" s="280" t="n"/>
      <c r="AK156" s="280" t="n"/>
      <c r="AL156" s="280" t="n"/>
      <c r="AM156" s="280" t="n"/>
      <c r="AN156" s="280" t="n"/>
      <c r="AO156" s="280" t="n"/>
      <c r="AP156" s="280" t="n"/>
      <c r="AQ156" s="280" t="n"/>
      <c r="AR156" s="280" t="n"/>
      <c r="AS156" s="280" t="n"/>
      <c r="AT156" s="281" t="n"/>
      <c r="AU156" s="287" t="inlineStr">
        <is>
          <t>Elevator Emergency Standby Power
2019 CBC 3003.1
Backup Generator Engaged</t>
        </is>
      </c>
      <c r="AV156" s="663" t="n"/>
      <c r="AW156" s="663" t="n"/>
      <c r="AX156" s="328" t="n"/>
      <c r="AY156" s="288" t="n"/>
      <c r="AZ156" s="4" t="n"/>
      <c r="BD156" s="126" t="n"/>
    </row>
    <row r="157" hidden="1" ht="33" customHeight="1" thickBot="1">
      <c r="B157" s="3" t="n"/>
      <c r="C157" s="2" t="n"/>
      <c r="D157" s="136" t="inlineStr">
        <is>
          <t>B-FP25</t>
        </is>
      </c>
      <c r="E157" s="279" t="n"/>
      <c r="F157" s="280" t="n"/>
      <c r="G157" s="280" t="n"/>
      <c r="H157" s="280" t="n"/>
      <c r="I157" s="280" t="n"/>
      <c r="J157" s="280" t="n"/>
      <c r="K157" s="280" t="n"/>
      <c r="L157" s="280" t="n"/>
      <c r="M157" s="280" t="n"/>
      <c r="N157" s="280" t="n"/>
      <c r="O157" s="280" t="n"/>
      <c r="P157" s="280" t="n"/>
      <c r="Q157" s="280" t="n"/>
      <c r="R157" s="280" t="n"/>
      <c r="S157" s="280" t="n"/>
      <c r="T157" s="280" t="n"/>
      <c r="U157" s="280" t="n"/>
      <c r="V157" s="280" t="n"/>
      <c r="W157" s="280" t="n"/>
      <c r="X157" s="280" t="n"/>
      <c r="Y157" s="280" t="n"/>
      <c r="Z157" s="280" t="n"/>
      <c r="AA157" s="280" t="n"/>
      <c r="AB157" s="280" t="n"/>
      <c r="AC157" s="280" t="n"/>
      <c r="AD157" s="280" t="n"/>
      <c r="AE157" s="280" t="n"/>
      <c r="AF157" s="280" t="n"/>
      <c r="AG157" s="280" t="n"/>
      <c r="AH157" s="280" t="n"/>
      <c r="AI157" s="280" t="n"/>
      <c r="AJ157" s="280" t="n"/>
      <c r="AK157" s="280" t="n"/>
      <c r="AL157" s="280" t="n"/>
      <c r="AM157" s="280" t="n"/>
      <c r="AN157" s="280" t="n"/>
      <c r="AO157" s="280" t="n"/>
      <c r="AP157" s="280" t="n"/>
      <c r="AQ157" s="280" t="n"/>
      <c r="AR157" s="280" t="n"/>
      <c r="AS157" s="280" t="n"/>
      <c r="AT157" s="281" t="n"/>
      <c r="AU157" s="287" t="n"/>
      <c r="AV157" s="663" t="n"/>
      <c r="AW157" s="663" t="n"/>
      <c r="AX157" s="328" t="n"/>
      <c r="AY157" s="288" t="n"/>
      <c r="AZ157" s="4" t="n"/>
      <c r="BD157" s="126" t="n"/>
    </row>
    <row r="158" hidden="1" ht="33" customHeight="1" thickBot="1">
      <c r="B158" s="3" t="n"/>
      <c r="C158" s="2" t="n"/>
      <c r="D158" s="136" t="inlineStr">
        <is>
          <t>B-FP26</t>
        </is>
      </c>
      <c r="E158" s="282" t="n"/>
      <c r="F158" s="283" t="n"/>
      <c r="G158" s="283" t="n"/>
      <c r="H158" s="283" t="n"/>
      <c r="I158" s="283" t="n"/>
      <c r="J158" s="283" t="n"/>
      <c r="K158" s="283" t="n"/>
      <c r="L158" s="283" t="n"/>
      <c r="M158" s="283" t="n"/>
      <c r="N158" s="283" t="n"/>
      <c r="O158" s="283" t="n"/>
      <c r="P158" s="283" t="n"/>
      <c r="Q158" s="283" t="n"/>
      <c r="R158" s="283" t="n"/>
      <c r="S158" s="283" t="n"/>
      <c r="T158" s="283" t="n"/>
      <c r="U158" s="283" t="n"/>
      <c r="V158" s="283" t="n"/>
      <c r="W158" s="283" t="n"/>
      <c r="X158" s="283" t="n"/>
      <c r="Y158" s="283" t="n"/>
      <c r="Z158" s="283" t="n"/>
      <c r="AA158" s="283" t="n"/>
      <c r="AB158" s="283" t="n"/>
      <c r="AC158" s="283" t="n"/>
      <c r="AD158" s="283" t="n"/>
      <c r="AE158" s="283" t="n"/>
      <c r="AF158" s="283" t="n"/>
      <c r="AG158" s="283" t="n"/>
      <c r="AH158" s="283" t="n"/>
      <c r="AI158" s="283" t="n"/>
      <c r="AJ158" s="283" t="n"/>
      <c r="AK158" s="283" t="n"/>
      <c r="AL158" s="283" t="n"/>
      <c r="AM158" s="283" t="n"/>
      <c r="AN158" s="283" t="n"/>
      <c r="AO158" s="283" t="n"/>
      <c r="AP158" s="283" t="n"/>
      <c r="AQ158" s="283" t="n"/>
      <c r="AR158" s="283" t="n"/>
      <c r="AS158" s="283" t="n"/>
      <c r="AT158" s="284" t="n"/>
      <c r="AU158" s="318" t="n"/>
      <c r="AV158" s="670" t="n"/>
      <c r="AW158" s="670" t="n"/>
      <c r="AX158" s="329" t="n"/>
      <c r="AY158" s="294" t="n"/>
      <c r="AZ158" s="4" t="n"/>
      <c r="BD158" s="126" t="n"/>
    </row>
    <row r="159" hidden="1" ht="18" customHeight="1" thickBot="1">
      <c r="A159" s="96" t="inlineStr">
        <is>
          <t>x6</t>
        </is>
      </c>
      <c r="B159" s="26" t="inlineStr">
        <is>
          <t>OTHER TESTS</t>
        </is>
      </c>
      <c r="C159" s="27" t="n"/>
      <c r="D159" s="27" t="n"/>
      <c r="E159" s="166" t="n"/>
      <c r="F159" s="166" t="n"/>
      <c r="G159" s="166" t="n"/>
      <c r="H159" s="166" t="n"/>
      <c r="I159" s="166" t="n"/>
      <c r="J159" s="166" t="n"/>
      <c r="K159" s="166" t="n"/>
      <c r="L159" s="166" t="n"/>
      <c r="M159" s="166" t="n"/>
      <c r="N159" s="166" t="n"/>
      <c r="O159" s="166" t="n"/>
      <c r="P159" s="166" t="n"/>
      <c r="Q159" s="166" t="n"/>
      <c r="R159" s="166" t="n"/>
      <c r="S159" s="166" t="n"/>
      <c r="T159" s="166" t="n"/>
      <c r="U159" s="166" t="n"/>
      <c r="V159" s="166" t="n"/>
      <c r="W159" s="166" t="n"/>
      <c r="X159" s="166" t="n"/>
      <c r="Y159" s="166" t="n"/>
      <c r="Z159" s="166" t="n"/>
      <c r="AA159" s="166" t="n"/>
      <c r="AB159" s="166" t="n"/>
      <c r="AC159" s="166" t="n"/>
      <c r="AD159" s="166" t="n"/>
      <c r="AE159" s="166" t="n"/>
      <c r="AF159" s="166" t="n"/>
      <c r="AG159" s="166" t="n"/>
      <c r="AH159" s="166" t="n"/>
      <c r="AI159" s="166" t="n"/>
      <c r="AJ159" s="166" t="n"/>
      <c r="AK159" s="166" t="n"/>
      <c r="AL159" s="166" t="n"/>
      <c r="AM159" s="166" t="n"/>
      <c r="AN159" s="166" t="n"/>
      <c r="AO159" s="166" t="n"/>
      <c r="AP159" s="166" t="n"/>
      <c r="AQ159" s="166" t="n"/>
      <c r="AR159" s="166" t="n"/>
      <c r="AS159" s="166" t="n"/>
      <c r="AT159" s="166" t="n"/>
      <c r="AU159" s="27" t="n"/>
      <c r="AV159" s="51" t="n"/>
      <c r="AW159" s="51" t="n"/>
      <c r="AX159" s="27" t="n"/>
      <c r="AY159" s="51" t="n"/>
      <c r="AZ159" s="28" t="n"/>
      <c r="BD159" s="126" t="n"/>
    </row>
    <row r="160" hidden="1" ht="37" customHeight="1" thickBot="1">
      <c r="B160" s="3" t="n"/>
      <c r="C160" s="2" t="n"/>
      <c r="D160" s="136" t="inlineStr">
        <is>
          <t>B-OT1</t>
        </is>
      </c>
      <c r="E160" s="276" t="n"/>
      <c r="F160" s="277" t="n"/>
      <c r="G160" s="277" t="n"/>
      <c r="H160" s="277" t="n"/>
      <c r="I160" s="277" t="n"/>
      <c r="J160" s="277" t="n"/>
      <c r="K160" s="277" t="n"/>
      <c r="L160" s="277" t="n"/>
      <c r="M160" s="277" t="n"/>
      <c r="N160" s="277" t="n"/>
      <c r="O160" s="277" t="n"/>
      <c r="P160" s="277" t="n"/>
      <c r="Q160" s="277" t="n"/>
      <c r="R160" s="277" t="n"/>
      <c r="S160" s="277" t="n"/>
      <c r="T160" s="277" t="n"/>
      <c r="U160" s="277" t="n"/>
      <c r="V160" s="277" t="n"/>
      <c r="W160" s="277" t="n"/>
      <c r="X160" s="277" t="n"/>
      <c r="Y160" s="277" t="n"/>
      <c r="Z160" s="277" t="n"/>
      <c r="AA160" s="277" t="n"/>
      <c r="AB160" s="277" t="n"/>
      <c r="AC160" s="277" t="n"/>
      <c r="AD160" s="277" t="n"/>
      <c r="AE160" s="277" t="n"/>
      <c r="AF160" s="277" t="n"/>
      <c r="AG160" s="277" t="n"/>
      <c r="AH160" s="277" t="n"/>
      <c r="AI160" s="277" t="n"/>
      <c r="AJ160" s="277" t="n"/>
      <c r="AK160" s="277" t="n"/>
      <c r="AL160" s="277" t="n"/>
      <c r="AM160" s="277" t="n"/>
      <c r="AN160" s="277" t="n"/>
      <c r="AO160" s="277" t="n"/>
      <c r="AP160" s="277" t="n"/>
      <c r="AQ160" s="277" t="n"/>
      <c r="AR160" s="277" t="n"/>
      <c r="AS160" s="277" t="n"/>
      <c r="AT160" s="278" t="n"/>
      <c r="AU160" s="285" t="inlineStr">
        <is>
          <t>Radiation Shielding Barriers
CBC 1705A.1.1 and 3102C
Radiation shielding barrier test</t>
        </is>
      </c>
      <c r="AV160" s="664" t="n"/>
      <c r="AW160" s="664" t="n"/>
      <c r="AX160" s="664" t="n"/>
      <c r="AY160" s="286" t="n"/>
      <c r="AZ160" s="4" t="n"/>
      <c r="BD160" s="129" t="n"/>
    </row>
    <row r="161" hidden="1" ht="37" customHeight="1" thickBot="1">
      <c r="B161" s="3" t="n"/>
      <c r="C161" s="2" t="n"/>
      <c r="D161" s="136" t="inlineStr">
        <is>
          <t>B-OT2</t>
        </is>
      </c>
      <c r="E161" s="279" t="n"/>
      <c r="F161" s="280" t="n"/>
      <c r="G161" s="280" t="n"/>
      <c r="H161" s="280" t="n"/>
      <c r="I161" s="280" t="n"/>
      <c r="J161" s="280" t="n"/>
      <c r="K161" s="280" t="n"/>
      <c r="L161" s="280" t="n"/>
      <c r="M161" s="280" t="n"/>
      <c r="N161" s="280" t="n"/>
      <c r="O161" s="280" t="n"/>
      <c r="P161" s="280" t="n"/>
      <c r="Q161" s="280" t="n"/>
      <c r="R161" s="280" t="n"/>
      <c r="S161" s="280" t="n"/>
      <c r="T161" s="280" t="n"/>
      <c r="U161" s="280" t="n"/>
      <c r="V161" s="280" t="n"/>
      <c r="W161" s="280" t="n"/>
      <c r="X161" s="280" t="n"/>
      <c r="Y161" s="280" t="n"/>
      <c r="Z161" s="280" t="n"/>
      <c r="AA161" s="280" t="n"/>
      <c r="AB161" s="280" t="n"/>
      <c r="AC161" s="280" t="n"/>
      <c r="AD161" s="280" t="n"/>
      <c r="AE161" s="280" t="n"/>
      <c r="AF161" s="280" t="n"/>
      <c r="AG161" s="280" t="n"/>
      <c r="AH161" s="280" t="n"/>
      <c r="AI161" s="280" t="n"/>
      <c r="AJ161" s="280" t="n"/>
      <c r="AK161" s="280" t="n"/>
      <c r="AL161" s="280" t="n"/>
      <c r="AM161" s="280" t="n"/>
      <c r="AN161" s="280" t="n"/>
      <c r="AO161" s="280" t="n"/>
      <c r="AP161" s="280" t="n"/>
      <c r="AQ161" s="280" t="n"/>
      <c r="AR161" s="280" t="n"/>
      <c r="AS161" s="280" t="n"/>
      <c r="AT161" s="281" t="n"/>
      <c r="AU161" s="287" t="inlineStr">
        <is>
          <t>Exit Signs
CBC 1013.1
Location, Illumination and Physical Characteristics</t>
        </is>
      </c>
      <c r="AV161" s="663" t="n"/>
      <c r="AW161" s="663" t="n"/>
      <c r="AX161" s="663" t="n"/>
      <c r="AY161" s="288" t="n"/>
      <c r="AZ161" s="4" t="n"/>
      <c r="BD161" s="126" t="n"/>
    </row>
    <row r="162" hidden="1" ht="37" customHeight="1" thickBot="1">
      <c r="B162" s="3" t="n"/>
      <c r="C162" s="2" t="n"/>
      <c r="D162" s="136" t="inlineStr">
        <is>
          <t>B-OT3</t>
        </is>
      </c>
      <c r="E162" s="279" t="n"/>
      <c r="F162" s="280" t="n"/>
      <c r="G162" s="280" t="n"/>
      <c r="H162" s="280" t="n"/>
      <c r="I162" s="280" t="n"/>
      <c r="J162" s="280" t="n"/>
      <c r="K162" s="280" t="n"/>
      <c r="L162" s="280" t="n"/>
      <c r="M162" s="280" t="n"/>
      <c r="N162" s="280" t="n"/>
      <c r="O162" s="280" t="n"/>
      <c r="P162" s="280" t="n"/>
      <c r="Q162" s="280" t="n"/>
      <c r="R162" s="280" t="n"/>
      <c r="S162" s="280" t="n"/>
      <c r="T162" s="280" t="n"/>
      <c r="U162" s="280" t="n"/>
      <c r="V162" s="280" t="n"/>
      <c r="W162" s="280" t="n"/>
      <c r="X162" s="280" t="n"/>
      <c r="Y162" s="280" t="n"/>
      <c r="Z162" s="280" t="n"/>
      <c r="AA162" s="280" t="n"/>
      <c r="AB162" s="280" t="n"/>
      <c r="AC162" s="280" t="n"/>
      <c r="AD162" s="280" t="n"/>
      <c r="AE162" s="280" t="n"/>
      <c r="AF162" s="280" t="n"/>
      <c r="AG162" s="280" t="n"/>
      <c r="AH162" s="280" t="n"/>
      <c r="AI162" s="280" t="n"/>
      <c r="AJ162" s="280" t="n"/>
      <c r="AK162" s="280" t="n"/>
      <c r="AL162" s="280" t="n"/>
      <c r="AM162" s="280" t="n"/>
      <c r="AN162" s="280" t="n"/>
      <c r="AO162" s="280" t="n"/>
      <c r="AP162" s="280" t="n"/>
      <c r="AQ162" s="280" t="n"/>
      <c r="AR162" s="280" t="n"/>
      <c r="AS162" s="280" t="n"/>
      <c r="AT162" s="281" t="n"/>
      <c r="AU162" s="287" t="inlineStr">
        <is>
          <t>Aluminum Mullion Systems
CBC 2411.1.2
Testing and Inspection of Thermal Barriers</t>
        </is>
      </c>
      <c r="AV162" s="663" t="n"/>
      <c r="AW162" s="663" t="n"/>
      <c r="AX162" s="663" t="n"/>
      <c r="AY162" s="288" t="n"/>
      <c r="AZ162" s="4" t="n"/>
      <c r="BD162" s="126" t="n"/>
    </row>
    <row r="163" hidden="1" ht="37" customHeight="1" thickBot="1">
      <c r="B163" s="3" t="n"/>
      <c r="C163" s="2" t="n"/>
      <c r="D163" s="136" t="inlineStr">
        <is>
          <t>B-OT4</t>
        </is>
      </c>
      <c r="E163" s="279" t="n"/>
      <c r="F163" s="280" t="n"/>
      <c r="G163" s="280" t="n"/>
      <c r="H163" s="280" t="n"/>
      <c r="I163" s="280" t="n"/>
      <c r="J163" s="280" t="n"/>
      <c r="K163" s="280" t="n"/>
      <c r="L163" s="280" t="n"/>
      <c r="M163" s="280" t="n"/>
      <c r="N163" s="280" t="n"/>
      <c r="O163" s="280" t="n"/>
      <c r="P163" s="280" t="n"/>
      <c r="Q163" s="280" t="n"/>
      <c r="R163" s="280" t="n"/>
      <c r="S163" s="280" t="n"/>
      <c r="T163" s="280" t="n"/>
      <c r="U163" s="280" t="n"/>
      <c r="V163" s="280" t="n"/>
      <c r="W163" s="280" t="n"/>
      <c r="X163" s="280" t="n"/>
      <c r="Y163" s="280" t="n"/>
      <c r="Z163" s="280" t="n"/>
      <c r="AA163" s="280" t="n"/>
      <c r="AB163" s="280" t="n"/>
      <c r="AC163" s="280" t="n"/>
      <c r="AD163" s="280" t="n"/>
      <c r="AE163" s="280" t="n"/>
      <c r="AF163" s="280" t="n"/>
      <c r="AG163" s="280" t="n"/>
      <c r="AH163" s="280" t="n"/>
      <c r="AI163" s="280" t="n"/>
      <c r="AJ163" s="280" t="n"/>
      <c r="AK163" s="280" t="n"/>
      <c r="AL163" s="280" t="n"/>
      <c r="AM163" s="280" t="n"/>
      <c r="AN163" s="280" t="n"/>
      <c r="AO163" s="280" t="n"/>
      <c r="AP163" s="280" t="n"/>
      <c r="AQ163" s="280" t="n"/>
      <c r="AR163" s="280" t="n"/>
      <c r="AS163" s="280" t="n"/>
      <c r="AT163" s="281" t="n"/>
      <c r="AU163" s="287" t="inlineStr">
        <is>
          <t>Accessibility
CBC 11B
Accessibility to Public Commercial Buiildings</t>
        </is>
      </c>
      <c r="AV163" s="663" t="n"/>
      <c r="AW163" s="663" t="n"/>
      <c r="AX163" s="663" t="n"/>
      <c r="AY163" s="288" t="n"/>
      <c r="AZ163" s="4" t="n"/>
    </row>
    <row r="164" hidden="1" ht="30" customHeight="1" thickBot="1">
      <c r="B164" s="3" t="n"/>
      <c r="C164" s="2" t="n"/>
      <c r="D164" s="136" t="inlineStr">
        <is>
          <t>B-OT5</t>
        </is>
      </c>
      <c r="E164" s="279" t="n"/>
      <c r="F164" s="280" t="n"/>
      <c r="G164" s="280" t="n"/>
      <c r="H164" s="280" t="n"/>
      <c r="I164" s="280" t="n"/>
      <c r="J164" s="280" t="n"/>
      <c r="K164" s="280" t="n"/>
      <c r="L164" s="280" t="n"/>
      <c r="M164" s="280" t="n"/>
      <c r="N164" s="280" t="n"/>
      <c r="O164" s="280" t="n"/>
      <c r="P164" s="280" t="n"/>
      <c r="Q164" s="280" t="n"/>
      <c r="R164" s="280" t="n"/>
      <c r="S164" s="280" t="n"/>
      <c r="T164" s="280" t="n"/>
      <c r="U164" s="280" t="n"/>
      <c r="V164" s="280" t="n"/>
      <c r="W164" s="280" t="n"/>
      <c r="X164" s="280" t="n"/>
      <c r="Y164" s="280" t="n"/>
      <c r="Z164" s="280" t="n"/>
      <c r="AA164" s="280" t="n"/>
      <c r="AB164" s="280" t="n"/>
      <c r="AC164" s="280" t="n"/>
      <c r="AD164" s="280" t="n"/>
      <c r="AE164" s="280" t="n"/>
      <c r="AF164" s="280" t="n"/>
      <c r="AG164" s="280" t="n"/>
      <c r="AH164" s="280" t="n"/>
      <c r="AI164" s="280" t="n"/>
      <c r="AJ164" s="280" t="n"/>
      <c r="AK164" s="280" t="n"/>
      <c r="AL164" s="280" t="n"/>
      <c r="AM164" s="280" t="n"/>
      <c r="AN164" s="280" t="n"/>
      <c r="AO164" s="280" t="n"/>
      <c r="AP164" s="280" t="n"/>
      <c r="AQ164" s="280" t="n"/>
      <c r="AR164" s="280" t="n"/>
      <c r="AS164" s="280" t="n"/>
      <c r="AT164" s="281" t="n"/>
      <c r="AU164" s="287" t="n"/>
      <c r="AV164" s="663" t="n"/>
      <c r="AW164" s="663" t="n"/>
      <c r="AX164" s="663" t="n"/>
      <c r="AY164" s="288" t="n"/>
      <c r="AZ164" s="4" t="n"/>
    </row>
    <row r="165" hidden="1" ht="30" customHeight="1" thickBot="1">
      <c r="B165" s="3" t="n"/>
      <c r="C165" s="2" t="n"/>
      <c r="D165" s="136" t="inlineStr">
        <is>
          <t>B-OT6</t>
        </is>
      </c>
      <c r="E165" s="279" t="n"/>
      <c r="F165" s="280" t="n"/>
      <c r="G165" s="280" t="n"/>
      <c r="H165" s="280" t="n"/>
      <c r="I165" s="280" t="n"/>
      <c r="J165" s="280" t="n"/>
      <c r="K165" s="280" t="n"/>
      <c r="L165" s="280" t="n"/>
      <c r="M165" s="280" t="n"/>
      <c r="N165" s="280" t="n"/>
      <c r="O165" s="280" t="n"/>
      <c r="P165" s="280" t="n"/>
      <c r="Q165" s="280" t="n"/>
      <c r="R165" s="280" t="n"/>
      <c r="S165" s="280" t="n"/>
      <c r="T165" s="280" t="n"/>
      <c r="U165" s="280" t="n"/>
      <c r="V165" s="280" t="n"/>
      <c r="W165" s="280" t="n"/>
      <c r="X165" s="280" t="n"/>
      <c r="Y165" s="280" t="n"/>
      <c r="Z165" s="280" t="n"/>
      <c r="AA165" s="280" t="n"/>
      <c r="AB165" s="280" t="n"/>
      <c r="AC165" s="280" t="n"/>
      <c r="AD165" s="280" t="n"/>
      <c r="AE165" s="280" t="n"/>
      <c r="AF165" s="280" t="n"/>
      <c r="AG165" s="280" t="n"/>
      <c r="AH165" s="280" t="n"/>
      <c r="AI165" s="280" t="n"/>
      <c r="AJ165" s="280" t="n"/>
      <c r="AK165" s="280" t="n"/>
      <c r="AL165" s="280" t="n"/>
      <c r="AM165" s="280" t="n"/>
      <c r="AN165" s="280" t="n"/>
      <c r="AO165" s="280" t="n"/>
      <c r="AP165" s="280" t="n"/>
      <c r="AQ165" s="280" t="n"/>
      <c r="AR165" s="280" t="n"/>
      <c r="AS165" s="280" t="n"/>
      <c r="AT165" s="281" t="n"/>
      <c r="AU165" s="287" t="n"/>
      <c r="AV165" s="663" t="n"/>
      <c r="AW165" s="663" t="n"/>
      <c r="AX165" s="663" t="n"/>
      <c r="AY165" s="288" t="n"/>
      <c r="AZ165" s="4" t="n"/>
    </row>
    <row r="166" hidden="1" ht="30" customHeight="1" thickBot="1">
      <c r="B166" s="3" t="n"/>
      <c r="C166" s="2" t="n"/>
      <c r="D166" s="136" t="inlineStr">
        <is>
          <t>B-OT7</t>
        </is>
      </c>
      <c r="E166" s="279" t="n"/>
      <c r="F166" s="280" t="n"/>
      <c r="G166" s="280" t="n"/>
      <c r="H166" s="280" t="n"/>
      <c r="I166" s="280" t="n"/>
      <c r="J166" s="280" t="n"/>
      <c r="K166" s="280" t="n"/>
      <c r="L166" s="280" t="n"/>
      <c r="M166" s="280" t="n"/>
      <c r="N166" s="280" t="n"/>
      <c r="O166" s="280" t="n"/>
      <c r="P166" s="280" t="n"/>
      <c r="Q166" s="280" t="n"/>
      <c r="R166" s="280" t="n"/>
      <c r="S166" s="280" t="n"/>
      <c r="T166" s="280" t="n"/>
      <c r="U166" s="280" t="n"/>
      <c r="V166" s="280" t="n"/>
      <c r="W166" s="280" t="n"/>
      <c r="X166" s="280" t="n"/>
      <c r="Y166" s="280" t="n"/>
      <c r="Z166" s="280" t="n"/>
      <c r="AA166" s="280" t="n"/>
      <c r="AB166" s="280" t="n"/>
      <c r="AC166" s="280" t="n"/>
      <c r="AD166" s="280" t="n"/>
      <c r="AE166" s="280" t="n"/>
      <c r="AF166" s="280" t="n"/>
      <c r="AG166" s="280" t="n"/>
      <c r="AH166" s="280" t="n"/>
      <c r="AI166" s="280" t="n"/>
      <c r="AJ166" s="280" t="n"/>
      <c r="AK166" s="280" t="n"/>
      <c r="AL166" s="280" t="n"/>
      <c r="AM166" s="280" t="n"/>
      <c r="AN166" s="280" t="n"/>
      <c r="AO166" s="280" t="n"/>
      <c r="AP166" s="280" t="n"/>
      <c r="AQ166" s="280" t="n"/>
      <c r="AR166" s="280" t="n"/>
      <c r="AS166" s="280" t="n"/>
      <c r="AT166" s="281" t="n"/>
      <c r="AU166" s="287" t="n"/>
      <c r="AV166" s="663" t="n"/>
      <c r="AW166" s="663" t="n"/>
      <c r="AX166" s="663" t="n"/>
      <c r="AY166" s="288" t="n"/>
      <c r="AZ166" s="4" t="n"/>
    </row>
    <row r="167" hidden="1" ht="30" customHeight="1" thickBot="1">
      <c r="B167" s="3" t="n"/>
      <c r="C167" s="2" t="n"/>
      <c r="D167" s="136" t="inlineStr">
        <is>
          <t>B-OT8</t>
        </is>
      </c>
      <c r="E167" s="282" t="n"/>
      <c r="F167" s="283" t="n"/>
      <c r="G167" s="283" t="n"/>
      <c r="H167" s="283" t="n"/>
      <c r="I167" s="283" t="n"/>
      <c r="J167" s="283" t="n"/>
      <c r="K167" s="283" t="n"/>
      <c r="L167" s="283" t="n"/>
      <c r="M167" s="283" t="n"/>
      <c r="N167" s="283" t="n"/>
      <c r="O167" s="283" t="n"/>
      <c r="P167" s="283" t="n"/>
      <c r="Q167" s="283" t="n"/>
      <c r="R167" s="283" t="n"/>
      <c r="S167" s="283" t="n"/>
      <c r="T167" s="283" t="n"/>
      <c r="U167" s="283" t="n"/>
      <c r="V167" s="283" t="n"/>
      <c r="W167" s="283" t="n"/>
      <c r="X167" s="283" t="n"/>
      <c r="Y167" s="283" t="n"/>
      <c r="Z167" s="283" t="n"/>
      <c r="AA167" s="283" t="n"/>
      <c r="AB167" s="283" t="n"/>
      <c r="AC167" s="283" t="n"/>
      <c r="AD167" s="283" t="n"/>
      <c r="AE167" s="283" t="n"/>
      <c r="AF167" s="283" t="n"/>
      <c r="AG167" s="283" t="n"/>
      <c r="AH167" s="283" t="n"/>
      <c r="AI167" s="283" t="n"/>
      <c r="AJ167" s="283" t="n"/>
      <c r="AK167" s="283" t="n"/>
      <c r="AL167" s="283" t="n"/>
      <c r="AM167" s="283" t="n"/>
      <c r="AN167" s="283" t="n"/>
      <c r="AO167" s="283" t="n"/>
      <c r="AP167" s="283" t="n"/>
      <c r="AQ167" s="283" t="n"/>
      <c r="AR167" s="283" t="n"/>
      <c r="AS167" s="283" t="n"/>
      <c r="AT167" s="284" t="n"/>
      <c r="AU167" s="291" t="n"/>
      <c r="AV167" s="670" t="n"/>
      <c r="AW167" s="670" t="n"/>
      <c r="AX167" s="670" t="n"/>
      <c r="AY167" s="294" t="n"/>
      <c r="AZ167" s="4" t="n"/>
    </row>
    <row r="168" hidden="1">
      <c r="B168" s="3" t="n"/>
      <c r="C168" s="2" t="n"/>
    </row>
    <row r="169">
      <c r="B169" s="3" t="n"/>
      <c r="C169" s="2" t="n"/>
    </row>
    <row r="170">
      <c r="B170" s="3" t="n"/>
      <c r="C170" s="2" t="n"/>
      <c r="E170" s="2">
        <f>SUM(E8:E118)</f>
        <v/>
      </c>
      <c r="F170" s="2">
        <f>SUM(F8:F118)</f>
        <v/>
      </c>
      <c r="G170" s="2">
        <f>SUM(G8:G118)</f>
        <v/>
      </c>
      <c r="H170" s="2">
        <f>SUM(H8:H118)</f>
        <v/>
      </c>
      <c r="I170" s="2">
        <f>SUM(I8:I118)</f>
        <v/>
      </c>
      <c r="J170" s="2">
        <f>SUM(J8:J118)</f>
        <v/>
      </c>
      <c r="K170" s="2">
        <f>SUM(K8:K118)</f>
        <v/>
      </c>
      <c r="L170" s="2">
        <f>SUM(L8:L118)</f>
        <v/>
      </c>
      <c r="M170" s="2">
        <f>SUM(M8:M118)</f>
        <v/>
      </c>
      <c r="N170" s="2">
        <f>SUM(N8:N118)</f>
        <v/>
      </c>
      <c r="O170" s="2">
        <f>SUM(O8:O118)</f>
        <v/>
      </c>
      <c r="P170" s="2">
        <f>SUM(P8:P118)</f>
        <v/>
      </c>
      <c r="Q170" s="2">
        <f>SUM(Q8:Q118)</f>
        <v/>
      </c>
      <c r="R170" s="2">
        <f>SUM(R8:R118)</f>
        <v/>
      </c>
      <c r="S170" s="2">
        <f>SUM(S8:S118)</f>
        <v/>
      </c>
      <c r="T170" s="2">
        <f>SUM(T8:T118)</f>
        <v/>
      </c>
      <c r="U170" s="2">
        <f>SUM(U8:U118)</f>
        <v/>
      </c>
      <c r="V170" s="2">
        <f>SUM(V8:V118)</f>
        <v/>
      </c>
      <c r="W170" s="2">
        <f>SUM(W8:W118)</f>
        <v/>
      </c>
      <c r="X170" s="2">
        <f>SUM(X8:X118)</f>
        <v/>
      </c>
      <c r="Y170" s="2">
        <f>SUM(Y8:Y118)</f>
        <v/>
      </c>
      <c r="Z170" s="2">
        <f>SUM(Z8:Z118)</f>
        <v/>
      </c>
      <c r="AA170" s="2">
        <f>SUM(AA8:AA118)</f>
        <v/>
      </c>
      <c r="AB170" s="2">
        <f>SUM(AB8:AB118)</f>
        <v/>
      </c>
      <c r="AC170" s="2">
        <f>SUM(AC8:AC118)</f>
        <v/>
      </c>
      <c r="AD170" s="2">
        <f>SUM(AD8:AD118)</f>
        <v/>
      </c>
      <c r="AE170" s="2">
        <f>SUM(AE8:AE118)</f>
        <v/>
      </c>
      <c r="AF170" s="2">
        <f>SUM(AF8:AF118)</f>
        <v/>
      </c>
      <c r="AG170" s="2">
        <f>SUM(AG8:AG118)</f>
        <v/>
      </c>
      <c r="AH170" s="2">
        <f>SUM(AH8:AH118)</f>
        <v/>
      </c>
      <c r="AI170" s="2">
        <f>SUM(AI8:AI118)</f>
        <v/>
      </c>
      <c r="AJ170" s="2">
        <f>SUM(AJ8:AJ118)</f>
        <v/>
      </c>
      <c r="AK170" s="2">
        <f>SUM(AK8:AK118)</f>
        <v/>
      </c>
      <c r="AL170" s="2">
        <f>SUM(AL8:AL118)</f>
        <v/>
      </c>
      <c r="AM170" s="2">
        <f>SUM(AM8:AM118)</f>
        <v/>
      </c>
      <c r="AN170" s="2">
        <f>SUM(AN8:AN118)</f>
        <v/>
      </c>
      <c r="AO170" s="2">
        <f>SUM(AO8:AO118)</f>
        <v/>
      </c>
      <c r="AP170" s="2">
        <f>SUM(AP8:AP118)</f>
        <v/>
      </c>
      <c r="AQ170" s="2">
        <f>SUM(AQ8:AQ118)</f>
        <v/>
      </c>
      <c r="AR170" s="2">
        <f>SUM(AR8:AR118)</f>
        <v/>
      </c>
      <c r="AS170" s="2">
        <f>SUM(AS8:AS118)</f>
        <v/>
      </c>
      <c r="AT170" s="2">
        <f>SUM(AT8:AT118)</f>
        <v/>
      </c>
    </row>
    <row r="171">
      <c r="B171" s="3" t="n"/>
      <c r="C171" s="2" t="n"/>
    </row>
    <row r="172">
      <c r="B172" s="3" t="n"/>
      <c r="C172" s="2" t="n"/>
    </row>
    <row r="173">
      <c r="B173" s="3" t="n"/>
      <c r="C173" s="2" t="n"/>
    </row>
    <row r="174">
      <c r="B174" s="3" t="n"/>
      <c r="C174" s="2" t="n"/>
    </row>
    <row r="175">
      <c r="B175" s="3" t="n"/>
      <c r="C175" s="2" t="n"/>
    </row>
    <row r="176">
      <c r="B176" s="3" t="n"/>
      <c r="C176" s="2" t="n"/>
    </row>
    <row r="191" ht="18" customHeight="1"/>
    <row r="202">
      <c r="BB202" s="125" t="n"/>
    </row>
    <row r="203">
      <c r="D203" t="inlineStr">
        <is>
          <t>B-C18</t>
        </is>
      </c>
      <c r="K203" s="852" t="inlineStr">
        <is>
          <t>X</t>
        </is>
      </c>
      <c r="M203" t="inlineStr">
        <is>
          <t>X</t>
        </is>
      </c>
      <c r="N203" t="inlineStr">
        <is>
          <t>X</t>
        </is>
      </c>
      <c r="W203" t="inlineStr">
        <is>
          <t>X</t>
        </is>
      </c>
      <c r="AU203" t="inlineStr">
        <is>
          <t>Concrete
CBC 1705A.3; ACI-318 26.4.5
Curing and protection</t>
        </is>
      </c>
      <c r="AW203" t="inlineStr">
        <is>
          <t>OPAA-0020</t>
        </is>
      </c>
      <c r="AX203" t="inlineStr">
        <is>
          <t>CTS</t>
        </is>
      </c>
    </row>
    <row r="204">
      <c r="D204" t="inlineStr">
        <is>
          <t>B-C19</t>
        </is>
      </c>
      <c r="M204" s="852" t="inlineStr">
        <is>
          <t>X</t>
        </is>
      </c>
      <c r="N204" t="inlineStr">
        <is>
          <t>X</t>
        </is>
      </c>
      <c r="X204" s="853" t="inlineStr">
        <is>
          <t>X</t>
        </is>
      </c>
      <c r="AU204" t="inlineStr">
        <is>
          <t>Concrete
CBC 1705A.3; ACI-318 26.4.2
Joint construction and waterstops</t>
        </is>
      </c>
      <c r="AW204" t="inlineStr">
        <is>
          <t>OPAA-0020</t>
        </is>
      </c>
      <c r="AX204" t="inlineStr">
        <is>
          <t>CTS</t>
        </is>
      </c>
    </row>
    <row r="205">
      <c r="D205" t="inlineStr">
        <is>
          <t>B-C20</t>
        </is>
      </c>
      <c r="G205" s="852" t="inlineStr">
        <is>
          <t>X</t>
        </is>
      </c>
      <c r="H205" t="inlineStr">
        <is>
          <t>X</t>
        </is>
      </c>
      <c r="K205" t="inlineStr">
        <is>
          <t>X</t>
        </is>
      </c>
      <c r="AU205" t="inlineStr">
        <is>
          <t>Concrete
CBC 1705A.19.2; ACI-318 26.4.4
Shotcrete nozzle operator certification</t>
        </is>
      </c>
      <c r="AW205" t="inlineStr">
        <is>
          <t>OPAA-0031</t>
        </is>
      </c>
      <c r="AX205" t="inlineStr">
        <is>
          <t>RMA</t>
        </is>
      </c>
    </row>
    <row r="212" hidden="1"/>
    <row r="213" hidden="1"/>
    <row r="214" hidden="1"/>
    <row r="215" hidden="1"/>
    <row r="216" hidden="1"/>
    <row r="217" hidden="1"/>
    <row r="218" hidden="1"/>
    <row r="219" hidden="1"/>
    <row r="220" hidden="1"/>
  </sheetData>
  <sheetProtection selectLockedCells="0" selectUnlockedCells="0" algorithmName="SHA-512" sheet="1" objects="1" insertRows="0" insertHyperlinks="1" autoFilter="1" scenarios="0" formatColumns="0" deleteColumns="1" insertColumns="1" pivotTables="1" deleteRows="0" formatCells="0" saltValue="lvGuBFU5VtLRJ3+Z/0tt7g==" formatRows="0" sort="1" spinCount="100000" hashValue="qjkBxNpzeuYKl9A1XZWTbpqe7md5AJepvkaaLBSlneGMFMbWFLCUfHEEA9grhmMJyJbeV7o9kEYZkpiBj5ZEMQ=="/>
  <mergeCells count="9">
    <mergeCell ref="AV3:AZ3"/>
    <mergeCell ref="D3:AT3"/>
    <mergeCell ref="D1:AU1"/>
    <mergeCell ref="AV1:AZ1"/>
    <mergeCell ref="D4:AU4"/>
    <mergeCell ref="AV2:AZ2"/>
    <mergeCell ref="D2:AT2"/>
    <mergeCell ref="AX4:AZ4"/>
    <mergeCell ref="AV4:AW4"/>
  </mergeCells>
  <conditionalFormatting sqref="E8:AT118">
    <cfRule type="containsText" priority="3" operator="containsText" dxfId="3" text="x">
      <formula>NOT(ISERROR(SEARCH("x",E8)))</formula>
    </cfRule>
    <cfRule type="containsText" priority="4" operator="containsText" dxfId="1" text="0">
      <formula>NOT(ISERROR(SEARCH("0",E8)))</formula>
    </cfRule>
    <cfRule type="containsText" priority="5" operator="containsText" dxfId="0" text="1">
      <formula>NOT(ISERROR(SEARCH("1",E8)))</formula>
    </cfRule>
  </conditionalFormatting>
  <conditionalFormatting sqref="E170:AT170">
    <cfRule type="cellIs" priority="1" operator="equal" dxfId="1">
      <formula>0</formula>
    </cfRule>
    <cfRule type="cellIs" priority="2" operator="greaterThan" dxfId="0">
      <formula>0</formula>
    </cfRule>
  </conditionalFormatting>
  <printOptions horizontalCentered="1"/>
  <pageMargins left="0.3" right="0.3" top="1.7" bottom="0.5" header="0" footer="0"/>
  <pageSetup orientation="portrait" scale="84" fitToHeight="0" useFirstPageNumber="1"/>
  <headerFooter>
    <oddHeader>&amp;C&amp;"-,Regular"&amp;15 &amp;G_x000a_Testing, Inspection, and Observation Program_x000a_2019 California Building Standards Code - OSHPD 1</oddHeader>
    <oddFooter>&amp;CSTATE OF CALIFORNIA - HEALTH AND HUMAN SERVICES AGENCY&amp;RS-B&amp;P&amp;LOSH-FD-303A (R04.26)</oddFooter>
    <evenHeader/>
    <evenFooter/>
    <firstHeader/>
    <firstFooter/>
  </headerFooter>
  <colBreaks count="1" manualBreakCount="1">
    <brk id="45" min="0" max="169" man="1"/>
  </colBreaks>
  <legacyDrawing xmlns:r="http://schemas.openxmlformats.org/officeDocument/2006/relationships" r:id="anysvml"/>
</worksheet>
</file>

<file path=xl/worksheets/sheet5.xml><?xml version="1.0" encoding="utf-8"?>
<worksheet xmlns="http://schemas.openxmlformats.org/spreadsheetml/2006/main">
  <sheetPr codeName="Sheet3">
    <tabColor theme="4" tint="-0.249977111117893"/>
    <outlinePr summaryBelow="1" summaryRight="1"/>
    <pageSetUpPr/>
  </sheetPr>
  <dimension ref="A1:BF105"/>
  <sheetViews>
    <sheetView view="pageBreakPreview" zoomScale="70" zoomScaleNormal="100" zoomScaleSheetLayoutView="70" zoomScalePageLayoutView="115" workbookViewId="0">
      <pane xSplit="4" ySplit="5" topLeftCell="E6" activePane="bottomRight" state="frozen"/>
      <selection pane="topRight" activeCell="E1" sqref="E1"/>
      <selection pane="bottomLeft" activeCell="A6" sqref="A6"/>
      <selection pane="bottomRight" activeCell="X12" sqref="X12"/>
    </sheetView>
  </sheetViews>
  <sheetFormatPr baseColWidth="10" defaultColWidth="9" defaultRowHeight="15"/>
  <cols>
    <col width="3.33203125" customWidth="1" style="3" min="1" max="2"/>
    <col width="1.33203125" customWidth="1" style="2" min="3" max="3"/>
    <col width="5.1640625" customWidth="1" style="2" min="4" max="46"/>
    <col width="35.6640625" customWidth="1" style="2" min="47" max="47"/>
    <col width="8.6640625" customWidth="1" style="52" min="48" max="48"/>
    <col width="11.33203125" customWidth="1" style="52" min="49" max="49"/>
    <col width="27.5" customWidth="1" style="2" min="50" max="50"/>
    <col width="10.6640625" customWidth="1" style="52" min="51" max="51"/>
    <col width="10.6640625" customWidth="1" style="2" min="52" max="52"/>
    <col width="3.33203125" customWidth="1" style="2" min="53" max="53"/>
    <col width="34.83203125" customWidth="1" style="2" min="54" max="54"/>
    <col width="9" customWidth="1" style="2" min="55" max="55"/>
    <col width="6.1640625" customWidth="1" style="2" min="56" max="56"/>
    <col width="40" customWidth="1" style="2" min="57" max="57"/>
    <col width="9" customWidth="1" style="2" min="58" max="16384"/>
  </cols>
  <sheetData>
    <row r="1" ht="28.5" customHeight="1" thickBot="1">
      <c r="A1" s="1" t="n"/>
      <c r="B1" s="1" t="n"/>
      <c r="D1" s="799" t="inlineStr">
        <is>
          <t>SECTION C</t>
        </is>
      </c>
      <c r="E1" s="158" t="n"/>
      <c r="F1" s="158" t="n"/>
      <c r="G1" s="158" t="n"/>
      <c r="H1" s="158" t="n"/>
      <c r="I1" s="158" t="n"/>
      <c r="J1" s="158" t="n"/>
      <c r="K1" s="158" t="n"/>
      <c r="L1" s="158" t="n"/>
      <c r="M1" s="158" t="n"/>
      <c r="N1" s="158" t="n"/>
      <c r="O1" s="158" t="n"/>
      <c r="P1" s="158" t="n"/>
      <c r="Q1" s="158" t="n"/>
      <c r="R1" s="158" t="n"/>
      <c r="S1" s="158" t="n"/>
      <c r="T1" s="158" t="n"/>
      <c r="U1" s="158" t="n"/>
      <c r="V1" s="158" t="n"/>
      <c r="W1" s="158" t="n"/>
      <c r="X1" s="158" t="n"/>
      <c r="Y1" s="158" t="n"/>
      <c r="Z1" s="158" t="n"/>
      <c r="AA1" s="158" t="n"/>
      <c r="AB1" s="158" t="n"/>
      <c r="AC1" s="158" t="n"/>
      <c r="AD1" s="158" t="n"/>
      <c r="AE1" s="158" t="n"/>
      <c r="AF1" s="158" t="n"/>
      <c r="AG1" s="158" t="n"/>
      <c r="AH1" s="158" t="n"/>
      <c r="AI1" s="158" t="n"/>
      <c r="AJ1" s="158" t="n"/>
      <c r="AK1" s="158" t="n"/>
      <c r="AL1" s="158" t="n"/>
      <c r="AM1" s="158" t="n"/>
      <c r="AN1" s="158" t="n"/>
      <c r="AO1" s="158" t="n"/>
      <c r="AP1" s="158" t="n"/>
      <c r="AQ1" s="158" t="n"/>
      <c r="AR1" s="158" t="n"/>
      <c r="AS1" s="158" t="n"/>
      <c r="AT1" s="158" t="n"/>
      <c r="AU1" s="159" t="n"/>
      <c r="AV1" s="528" t="inlineStr">
        <is>
          <t>NOTE: Approved agencies, individuals, and all changes to the TIO program shall be identified, evaluated by the DPOR and approved by HCAI prior to proceeding with the related work.</t>
        </is>
      </c>
      <c r="AW1" s="158" t="n"/>
      <c r="AX1" s="158" t="n"/>
      <c r="AY1" s="158" t="n"/>
      <c r="AZ1" s="159" t="n"/>
    </row>
    <row r="2" ht="11.25" customHeight="1">
      <c r="A2" s="1" t="n"/>
      <c r="B2" s="1" t="n"/>
      <c r="D2" s="791" t="inlineStr">
        <is>
          <t>Facility #:</t>
        </is>
      </c>
      <c r="E2" s="779" t="n"/>
      <c r="F2" s="779" t="n"/>
      <c r="G2" s="779" t="n"/>
      <c r="H2" s="779" t="n"/>
      <c r="I2" s="779" t="n"/>
      <c r="J2" s="779" t="n"/>
      <c r="K2" s="779" t="n"/>
      <c r="L2" s="779" t="n"/>
      <c r="M2" s="779" t="n"/>
      <c r="N2" s="779" t="n"/>
      <c r="O2" s="779" t="n"/>
      <c r="P2" s="779" t="n"/>
      <c r="Q2" s="779" t="n"/>
      <c r="R2" s="779" t="n"/>
      <c r="S2" s="779" t="n"/>
      <c r="T2" s="779" t="n"/>
      <c r="U2" s="779" t="n"/>
      <c r="V2" s="779" t="n"/>
      <c r="W2" s="779" t="n"/>
      <c r="X2" s="779" t="n"/>
      <c r="Y2" s="779" t="n"/>
      <c r="Z2" s="779" t="n"/>
      <c r="AA2" s="779" t="n"/>
      <c r="AB2" s="779" t="n"/>
      <c r="AC2" s="779" t="n"/>
      <c r="AD2" s="779" t="n"/>
      <c r="AE2" s="779" t="n"/>
      <c r="AF2" s="779" t="n"/>
      <c r="AG2" s="779" t="n"/>
      <c r="AH2" s="779" t="n"/>
      <c r="AI2" s="779" t="n"/>
      <c r="AJ2" s="779" t="n"/>
      <c r="AK2" s="779" t="n"/>
      <c r="AL2" s="779" t="n"/>
      <c r="AM2" s="779" t="n"/>
      <c r="AN2" s="779" t="n"/>
      <c r="AO2" s="779" t="n"/>
      <c r="AP2" s="779" t="n"/>
      <c r="AQ2" s="779" t="n"/>
      <c r="AR2" s="779" t="n"/>
      <c r="AS2" s="779" t="n"/>
      <c r="AT2" s="756" t="n"/>
      <c r="AU2" s="56" t="inlineStr">
        <is>
          <t>Facility Name:</t>
        </is>
      </c>
      <c r="AV2" s="792" t="inlineStr">
        <is>
          <t>Project #:</t>
        </is>
      </c>
      <c r="AW2" s="779" t="n"/>
      <c r="AX2" s="779" t="n"/>
      <c r="AY2" s="779" t="n"/>
      <c r="AZ2" s="793" t="n"/>
    </row>
    <row r="3" ht="25.25" customHeight="1" thickBot="1">
      <c r="A3" s="1" t="n"/>
      <c r="B3" s="1" t="n"/>
      <c r="D3" s="794">
        <f>IF('A-Project Info'!D12="","",'A-Project Info'!D12)</f>
        <v/>
      </c>
      <c r="E3" s="770" t="n"/>
      <c r="F3" s="770" t="n"/>
      <c r="G3" s="770" t="n"/>
      <c r="H3" s="770" t="n"/>
      <c r="I3" s="770" t="n"/>
      <c r="J3" s="770" t="n"/>
      <c r="K3" s="770" t="n"/>
      <c r="L3" s="770" t="n"/>
      <c r="M3" s="770" t="n"/>
      <c r="N3" s="770" t="n"/>
      <c r="O3" s="770" t="n"/>
      <c r="P3" s="770" t="n"/>
      <c r="Q3" s="770" t="n"/>
      <c r="R3" s="770" t="n"/>
      <c r="S3" s="770" t="n"/>
      <c r="T3" s="770" t="n"/>
      <c r="U3" s="770" t="n"/>
      <c r="V3" s="770" t="n"/>
      <c r="W3" s="770" t="n"/>
      <c r="X3" s="770" t="n"/>
      <c r="Y3" s="770" t="n"/>
      <c r="Z3" s="770" t="n"/>
      <c r="AA3" s="770" t="n"/>
      <c r="AB3" s="770" t="n"/>
      <c r="AC3" s="770" t="n"/>
      <c r="AD3" s="770" t="n"/>
      <c r="AE3" s="770" t="n"/>
      <c r="AF3" s="770" t="n"/>
      <c r="AG3" s="770" t="n"/>
      <c r="AH3" s="770" t="n"/>
      <c r="AI3" s="770" t="n"/>
      <c r="AJ3" s="770" t="n"/>
      <c r="AK3" s="770" t="n"/>
      <c r="AL3" s="770" t="n"/>
      <c r="AM3" s="770" t="n"/>
      <c r="AN3" s="770" t="n"/>
      <c r="AO3" s="770" t="n"/>
      <c r="AP3" s="770" t="n"/>
      <c r="AQ3" s="770" t="n"/>
      <c r="AR3" s="770" t="n"/>
      <c r="AS3" s="770" t="n"/>
      <c r="AT3" s="795" t="n"/>
      <c r="AU3" s="148">
        <f>IF('A-Project Info'!F12="","",'A-Project Info'!F12)</f>
        <v/>
      </c>
      <c r="AV3" s="796">
        <f>IF('A-Project Info'!I12="","",'A-Project Info'!I12)</f>
        <v/>
      </c>
      <c r="AW3" s="770" t="n"/>
      <c r="AX3" s="770" t="n"/>
      <c r="AY3" s="770" t="n"/>
      <c r="AZ3" s="797" t="n"/>
    </row>
    <row r="4" ht="35" customFormat="1" customHeight="1" s="32" thickBot="1">
      <c r="A4" s="94" t="n"/>
      <c r="B4" s="94" t="n"/>
      <c r="D4" s="522" t="n"/>
      <c r="E4" s="776" t="n"/>
      <c r="F4" s="776" t="n"/>
      <c r="G4" s="776" t="n"/>
      <c r="H4" s="776" t="n"/>
      <c r="I4" s="776" t="n"/>
      <c r="J4" s="776" t="n"/>
      <c r="K4" s="776" t="n"/>
      <c r="L4" s="776" t="n"/>
      <c r="M4" s="776" t="n"/>
      <c r="N4" s="776" t="n"/>
      <c r="O4" s="776" t="n"/>
      <c r="P4" s="776" t="n"/>
      <c r="Q4" s="776" t="n"/>
      <c r="R4" s="776" t="n"/>
      <c r="S4" s="776" t="n"/>
      <c r="T4" s="776" t="n"/>
      <c r="U4" s="776" t="n"/>
      <c r="V4" s="776" t="n"/>
      <c r="W4" s="776" t="n"/>
      <c r="X4" s="776" t="n"/>
      <c r="Y4" s="776" t="n"/>
      <c r="Z4" s="776" t="n"/>
      <c r="AA4" s="776" t="n"/>
      <c r="AB4" s="776" t="n"/>
      <c r="AC4" s="776" t="n"/>
      <c r="AD4" s="776" t="n"/>
      <c r="AE4" s="776" t="n"/>
      <c r="AF4" s="776" t="n"/>
      <c r="AG4" s="776" t="n"/>
      <c r="AH4" s="776" t="n"/>
      <c r="AI4" s="776" t="n"/>
      <c r="AJ4" s="776" t="n"/>
      <c r="AK4" s="776" t="n"/>
      <c r="AL4" s="776" t="n"/>
      <c r="AM4" s="776" t="n"/>
      <c r="AN4" s="776" t="n"/>
      <c r="AO4" s="776" t="n"/>
      <c r="AP4" s="776" t="n"/>
      <c r="AQ4" s="776" t="n"/>
      <c r="AR4" s="776" t="n"/>
      <c r="AS4" s="776" t="n"/>
      <c r="AT4" s="776" t="n"/>
      <c r="AU4" s="778" t="n"/>
      <c r="AV4" s="529" t="inlineStr">
        <is>
          <t>Select with "X" or provide required OPAA information:</t>
        </is>
      </c>
      <c r="AW4" s="776" t="n"/>
      <c r="AX4" s="798" t="n"/>
      <c r="AY4" s="776" t="n"/>
      <c r="AZ4" s="778" t="n"/>
    </row>
    <row r="5" ht="78.75" customHeight="1" thickBot="1">
      <c r="A5" s="1" t="n"/>
      <c r="B5" s="1" t="n"/>
      <c r="D5" s="137" t="inlineStr">
        <is>
          <t>Index #</t>
        </is>
      </c>
      <c r="E5" s="57" t="inlineStr">
        <is>
          <t>Stage 1 Required
(Select with "X")</t>
        </is>
      </c>
      <c r="F5" s="57" t="inlineStr">
        <is>
          <t>Stage 2 Required
(Select with "X")</t>
        </is>
      </c>
      <c r="G5" s="57" t="inlineStr">
        <is>
          <t>Stage 3 Required
(Select with "X")</t>
        </is>
      </c>
      <c r="H5" s="57" t="inlineStr">
        <is>
          <t>Stage 4 Required
(Select with "X")</t>
        </is>
      </c>
      <c r="I5" s="57" t="inlineStr">
        <is>
          <t>Stage 5 Required
(Select with "X")</t>
        </is>
      </c>
      <c r="J5" s="57" t="inlineStr">
        <is>
          <t>Stage 6 Required
(Select with "X")</t>
        </is>
      </c>
      <c r="K5" s="57" t="inlineStr">
        <is>
          <t>Stage 7 Required
(Select with "X")</t>
        </is>
      </c>
      <c r="L5" s="57" t="inlineStr">
        <is>
          <t>Stage 8 Required
(Select with "X")</t>
        </is>
      </c>
      <c r="M5" s="57" t="inlineStr">
        <is>
          <t>Stage 9 Required
(Select with "X")</t>
        </is>
      </c>
      <c r="N5" s="57" t="inlineStr">
        <is>
          <t>Stage 10 Required
(Select with "X")</t>
        </is>
      </c>
      <c r="O5" s="57" t="inlineStr">
        <is>
          <t>Stage 11 Required
(Select with "X")</t>
        </is>
      </c>
      <c r="P5" s="57" t="inlineStr">
        <is>
          <t>Stage 12 Required
(Select with "X")</t>
        </is>
      </c>
      <c r="Q5" s="57" t="inlineStr">
        <is>
          <t>Stage 13 Required
(Select with "X")</t>
        </is>
      </c>
      <c r="R5" s="57" t="inlineStr">
        <is>
          <t>Stage 14 Required
(Select with "X")</t>
        </is>
      </c>
      <c r="S5" s="57" t="inlineStr">
        <is>
          <t>Stage 15 Required
(Select with "X")</t>
        </is>
      </c>
      <c r="T5" s="57" t="inlineStr">
        <is>
          <t>Stage 16 Required
(Select with "X")</t>
        </is>
      </c>
      <c r="U5" s="57" t="inlineStr">
        <is>
          <t>Stage 17 Required
(Select with "X")</t>
        </is>
      </c>
      <c r="V5" s="57" t="inlineStr">
        <is>
          <t>Stage 18 Required
(Select with "X")</t>
        </is>
      </c>
      <c r="W5" s="57" t="inlineStr">
        <is>
          <t>Stage 19 Required
(Select with "X")</t>
        </is>
      </c>
      <c r="X5" s="57" t="inlineStr">
        <is>
          <t>Stage 20 Required
(Select with "X")</t>
        </is>
      </c>
      <c r="Y5" s="57" t="inlineStr">
        <is>
          <t>Stage 21 Required
(Select with "X")</t>
        </is>
      </c>
      <c r="Z5" s="57" t="inlineStr">
        <is>
          <t>Stage 22 Required
(Select with "X")</t>
        </is>
      </c>
      <c r="AA5" s="57" t="inlineStr">
        <is>
          <t>Stage 23 Required
(Select with "X")</t>
        </is>
      </c>
      <c r="AB5" s="57" t="inlineStr">
        <is>
          <t>Stage 24 Required
(Select with "X")</t>
        </is>
      </c>
      <c r="AC5" s="57" t="inlineStr">
        <is>
          <t>Stage 25 Required
(Select with "X")</t>
        </is>
      </c>
      <c r="AD5" s="57" t="inlineStr">
        <is>
          <t>Stage 26 Required
(Select with "X")</t>
        </is>
      </c>
      <c r="AE5" s="57" t="inlineStr">
        <is>
          <t>Stage 27 Required
(Select with "X")</t>
        </is>
      </c>
      <c r="AF5" s="57" t="inlineStr">
        <is>
          <t>Stage 28 Required
(Select with "X")</t>
        </is>
      </c>
      <c r="AG5" s="57" t="inlineStr">
        <is>
          <t>Stage 29 Required
(Select with "X")</t>
        </is>
      </c>
      <c r="AH5" s="57" t="inlineStr">
        <is>
          <t>Stage 30 Required
(Select with "X")</t>
        </is>
      </c>
      <c r="AI5" s="57" t="inlineStr">
        <is>
          <t>Stage 31 Required
(Select with "X")</t>
        </is>
      </c>
      <c r="AJ5" s="57" t="inlineStr">
        <is>
          <t>Stage 32 Required
(Select with "X")</t>
        </is>
      </c>
      <c r="AK5" s="57" t="inlineStr">
        <is>
          <t>Stage 33 Required
(Select with "X")</t>
        </is>
      </c>
      <c r="AL5" s="57" t="inlineStr">
        <is>
          <t>Stage 34 Required
(Select with "X")</t>
        </is>
      </c>
      <c r="AM5" s="57" t="inlineStr">
        <is>
          <t>Stage 35 Required
(Select with "X")</t>
        </is>
      </c>
      <c r="AN5" s="57" t="inlineStr">
        <is>
          <t>Stage 36 Required
(Select with "X")</t>
        </is>
      </c>
      <c r="AO5" s="57" t="inlineStr">
        <is>
          <t>Stage 37 Required
(Select with "X")</t>
        </is>
      </c>
      <c r="AP5" s="57" t="inlineStr">
        <is>
          <t>Stage 38 Required
(Select with "X")</t>
        </is>
      </c>
      <c r="AQ5" s="57" t="inlineStr">
        <is>
          <t>Stage 39 Required
(Select with "X")</t>
        </is>
      </c>
      <c r="AR5" s="57" t="inlineStr">
        <is>
          <t>Stage 40 Required
(Select with "X")</t>
        </is>
      </c>
      <c r="AS5" s="57" t="inlineStr">
        <is>
          <t>Stage 41 Required
(Select with "X")</t>
        </is>
      </c>
      <c r="AT5" s="57" t="inlineStr">
        <is>
          <t>Stage 42 Required
(Select with "X")</t>
        </is>
      </c>
      <c r="AU5" s="11" t="inlineStr">
        <is>
          <t>ON-SITE SPECIAL
INSPECTIONS</t>
        </is>
      </c>
      <c r="AV5" s="147" t="inlineStr">
        <is>
          <t>Samples of test &amp; inspection reports included</t>
        </is>
      </c>
      <c r="AW5" s="57" t="inlineStr">
        <is>
          <t>OPAA No. and Expiration Date</t>
        </is>
      </c>
      <c r="AX5" s="627" t="inlineStr">
        <is>
          <t>RESPONSIBLE APPROVED                        AGENCY AND/OR INDIVIDUAL (IDENTIFY SPECIAL INSPECTOR)</t>
        </is>
      </c>
      <c r="AY5" s="70" t="inlineStr">
        <is>
          <t>COMPLIANCE VERIFICATION BY IOR   (Initial/Date)</t>
        </is>
      </c>
      <c r="AZ5" s="70" t="inlineStr">
        <is>
          <t>HCAI/FDD USE   (Initial/Date)</t>
        </is>
      </c>
      <c r="BB5" s="169" t="n"/>
    </row>
    <row r="6" ht="18" customHeight="1" thickBot="1">
      <c r="A6" s="3" t="inlineStr">
        <is>
          <t>x1</t>
        </is>
      </c>
      <c r="B6" s="99" t="inlineStr">
        <is>
          <t>STRUCTURAL SPECIAL INSPECTIONS</t>
        </is>
      </c>
      <c r="C6" s="60" t="n"/>
      <c r="D6" s="24" t="n"/>
      <c r="E6" s="20" t="n"/>
      <c r="F6" s="163" t="n"/>
      <c r="G6" s="163" t="n"/>
      <c r="H6" s="163" t="n"/>
      <c r="I6" s="163" t="n"/>
      <c r="J6" s="163" t="n"/>
      <c r="K6" s="163" t="n"/>
      <c r="L6" s="163" t="n"/>
      <c r="M6" s="163" t="n"/>
      <c r="N6" s="163" t="n"/>
      <c r="O6" s="163" t="n"/>
      <c r="P6" s="163" t="n"/>
      <c r="Q6" s="163" t="n"/>
      <c r="R6" s="163" t="n"/>
      <c r="S6" s="163" t="n"/>
      <c r="T6" s="163" t="n"/>
      <c r="U6" s="163" t="n"/>
      <c r="V6" s="163" t="n"/>
      <c r="W6" s="163" t="n"/>
      <c r="X6" s="163" t="n"/>
      <c r="Y6" s="163" t="n"/>
      <c r="Z6" s="163" t="n"/>
      <c r="AA6" s="163" t="n"/>
      <c r="AB6" s="163" t="n"/>
      <c r="AC6" s="163" t="n"/>
      <c r="AD6" s="163" t="n"/>
      <c r="AE6" s="163" t="n"/>
      <c r="AF6" s="163" t="n"/>
      <c r="AG6" s="163" t="n"/>
      <c r="AH6" s="163" t="n"/>
      <c r="AI6" s="163" t="n"/>
      <c r="AJ6" s="163" t="n"/>
      <c r="AK6" s="163" t="n"/>
      <c r="AL6" s="163" t="n"/>
      <c r="AM6" s="163" t="n"/>
      <c r="AN6" s="163" t="n"/>
      <c r="AO6" s="163" t="n"/>
      <c r="AP6" s="163" t="n"/>
      <c r="AQ6" s="163" t="n"/>
      <c r="AR6" s="163" t="n"/>
      <c r="AS6" s="163" t="n"/>
      <c r="AT6" s="163" t="n"/>
      <c r="AU6" s="24" t="n"/>
      <c r="AV6" s="50" t="n"/>
      <c r="AW6" s="50" t="n"/>
      <c r="AX6" s="24" t="n"/>
      <c r="AY6" s="50" t="n"/>
      <c r="AZ6" s="25" t="n"/>
    </row>
    <row r="7" ht="18" customHeight="1" thickBot="1">
      <c r="B7" s="3" t="inlineStr">
        <is>
          <t>x11</t>
        </is>
      </c>
      <c r="C7" s="19" t="inlineStr">
        <is>
          <t>Foundation</t>
        </is>
      </c>
      <c r="D7" s="20" t="n"/>
      <c r="E7" s="163" t="n"/>
      <c r="F7" s="163" t="n"/>
      <c r="G7" s="163" t="n"/>
      <c r="H7" s="163" t="n"/>
      <c r="I7" s="163" t="n"/>
      <c r="J7" s="163" t="n"/>
      <c r="K7" s="163" t="n"/>
      <c r="L7" s="163" t="n"/>
      <c r="M7" s="163" t="n"/>
      <c r="N7" s="163" t="n"/>
      <c r="O7" s="163" t="n"/>
      <c r="P7" s="163" t="n"/>
      <c r="Q7" s="163" t="n"/>
      <c r="R7" s="163" t="n"/>
      <c r="S7" s="163" t="n"/>
      <c r="T7" s="163" t="n"/>
      <c r="U7" s="163" t="n"/>
      <c r="V7" s="163" t="n"/>
      <c r="W7" s="163" t="n"/>
      <c r="X7" s="163" t="n"/>
      <c r="Y7" s="163" t="n"/>
      <c r="Z7" s="163" t="n"/>
      <c r="AA7" s="163" t="n"/>
      <c r="AB7" s="163" t="n"/>
      <c r="AC7" s="163" t="n"/>
      <c r="AD7" s="163" t="n"/>
      <c r="AE7" s="163" t="n"/>
      <c r="AF7" s="163" t="n"/>
      <c r="AG7" s="163" t="n"/>
      <c r="AH7" s="163" t="n"/>
      <c r="AI7" s="163" t="n"/>
      <c r="AJ7" s="163" t="n"/>
      <c r="AK7" s="163" t="n"/>
      <c r="AL7" s="163" t="n"/>
      <c r="AM7" s="163" t="n"/>
      <c r="AN7" s="163" t="n"/>
      <c r="AO7" s="163" t="n"/>
      <c r="AP7" s="163" t="n"/>
      <c r="AQ7" s="163" t="n"/>
      <c r="AR7" s="163" t="n"/>
      <c r="AS7" s="163" t="n"/>
      <c r="AT7" s="163" t="n"/>
      <c r="AU7" s="20" t="n"/>
      <c r="AV7" s="20" t="n"/>
      <c r="AW7" s="20" t="n"/>
      <c r="AX7" s="20" t="n"/>
      <c r="AY7" s="49" t="n"/>
      <c r="AZ7" s="22" t="n"/>
      <c r="BD7" s="385" t="n"/>
      <c r="BE7" s="509" t="n"/>
      <c r="BF7" s="507" t="n"/>
    </row>
    <row r="8" ht="37" customHeight="1" thickBot="1">
      <c r="D8" s="136" t="inlineStr">
        <is>
          <t>C-F1</t>
        </is>
      </c>
      <c r="E8" s="330" t="n"/>
      <c r="F8" s="331" t="n"/>
      <c r="G8" s="331" t="n"/>
      <c r="H8" s="331" t="n"/>
      <c r="I8" s="331" t="n"/>
      <c r="J8" s="331" t="n"/>
      <c r="K8" s="331" t="n"/>
      <c r="L8" s="331" t="n"/>
      <c r="M8" s="331" t="inlineStr">
        <is>
          <t>X</t>
        </is>
      </c>
      <c r="N8" s="331" t="inlineStr">
        <is>
          <t>X</t>
        </is>
      </c>
      <c r="O8" s="331" t="inlineStr">
        <is>
          <t>x</t>
        </is>
      </c>
      <c r="P8" s="331" t="n"/>
      <c r="Q8" s="331" t="n"/>
      <c r="R8" s="331" t="n"/>
      <c r="S8" s="331" t="n"/>
      <c r="T8" s="331" t="n"/>
      <c r="U8" s="331" t="n"/>
      <c r="V8" s="331" t="n">
        <v>1</v>
      </c>
      <c r="W8" s="331" t="n"/>
      <c r="X8" s="331" t="n">
        <v>1</v>
      </c>
      <c r="Y8" s="331" t="n"/>
      <c r="Z8" s="331" t="n"/>
      <c r="AA8" s="331" t="n"/>
      <c r="AB8" s="331" t="n">
        <v>1</v>
      </c>
      <c r="AC8" s="331" t="n"/>
      <c r="AD8" s="331" t="n"/>
      <c r="AE8" s="331" t="n"/>
      <c r="AF8" s="331" t="n"/>
      <c r="AG8" s="331" t="n"/>
      <c r="AH8" s="331" t="n"/>
      <c r="AI8" s="331" t="n"/>
      <c r="AJ8" s="331" t="n"/>
      <c r="AK8" s="331" t="n">
        <v>1</v>
      </c>
      <c r="AL8" s="331" t="n"/>
      <c r="AM8" s="331" t="n"/>
      <c r="AN8" s="331" t="n"/>
      <c r="AO8" s="331" t="n"/>
      <c r="AP8" s="331" t="n"/>
      <c r="AQ8" s="331" t="n"/>
      <c r="AR8" s="331" t="n"/>
      <c r="AS8" s="331" t="n"/>
      <c r="AT8" s="332" t="n"/>
      <c r="AU8" s="311" t="inlineStr">
        <is>
          <t>Soils
CBC 1705A.6
Soil fill</t>
        </is>
      </c>
      <c r="AV8" s="339" t="n"/>
      <c r="AW8" s="664" t="inlineStr">
        <is>
          <t>OPAA-0020</t>
        </is>
      </c>
      <c r="AX8" s="339" t="inlineStr">
        <is>
          <t>CTS and/or Rutherford + Chekene</t>
        </is>
      </c>
      <c r="AY8" s="286" t="n"/>
      <c r="AZ8" s="400" t="n"/>
      <c r="BB8" s="2" t="inlineStr">
        <is>
          <t>*confirm OSHPD signoff for C-F1</t>
        </is>
      </c>
      <c r="BD8" s="5" t="n"/>
    </row>
    <row r="9" hidden="1" ht="37" customHeight="1" thickBot="1">
      <c r="D9" s="136" t="inlineStr">
        <is>
          <t>C-F2</t>
        </is>
      </c>
      <c r="E9" s="333" t="n"/>
      <c r="F9" s="334" t="n"/>
      <c r="G9" s="280" t="n"/>
      <c r="H9" s="334" t="n"/>
      <c r="I9" s="334" t="n"/>
      <c r="J9" s="334" t="n"/>
      <c r="K9" s="334" t="n"/>
      <c r="L9" s="334" t="n"/>
      <c r="M9" s="334" t="n"/>
      <c r="N9" s="334" t="n"/>
      <c r="O9" s="334" t="n"/>
      <c r="P9" s="334" t="n"/>
      <c r="Q9" s="334" t="n"/>
      <c r="R9" s="334" t="n"/>
      <c r="S9" s="334" t="n"/>
      <c r="T9" s="334" t="n"/>
      <c r="U9" s="334" t="n"/>
      <c r="V9" s="334" t="n"/>
      <c r="W9" s="334" t="n"/>
      <c r="X9" s="334" t="n"/>
      <c r="Y9" s="334" t="n"/>
      <c r="Z9" s="334" t="n"/>
      <c r="AA9" s="334" t="n"/>
      <c r="AB9" s="334" t="n"/>
      <c r="AC9" s="334" t="n"/>
      <c r="AD9" s="334" t="n"/>
      <c r="AE9" s="334" t="n"/>
      <c r="AF9" s="334" t="n"/>
      <c r="AG9" s="334" t="n"/>
      <c r="AH9" s="334" t="n"/>
      <c r="AI9" s="334" t="n"/>
      <c r="AJ9" s="334" t="n"/>
      <c r="AK9" s="334" t="n"/>
      <c r="AL9" s="334" t="n"/>
      <c r="AM9" s="334" t="n"/>
      <c r="AN9" s="334" t="n"/>
      <c r="AO9" s="334" t="n"/>
      <c r="AP9" s="334" t="n"/>
      <c r="AQ9" s="334" t="n"/>
      <c r="AR9" s="334" t="n"/>
      <c r="AS9" s="334" t="n"/>
      <c r="AT9" s="335" t="n"/>
      <c r="AU9" s="289" t="inlineStr">
        <is>
          <t>Foundation
CBC 1705A.7
Driven deep foundations</t>
        </is>
      </c>
      <c r="AV9" s="322" t="n"/>
      <c r="AW9" s="322" t="n"/>
      <c r="AX9" s="322" t="n"/>
      <c r="AY9" s="288" t="n"/>
      <c r="AZ9" s="4" t="n"/>
      <c r="BD9" s="5" t="n"/>
    </row>
    <row r="10" ht="37" customHeight="1" thickBot="1">
      <c r="D10" s="136" t="inlineStr">
        <is>
          <t>C-F3</t>
        </is>
      </c>
      <c r="E10" s="333" t="inlineStr">
        <is>
          <t>X</t>
        </is>
      </c>
      <c r="F10" s="334" t="n"/>
      <c r="G10" s="334" t="n"/>
      <c r="H10" s="334" t="n"/>
      <c r="I10" s="334" t="n"/>
      <c r="J10" s="334" t="n"/>
      <c r="K10" s="334" t="n"/>
      <c r="L10" s="334" t="n"/>
      <c r="M10" s="334" t="n"/>
      <c r="N10" s="334" t="n"/>
      <c r="O10" s="280" t="n"/>
      <c r="P10" s="280" t="n"/>
      <c r="Q10" s="280" t="n"/>
      <c r="R10" s="334" t="n"/>
      <c r="S10" s="334" t="n"/>
      <c r="T10" s="334" t="n"/>
      <c r="U10" s="334" t="n"/>
      <c r="V10" s="334" t="n"/>
      <c r="W10" s="334" t="n"/>
      <c r="X10" s="334" t="n"/>
      <c r="Y10" s="334" t="n"/>
      <c r="Z10" s="334" t="n"/>
      <c r="AA10" s="334" t="n"/>
      <c r="AB10" s="334" t="n"/>
      <c r="AC10" s="334" t="n"/>
      <c r="AD10" s="334" t="n"/>
      <c r="AE10" s="334" t="n"/>
      <c r="AF10" s="334" t="n"/>
      <c r="AG10" s="334" t="n"/>
      <c r="AH10" s="334" t="n"/>
      <c r="AI10" s="334" t="n"/>
      <c r="AJ10" s="334" t="n"/>
      <c r="AK10" s="334" t="n"/>
      <c r="AL10" s="334" t="n"/>
      <c r="AM10" s="334" t="n"/>
      <c r="AN10" s="334" t="n"/>
      <c r="AO10" s="334" t="n"/>
      <c r="AP10" s="334" t="n"/>
      <c r="AQ10" s="334" t="n"/>
      <c r="AR10" s="334" t="n"/>
      <c r="AS10" s="334" t="n"/>
      <c r="AT10" s="335" t="n"/>
      <c r="AU10" s="289" t="inlineStr">
        <is>
          <t>Foundation
CBC 1705A.8
Cast-in-place deep foundations</t>
        </is>
      </c>
      <c r="AV10" s="316" t="inlineStr">
        <is>
          <t>X</t>
        </is>
      </c>
      <c r="AW10" s="663" t="inlineStr">
        <is>
          <t>OPAA-0015</t>
        </is>
      </c>
      <c r="AX10" s="264" t="inlineStr">
        <is>
          <t>Rutherford and Chekene and RMA</t>
        </is>
      </c>
      <c r="AY10" s="288" t="n"/>
      <c r="AZ10" s="442" t="n"/>
      <c r="BD10" s="5" t="n"/>
    </row>
    <row r="11" ht="37" customHeight="1" thickBot="1">
      <c r="D11" s="136" t="inlineStr">
        <is>
          <t>C-F4</t>
        </is>
      </c>
      <c r="E11" s="333" t="n"/>
      <c r="F11" s="334" t="n"/>
      <c r="G11" s="334" t="n"/>
      <c r="H11" s="334" t="n"/>
      <c r="I11" s="334" t="n"/>
      <c r="J11" s="334" t="n"/>
      <c r="K11" s="334" t="n"/>
      <c r="L11" s="334" t="n"/>
      <c r="M11" s="334" t="n"/>
      <c r="N11" s="334" t="n">
        <v>1</v>
      </c>
      <c r="O11" s="334" t="n">
        <v>1</v>
      </c>
      <c r="P11" s="334" t="n">
        <v>1</v>
      </c>
      <c r="Q11" s="334" t="n"/>
      <c r="R11" s="334" t="n"/>
      <c r="S11" s="334" t="n"/>
      <c r="T11" s="334" t="n"/>
      <c r="U11" s="334" t="n">
        <v>1</v>
      </c>
      <c r="V11" s="334" t="n">
        <v>1</v>
      </c>
      <c r="W11" s="334" t="n"/>
      <c r="X11" s="334" t="n">
        <v>1</v>
      </c>
      <c r="Y11" s="334" t="n"/>
      <c r="Z11" s="334" t="n"/>
      <c r="AA11" s="334" t="n"/>
      <c r="AB11" s="334" t="n"/>
      <c r="AC11" s="334" t="n"/>
      <c r="AD11" s="334" t="n"/>
      <c r="AE11" s="334" t="n"/>
      <c r="AF11" s="334" t="n"/>
      <c r="AG11" s="334" t="n"/>
      <c r="AH11" s="334" t="n"/>
      <c r="AI11" s="334" t="n"/>
      <c r="AJ11" s="334" t="n"/>
      <c r="AK11" s="334" t="n"/>
      <c r="AL11" s="334" t="n"/>
      <c r="AM11" s="334" t="n"/>
      <c r="AN11" s="334" t="n"/>
      <c r="AO11" s="334" t="n"/>
      <c r="AP11" s="334" t="n"/>
      <c r="AQ11" s="334" t="n"/>
      <c r="AR11" s="334" t="n"/>
      <c r="AS11" s="334" t="n"/>
      <c r="AT11" s="335" t="n"/>
      <c r="AU11" s="289" t="inlineStr">
        <is>
          <t>Foundation
CBC 1705A.9
Helical pile foundations</t>
        </is>
      </c>
      <c r="AV11" s="322" t="n"/>
      <c r="AW11" s="322" t="n"/>
      <c r="AX11" s="322" t="n"/>
      <c r="AY11" s="288" t="n"/>
      <c r="AZ11" s="401" t="n"/>
      <c r="BD11" s="5" t="n"/>
    </row>
    <row r="12" ht="37" customHeight="1" thickBot="1">
      <c r="D12" s="136" t="inlineStr">
        <is>
          <t>C-F5</t>
        </is>
      </c>
      <c r="E12" s="333" t="n"/>
      <c r="F12" s="334" t="n"/>
      <c r="G12" s="334" t="n"/>
      <c r="H12" s="334" t="n"/>
      <c r="I12" s="334" t="n"/>
      <c r="J12" s="334" t="n"/>
      <c r="K12" s="334" t="n"/>
      <c r="L12" s="334" t="n"/>
      <c r="M12" s="334" t="n"/>
      <c r="N12" s="334" t="n"/>
      <c r="O12" s="334" t="n"/>
      <c r="P12" s="334" t="n"/>
      <c r="Q12" s="334" t="n"/>
      <c r="R12" s="334" t="n"/>
      <c r="S12" s="334" t="n"/>
      <c r="T12" s="334" t="n"/>
      <c r="U12" s="334" t="n"/>
      <c r="V12" s="334" t="n"/>
      <c r="W12" s="334" t="n"/>
      <c r="X12" s="334" t="n"/>
      <c r="Y12" s="334" t="n"/>
      <c r="Z12" s="334" t="n"/>
      <c r="AA12" s="334" t="n"/>
      <c r="AB12" s="334" t="n"/>
      <c r="AC12" s="334" t="n"/>
      <c r="AD12" s="334" t="n"/>
      <c r="AE12" s="334" t="n"/>
      <c r="AF12" s="334" t="n"/>
      <c r="AG12" s="334" t="n"/>
      <c r="AH12" s="334" t="n"/>
      <c r="AI12" s="334" t="n"/>
      <c r="AJ12" s="334" t="n"/>
      <c r="AK12" s="334" t="n"/>
      <c r="AL12" s="334" t="n"/>
      <c r="AM12" s="334" t="n"/>
      <c r="AN12" s="334" t="n"/>
      <c r="AO12" s="334" t="n"/>
      <c r="AP12" s="334" t="n"/>
      <c r="AQ12" s="334" t="n"/>
      <c r="AR12" s="334" t="n"/>
      <c r="AS12" s="334" t="n"/>
      <c r="AT12" s="335" t="n"/>
      <c r="AU12" s="289" t="inlineStr">
        <is>
          <t>Shoring
CBC 1812A
Shoring</t>
        </is>
      </c>
      <c r="AV12" s="322" t="n"/>
      <c r="AW12" s="322" t="n"/>
      <c r="AX12" s="322" t="n"/>
      <c r="AY12" s="288" t="n"/>
      <c r="AZ12" s="401" t="n"/>
      <c r="BD12" s="5" t="n"/>
    </row>
    <row r="13" ht="37" customHeight="1" thickBot="1">
      <c r="D13" s="136" t="inlineStr">
        <is>
          <t>C-F6</t>
        </is>
      </c>
      <c r="E13" s="333" t="n"/>
      <c r="F13" s="334" t="n"/>
      <c r="G13" s="334" t="n"/>
      <c r="H13" s="334" t="n"/>
      <c r="I13" s="334" t="n"/>
      <c r="J13" s="334" t="n"/>
      <c r="K13" s="334" t="n"/>
      <c r="L13" s="334" t="n"/>
      <c r="M13" s="334" t="n"/>
      <c r="N13" s="334" t="n"/>
      <c r="O13" s="334" t="n"/>
      <c r="P13" s="334" t="n"/>
      <c r="Q13" s="334" t="n"/>
      <c r="R13" s="334" t="n"/>
      <c r="S13" s="334" t="n"/>
      <c r="T13" s="334" t="n"/>
      <c r="U13" s="334" t="n"/>
      <c r="V13" s="334" t="n"/>
      <c r="W13" s="334" t="n"/>
      <c r="X13" s="334" t="n"/>
      <c r="Y13" s="334" t="n"/>
      <c r="Z13" s="334" t="n"/>
      <c r="AA13" s="334" t="n"/>
      <c r="AB13" s="334" t="n"/>
      <c r="AC13" s="334" t="n"/>
      <c r="AD13" s="334" t="n"/>
      <c r="AE13" s="334" t="n"/>
      <c r="AF13" s="334" t="n"/>
      <c r="AG13" s="334" t="n"/>
      <c r="AH13" s="334" t="n"/>
      <c r="AI13" s="334" t="n"/>
      <c r="AJ13" s="334" t="n"/>
      <c r="AK13" s="334" t="n"/>
      <c r="AL13" s="334" t="n"/>
      <c r="AM13" s="334" t="n"/>
      <c r="AN13" s="334" t="n"/>
      <c r="AO13" s="334" t="n"/>
      <c r="AP13" s="334" t="n"/>
      <c r="AQ13" s="334" t="n"/>
      <c r="AR13" s="334" t="n"/>
      <c r="AS13" s="334" t="n"/>
      <c r="AT13" s="335" t="n"/>
      <c r="AU13" s="289" t="inlineStr">
        <is>
          <t>Vibro Stone Columns (VSC)
CBC 1813A
Vibro Stone Columns</t>
        </is>
      </c>
      <c r="AV13" s="322" t="n"/>
      <c r="AW13" s="322" t="n"/>
      <c r="AX13" s="322" t="n"/>
      <c r="AY13" s="288" t="n"/>
      <c r="AZ13" s="401" t="n"/>
      <c r="BD13" s="5" t="n"/>
    </row>
    <row r="14" ht="37" customHeight="1" thickBot="1">
      <c r="D14" s="136" t="inlineStr">
        <is>
          <t>C-F7</t>
        </is>
      </c>
      <c r="E14" s="333" t="n"/>
      <c r="F14" s="334" t="n"/>
      <c r="G14" s="334" t="n"/>
      <c r="H14" s="334" t="n"/>
      <c r="I14" s="334" t="n"/>
      <c r="J14" s="334" t="n"/>
      <c r="K14" s="334" t="n"/>
      <c r="L14" s="334" t="n"/>
      <c r="M14" s="334" t="n"/>
      <c r="N14" s="334" t="n"/>
      <c r="O14" s="334" t="n"/>
      <c r="P14" s="334" t="n"/>
      <c r="Q14" s="334" t="n"/>
      <c r="R14" s="334" t="n"/>
      <c r="S14" s="334" t="n"/>
      <c r="T14" s="334" t="n"/>
      <c r="U14" s="334" t="n"/>
      <c r="V14" s="334" t="n"/>
      <c r="W14" s="334" t="n"/>
      <c r="X14" s="334" t="n"/>
      <c r="Y14" s="334" t="n"/>
      <c r="Z14" s="334" t="n"/>
      <c r="AA14" s="334" t="n"/>
      <c r="AB14" s="334" t="n"/>
      <c r="AC14" s="334" t="n"/>
      <c r="AD14" s="334" t="n"/>
      <c r="AE14" s="334" t="n"/>
      <c r="AF14" s="334" t="n"/>
      <c r="AG14" s="334" t="n"/>
      <c r="AH14" s="334" t="n"/>
      <c r="AI14" s="334" t="n"/>
      <c r="AJ14" s="334" t="n"/>
      <c r="AK14" s="334" t="n"/>
      <c r="AL14" s="334" t="n"/>
      <c r="AM14" s="334" t="n"/>
      <c r="AN14" s="334" t="n"/>
      <c r="AO14" s="334" t="n"/>
      <c r="AP14" s="334" t="n"/>
      <c r="AQ14" s="334" t="n"/>
      <c r="AR14" s="334" t="n"/>
      <c r="AS14" s="334" t="n"/>
      <c r="AT14" s="335" t="n"/>
      <c r="AU14" s="289" t="inlineStr">
        <is>
          <t>Prestressed soil and rock anchors
CBC 1705A.3, 1811A &amp; 1812A
Installation and testing</t>
        </is>
      </c>
      <c r="AV14" s="322" t="n"/>
      <c r="AW14" s="322" t="n"/>
      <c r="AX14" s="322" t="n"/>
      <c r="AY14" s="288" t="n"/>
      <c r="AZ14" s="401" t="n"/>
      <c r="BD14" s="5" t="n"/>
    </row>
    <row r="15" ht="37" customHeight="1" thickBot="1">
      <c r="D15" s="136" t="inlineStr">
        <is>
          <t>C-F8</t>
        </is>
      </c>
      <c r="E15" s="333" t="n"/>
      <c r="F15" s="334" t="n"/>
      <c r="G15" s="334" t="inlineStr">
        <is>
          <t>X</t>
        </is>
      </c>
      <c r="H15" s="334" t="inlineStr">
        <is>
          <t>X</t>
        </is>
      </c>
      <c r="I15" s="334" t="n"/>
      <c r="J15" s="334" t="n"/>
      <c r="K15" s="334" t="inlineStr">
        <is>
          <t>X</t>
        </is>
      </c>
      <c r="L15" s="334" t="inlineStr">
        <is>
          <t>X</t>
        </is>
      </c>
      <c r="M15" s="334" t="n"/>
      <c r="N15" s="334" t="n"/>
      <c r="O15" s="334" t="n"/>
      <c r="P15" s="334" t="n"/>
      <c r="Q15" s="334" t="n"/>
      <c r="R15" s="334" t="n">
        <v>1</v>
      </c>
      <c r="S15" s="334" t="n"/>
      <c r="T15" s="334" t="n"/>
      <c r="U15" s="334" t="n"/>
      <c r="V15" s="334" t="n">
        <v>1</v>
      </c>
      <c r="W15" s="334" t="n"/>
      <c r="X15" s="334" t="n"/>
      <c r="Y15" s="334" t="n"/>
      <c r="Z15" s="334" t="n"/>
      <c r="AA15" s="334" t="n"/>
      <c r="AB15" s="334" t="n"/>
      <c r="AC15" s="334" t="n"/>
      <c r="AD15" s="334" t="n"/>
      <c r="AE15" s="334" t="n"/>
      <c r="AF15" s="334" t="n"/>
      <c r="AG15" s="334" t="n"/>
      <c r="AH15" s="334" t="n"/>
      <c r="AI15" s="334" t="n"/>
      <c r="AJ15" s="334" t="n"/>
      <c r="AK15" s="334" t="n"/>
      <c r="AL15" s="334" t="n"/>
      <c r="AM15" s="334" t="n"/>
      <c r="AN15" s="334" t="n"/>
      <c r="AO15" s="334" t="n"/>
      <c r="AP15" s="334" t="n"/>
      <c r="AQ15" s="334" t="n"/>
      <c r="AR15" s="334" t="n"/>
      <c r="AS15" s="334" t="n"/>
      <c r="AT15" s="335" t="n"/>
      <c r="AU15" s="289" t="inlineStr">
        <is>
          <t>Soils
CBC 1705A.6
Excavation Depth</t>
        </is>
      </c>
      <c r="AV15" s="322" t="n"/>
      <c r="AW15" s="322" t="inlineStr">
        <is>
          <t>OPAA-0020</t>
        </is>
      </c>
      <c r="AX15" s="322" t="inlineStr">
        <is>
          <t>CTS</t>
        </is>
      </c>
      <c r="AY15" s="288" t="n"/>
      <c r="AZ15" s="400" t="n"/>
      <c r="BD15" s="5" t="n"/>
    </row>
    <row r="16" ht="24" customHeight="1" thickBot="1">
      <c r="D16" s="136" t="inlineStr">
        <is>
          <t>C-F9</t>
        </is>
      </c>
      <c r="E16" s="336" t="n"/>
      <c r="F16" s="337" t="n"/>
      <c r="G16" s="337" t="n"/>
      <c r="H16" s="337" t="n"/>
      <c r="I16" s="337" t="n"/>
      <c r="J16" s="337" t="n"/>
      <c r="K16" s="337" t="n"/>
      <c r="L16" s="337" t="n"/>
      <c r="M16" s="337" t="n"/>
      <c r="N16" s="337" t="n"/>
      <c r="O16" s="337" t="n"/>
      <c r="P16" s="337" t="n"/>
      <c r="Q16" s="337" t="n"/>
      <c r="R16" s="337" t="n"/>
      <c r="S16" s="337" t="n"/>
      <c r="T16" s="337" t="n"/>
      <c r="U16" s="337" t="n"/>
      <c r="V16" s="337" t="n"/>
      <c r="W16" s="337" t="n"/>
      <c r="X16" s="337" t="n"/>
      <c r="Y16" s="337" t="n"/>
      <c r="Z16" s="337" t="n"/>
      <c r="AA16" s="337" t="n"/>
      <c r="AB16" s="337" t="n"/>
      <c r="AC16" s="337" t="n"/>
      <c r="AD16" s="337" t="n"/>
      <c r="AE16" s="337" t="n"/>
      <c r="AF16" s="337" t="n"/>
      <c r="AG16" s="337" t="n"/>
      <c r="AH16" s="337" t="n"/>
      <c r="AI16" s="337" t="n"/>
      <c r="AJ16" s="337" t="n"/>
      <c r="AK16" s="337" t="n"/>
      <c r="AL16" s="337" t="n"/>
      <c r="AM16" s="337" t="n"/>
      <c r="AN16" s="337" t="n"/>
      <c r="AO16" s="337" t="n"/>
      <c r="AP16" s="337" t="n"/>
      <c r="AQ16" s="337" t="n"/>
      <c r="AR16" s="337" t="n"/>
      <c r="AS16" s="337" t="n"/>
      <c r="AT16" s="338" t="n"/>
      <c r="AU16" s="323" t="n"/>
      <c r="AV16" s="340" t="n"/>
      <c r="AW16" s="340" t="n"/>
      <c r="AX16" s="340" t="n"/>
      <c r="AY16" s="294" t="n"/>
      <c r="AZ16" s="4" t="n"/>
      <c r="BD16" s="5" t="n"/>
    </row>
    <row r="17" ht="18" customHeight="1" thickBot="1">
      <c r="B17" s="3" t="inlineStr">
        <is>
          <t>x12</t>
        </is>
      </c>
      <c r="C17" s="19" t="inlineStr">
        <is>
          <t>Concrete</t>
        </is>
      </c>
      <c r="D17" s="20" t="n"/>
      <c r="E17" s="163" t="n"/>
      <c r="F17" s="163" t="n"/>
      <c r="G17" s="163" t="n"/>
      <c r="H17" s="163" t="n"/>
      <c r="I17" s="163" t="n"/>
      <c r="J17" s="163" t="n"/>
      <c r="K17" s="163" t="n"/>
      <c r="L17" s="163" t="n"/>
      <c r="M17" s="163" t="n"/>
      <c r="N17" s="163" t="n"/>
      <c r="O17" s="163" t="n"/>
      <c r="P17" s="163" t="n"/>
      <c r="Q17" s="163" t="n"/>
      <c r="R17" s="163" t="n"/>
      <c r="S17" s="163" t="n"/>
      <c r="T17" s="163" t="n"/>
      <c r="U17" s="163" t="n"/>
      <c r="V17" s="163" t="n"/>
      <c r="W17" s="163" t="n"/>
      <c r="X17" s="163" t="n"/>
      <c r="Y17" s="163" t="n"/>
      <c r="Z17" s="163" t="n"/>
      <c r="AA17" s="163" t="n"/>
      <c r="AB17" s="163" t="n"/>
      <c r="AC17" s="163" t="n"/>
      <c r="AD17" s="163" t="n"/>
      <c r="AE17" s="163" t="n"/>
      <c r="AF17" s="163" t="n"/>
      <c r="AG17" s="163" t="n"/>
      <c r="AH17" s="163" t="n"/>
      <c r="AI17" s="163" t="n"/>
      <c r="AJ17" s="163" t="n"/>
      <c r="AK17" s="163" t="n"/>
      <c r="AL17" s="163" t="n"/>
      <c r="AM17" s="163" t="n"/>
      <c r="AN17" s="163" t="n"/>
      <c r="AO17" s="163" t="n"/>
      <c r="AP17" s="163" t="n"/>
      <c r="AQ17" s="163" t="n"/>
      <c r="AR17" s="163" t="n"/>
      <c r="AS17" s="163" t="n"/>
      <c r="AT17" s="163" t="n"/>
      <c r="AU17" s="20" t="n"/>
      <c r="AV17" s="49" t="n"/>
      <c r="AW17" s="49" t="n"/>
      <c r="AX17" s="20" t="n"/>
      <c r="AY17" s="49" t="n"/>
      <c r="AZ17" s="22" t="n"/>
      <c r="BD17" s="5" t="n"/>
    </row>
    <row r="18" ht="37" customHeight="1" thickBot="1">
      <c r="D18" s="136" t="inlineStr">
        <is>
          <t>C-C1</t>
        </is>
      </c>
      <c r="E18" s="330" t="inlineStr">
        <is>
          <t>X</t>
        </is>
      </c>
      <c r="F18" s="331" t="n"/>
      <c r="G18" s="331" t="n"/>
      <c r="H18" s="331" t="n"/>
      <c r="I18" s="331" t="n"/>
      <c r="J18" s="331" t="n"/>
      <c r="K18" s="331" t="inlineStr">
        <is>
          <t>X</t>
        </is>
      </c>
      <c r="L18" s="331" t="n"/>
      <c r="M18" s="331" t="inlineStr">
        <is>
          <t>X</t>
        </is>
      </c>
      <c r="N18" s="331" t="inlineStr">
        <is>
          <t>X</t>
        </is>
      </c>
      <c r="O18" s="331" t="n"/>
      <c r="P18" s="331" t="n"/>
      <c r="Q18" s="331" t="n"/>
      <c r="R18" s="331" t="n">
        <v>1</v>
      </c>
      <c r="S18" s="331" t="n"/>
      <c r="T18" s="331" t="n"/>
      <c r="U18" s="331" t="n"/>
      <c r="V18" s="331" t="n">
        <v>1</v>
      </c>
      <c r="W18" s="331" t="n">
        <v>1</v>
      </c>
      <c r="X18" s="331" t="n">
        <v>1</v>
      </c>
      <c r="Y18" s="277" t="n"/>
      <c r="Z18" s="277" t="n"/>
      <c r="AA18" s="277" t="n"/>
      <c r="AB18" s="331" t="n">
        <v>1</v>
      </c>
      <c r="AC18" s="331" t="n">
        <v>1</v>
      </c>
      <c r="AD18" s="331" t="n"/>
      <c r="AE18" s="331" t="n">
        <v>1</v>
      </c>
      <c r="AF18" s="331" t="n">
        <v>1</v>
      </c>
      <c r="AG18" s="331" t="n">
        <v>1</v>
      </c>
      <c r="AH18" s="331" t="n"/>
      <c r="AI18" s="331" t="n"/>
      <c r="AJ18" s="331" t="n"/>
      <c r="AK18" s="331" t="n">
        <v>1</v>
      </c>
      <c r="AL18" s="277" t="n"/>
      <c r="AM18" s="277" t="n"/>
      <c r="AN18" s="277" t="n"/>
      <c r="AO18" s="277" t="n"/>
      <c r="AP18" s="277" t="n"/>
      <c r="AQ18" s="277" t="n"/>
      <c r="AR18" s="277" t="n"/>
      <c r="AS18" s="277" t="n"/>
      <c r="AT18" s="278" t="n"/>
      <c r="AU18" s="311" t="inlineStr">
        <is>
          <t>Concrete
CBC 1705A.3; ACI-318 26.5.2 &amp; 26.13
Placement of concrete</t>
        </is>
      </c>
      <c r="AV18" s="327" t="n"/>
      <c r="AW18" s="664" t="inlineStr">
        <is>
          <t>OPAA-0020</t>
        </is>
      </c>
      <c r="AX18" s="259" t="inlineStr">
        <is>
          <t>CTS</t>
        </is>
      </c>
      <c r="AY18" s="286" t="n"/>
      <c r="AZ18" s="400" t="n"/>
      <c r="BD18" s="5" t="n"/>
    </row>
    <row r="19" ht="37" customHeight="1" thickBot="1">
      <c r="D19" s="136" t="inlineStr">
        <is>
          <t>C-C2</t>
        </is>
      </c>
      <c r="E19" s="333" t="n"/>
      <c r="F19" s="334" t="n"/>
      <c r="G19" s="334" t="n"/>
      <c r="H19" s="334" t="n"/>
      <c r="I19" s="334" t="n"/>
      <c r="J19" s="334" t="n"/>
      <c r="K19" s="280" t="inlineStr">
        <is>
          <t>X</t>
        </is>
      </c>
      <c r="L19" s="334" t="n"/>
      <c r="M19" s="334" t="inlineStr">
        <is>
          <t>X</t>
        </is>
      </c>
      <c r="N19" s="334" t="inlineStr">
        <is>
          <t>X</t>
        </is>
      </c>
      <c r="O19" s="334" t="n"/>
      <c r="P19" s="334" t="n"/>
      <c r="Q19" s="334" t="n"/>
      <c r="R19" s="334" t="n"/>
      <c r="S19" s="334" t="n"/>
      <c r="T19" s="334" t="n"/>
      <c r="U19" s="334" t="n"/>
      <c r="V19" s="334" t="n"/>
      <c r="W19" s="334" t="n"/>
      <c r="X19" s="334" t="n"/>
      <c r="Y19" s="280" t="n"/>
      <c r="Z19" s="280" t="n"/>
      <c r="AA19" s="280" t="n"/>
      <c r="AB19" s="334" t="n"/>
      <c r="AC19" s="334" t="n"/>
      <c r="AD19" s="334" t="n"/>
      <c r="AE19" s="334" t="n"/>
      <c r="AF19" s="334" t="n"/>
      <c r="AG19" s="334" t="n"/>
      <c r="AH19" s="334" t="n"/>
      <c r="AI19" s="334" t="n"/>
      <c r="AJ19" s="334" t="n"/>
      <c r="AK19" s="334" t="n"/>
      <c r="AL19" s="280" t="n"/>
      <c r="AM19" s="280" t="n"/>
      <c r="AN19" s="280" t="n"/>
      <c r="AO19" s="280" t="n"/>
      <c r="AP19" s="280" t="n"/>
      <c r="AQ19" s="280" t="n"/>
      <c r="AR19" s="280" t="n"/>
      <c r="AS19" s="280" t="n"/>
      <c r="AT19" s="281" t="n"/>
      <c r="AU19" s="289" t="inlineStr">
        <is>
          <t>Concrete
CBC 1705A.3; ACI-318 26.4.1.5
Admixtures</t>
        </is>
      </c>
      <c r="AV19" s="316" t="n"/>
      <c r="AW19" s="663" t="inlineStr">
        <is>
          <t>OPAA-0015</t>
        </is>
      </c>
      <c r="AX19" s="261" t="inlineStr">
        <is>
          <t>RMA</t>
        </is>
      </c>
      <c r="AY19" s="288" t="n"/>
      <c r="AZ19" s="400" t="n"/>
      <c r="BD19" s="5" t="n"/>
    </row>
    <row r="20" ht="37" customHeight="1" thickBot="1">
      <c r="D20" s="136" t="inlineStr">
        <is>
          <t>C-C3</t>
        </is>
      </c>
      <c r="E20" s="333" t="n"/>
      <c r="F20" s="334" t="n"/>
      <c r="G20" s="334" t="n"/>
      <c r="H20" s="334" t="n"/>
      <c r="I20" s="334" t="n"/>
      <c r="J20" s="334" t="n"/>
      <c r="K20" s="334" t="inlineStr">
        <is>
          <t>X</t>
        </is>
      </c>
      <c r="L20" s="334" t="n"/>
      <c r="M20" s="334" t="inlineStr">
        <is>
          <t>X</t>
        </is>
      </c>
      <c r="N20" s="334" t="inlineStr">
        <is>
          <t>X</t>
        </is>
      </c>
      <c r="O20" s="334" t="n"/>
      <c r="P20" s="334" t="n"/>
      <c r="Q20" s="334" t="n"/>
      <c r="R20" s="334" t="n"/>
      <c r="S20" s="334" t="n"/>
      <c r="T20" s="334" t="n"/>
      <c r="U20" s="334" t="n"/>
      <c r="V20" s="334" t="n"/>
      <c r="W20" s="334" t="n"/>
      <c r="X20" s="334" t="n"/>
      <c r="Y20" s="280" t="n"/>
      <c r="Z20" s="280" t="n"/>
      <c r="AA20" s="280" t="n"/>
      <c r="AB20" s="334" t="n"/>
      <c r="AC20" s="334" t="n"/>
      <c r="AD20" s="334" t="n"/>
      <c r="AE20" s="334" t="n"/>
      <c r="AF20" s="334" t="n"/>
      <c r="AG20" s="334" t="n"/>
      <c r="AH20" s="334" t="n"/>
      <c r="AI20" s="334" t="n"/>
      <c r="AJ20" s="334" t="n"/>
      <c r="AK20" s="334" t="n"/>
      <c r="AL20" s="280" t="n"/>
      <c r="AM20" s="280" t="n"/>
      <c r="AN20" s="280" t="n"/>
      <c r="AO20" s="280" t="n"/>
      <c r="AP20" s="280" t="n"/>
      <c r="AQ20" s="280" t="n"/>
      <c r="AR20" s="280" t="n"/>
      <c r="AS20" s="280" t="n"/>
      <c r="AT20" s="281" t="n"/>
      <c r="AU20" s="289" t="inlineStr">
        <is>
          <t>Concrete
CBC 1705A.3; ACI-318 26.4
Mix Design</t>
        </is>
      </c>
      <c r="AV20" s="316" t="n"/>
      <c r="AW20" s="663" t="inlineStr">
        <is>
          <t>OPAA-0015</t>
        </is>
      </c>
      <c r="AX20" s="261" t="inlineStr">
        <is>
          <t>RMA</t>
        </is>
      </c>
      <c r="AY20" s="288" t="n"/>
      <c r="AZ20" s="400" t="n"/>
      <c r="BD20" s="5" t="n"/>
    </row>
    <row r="21" ht="37" customHeight="1" thickBot="1">
      <c r="D21" s="136" t="inlineStr">
        <is>
          <t>C-C4</t>
        </is>
      </c>
      <c r="E21" s="333" t="n"/>
      <c r="F21" s="334" t="n"/>
      <c r="G21" s="334" t="inlineStr">
        <is>
          <t>X</t>
        </is>
      </c>
      <c r="H21" s="334" t="inlineStr">
        <is>
          <t>X</t>
        </is>
      </c>
      <c r="I21" s="334" t="n"/>
      <c r="J21" s="334" t="n"/>
      <c r="K21" s="334" t="inlineStr">
        <is>
          <t>X</t>
        </is>
      </c>
      <c r="L21" s="334" t="inlineStr">
        <is>
          <t>X</t>
        </is>
      </c>
      <c r="M21" s="334" t="inlineStr">
        <is>
          <t>X</t>
        </is>
      </c>
      <c r="N21" s="334" t="inlineStr">
        <is>
          <t>X</t>
        </is>
      </c>
      <c r="O21" s="334" t="inlineStr">
        <is>
          <t>X</t>
        </is>
      </c>
      <c r="P21" s="334" t="inlineStr">
        <is>
          <t>X</t>
        </is>
      </c>
      <c r="Q21" s="334" t="inlineStr">
        <is>
          <t>X</t>
        </is>
      </c>
      <c r="R21" s="334" t="n">
        <v>1</v>
      </c>
      <c r="S21" s="334" t="n"/>
      <c r="T21" s="334" t="n"/>
      <c r="U21" s="334" t="n"/>
      <c r="V21" s="334" t="n">
        <v>1</v>
      </c>
      <c r="W21" s="334" t="n">
        <v>1</v>
      </c>
      <c r="X21" s="334" t="n">
        <v>1</v>
      </c>
      <c r="Y21" s="280" t="n"/>
      <c r="Z21" s="280" t="n"/>
      <c r="AA21" s="280" t="n"/>
      <c r="AB21" s="334" t="n">
        <v>1</v>
      </c>
      <c r="AC21" s="334" t="n">
        <v>1</v>
      </c>
      <c r="AD21" s="334" t="n"/>
      <c r="AE21" s="334" t="n">
        <v>1</v>
      </c>
      <c r="AF21" s="334" t="n">
        <v>1</v>
      </c>
      <c r="AG21" s="334" t="n">
        <v>1</v>
      </c>
      <c r="AH21" s="334" t="n"/>
      <c r="AI21" s="334" t="n"/>
      <c r="AJ21" s="334" t="n"/>
      <c r="AK21" s="334" t="n">
        <v>1</v>
      </c>
      <c r="AL21" s="280" t="n"/>
      <c r="AM21" s="280" t="n"/>
      <c r="AN21" s="280" t="n"/>
      <c r="AO21" s="280" t="n"/>
      <c r="AP21" s="280" t="n"/>
      <c r="AQ21" s="280" t="n"/>
      <c r="AR21" s="280" t="n"/>
      <c r="AS21" s="280" t="n"/>
      <c r="AT21" s="281" t="n"/>
      <c r="AU21" s="289" t="inlineStr">
        <is>
          <t>Concrete
CBC 1705A.3; ACI-318  26.13
Reinforcing steel &amp; prestressing steel</t>
        </is>
      </c>
      <c r="AV21" s="316" t="n"/>
      <c r="AW21" s="663" t="inlineStr">
        <is>
          <t>OPAA-0020</t>
        </is>
      </c>
      <c r="AX21" s="261" t="inlineStr">
        <is>
          <t>CTS</t>
        </is>
      </c>
      <c r="AY21" s="288" t="n"/>
      <c r="AZ21" s="400" t="n"/>
      <c r="BD21" s="5" t="n"/>
    </row>
    <row r="22" ht="37" customHeight="1" thickBot="1">
      <c r="D22" s="136" t="inlineStr">
        <is>
          <t>C-C5</t>
        </is>
      </c>
      <c r="E22" s="333" t="n"/>
      <c r="F22" s="334" t="n"/>
      <c r="G22" s="334" t="inlineStr">
        <is>
          <t>X</t>
        </is>
      </c>
      <c r="H22" s="334" t="n"/>
      <c r="I22" s="334" t="n"/>
      <c r="J22" s="334" t="inlineStr">
        <is>
          <t>X</t>
        </is>
      </c>
      <c r="K22" s="334" t="inlineStr">
        <is>
          <t>X</t>
        </is>
      </c>
      <c r="L22" s="334" t="n"/>
      <c r="M22" s="334" t="inlineStr">
        <is>
          <t>X</t>
        </is>
      </c>
      <c r="N22" s="334" t="inlineStr">
        <is>
          <t>X</t>
        </is>
      </c>
      <c r="O22" s="334" t="inlineStr">
        <is>
          <t>X</t>
        </is>
      </c>
      <c r="P22" s="334" t="inlineStr">
        <is>
          <t>X</t>
        </is>
      </c>
      <c r="Q22" s="334" t="inlineStr">
        <is>
          <t>X</t>
        </is>
      </c>
      <c r="R22" s="334" t="n">
        <v>1</v>
      </c>
      <c r="S22" s="334" t="n"/>
      <c r="T22" s="334" t="n"/>
      <c r="U22" s="334" t="n"/>
      <c r="V22" s="334" t="n">
        <v>1</v>
      </c>
      <c r="W22" s="334" t="n">
        <v>1</v>
      </c>
      <c r="X22" s="334" t="n">
        <v>1</v>
      </c>
      <c r="Y22" s="280" t="n"/>
      <c r="Z22" s="280" t="n"/>
      <c r="AA22" s="280" t="n"/>
      <c r="AB22" s="334" t="n">
        <v>1</v>
      </c>
      <c r="AC22" s="334" t="n">
        <v>1</v>
      </c>
      <c r="AD22" s="334" t="n"/>
      <c r="AE22" s="334" t="n">
        <v>1</v>
      </c>
      <c r="AF22" s="334" t="n">
        <v>1</v>
      </c>
      <c r="AG22" s="334" t="n">
        <v>1</v>
      </c>
      <c r="AH22" s="334" t="n"/>
      <c r="AI22" s="334" t="n"/>
      <c r="AJ22" s="334" t="n"/>
      <c r="AK22" s="334" t="n">
        <v>1</v>
      </c>
      <c r="AL22" s="280" t="n"/>
      <c r="AM22" s="280" t="n"/>
      <c r="AN22" s="280" t="n"/>
      <c r="AO22" s="280" t="n"/>
      <c r="AP22" s="280" t="n"/>
      <c r="AQ22" s="280" t="n"/>
      <c r="AR22" s="280" t="n"/>
      <c r="AS22" s="280" t="n"/>
      <c r="AT22" s="281" t="n"/>
      <c r="AU22" s="289" t="inlineStr">
        <is>
          <t>Concrete
CBC 1705A.3
CIP &amp; Post-installed anchors</t>
        </is>
      </c>
      <c r="AV22" s="316" t="n"/>
      <c r="AW22" s="663" t="inlineStr">
        <is>
          <t>OPAA-0020</t>
        </is>
      </c>
      <c r="AX22" s="261" t="inlineStr">
        <is>
          <t>CTS</t>
        </is>
      </c>
      <c r="AY22" s="288" t="n"/>
      <c r="AZ22" s="400" t="n"/>
      <c r="BD22" s="5" t="n"/>
    </row>
    <row r="23" hidden="1" ht="49" customHeight="1" thickBot="1">
      <c r="D23" s="136" t="inlineStr">
        <is>
          <t>C-C6</t>
        </is>
      </c>
      <c r="E23" s="333" t="n"/>
      <c r="F23" s="334" t="n"/>
      <c r="G23" s="334" t="n"/>
      <c r="H23" s="334" t="n"/>
      <c r="I23" s="334" t="n"/>
      <c r="J23" s="334" t="n"/>
      <c r="K23" s="280" t="inlineStr">
        <is>
          <t>X</t>
        </is>
      </c>
      <c r="L23" s="334" t="n"/>
      <c r="M23" s="334" t="inlineStr">
        <is>
          <t>X</t>
        </is>
      </c>
      <c r="N23" s="334" t="inlineStr">
        <is>
          <t>X</t>
        </is>
      </c>
      <c r="O23" s="334" t="inlineStr">
        <is>
          <t>X</t>
        </is>
      </c>
      <c r="P23" s="334" t="inlineStr">
        <is>
          <t>X</t>
        </is>
      </c>
      <c r="Q23" s="334" t="inlineStr">
        <is>
          <t>X</t>
        </is>
      </c>
      <c r="R23" s="334" t="n"/>
      <c r="S23" s="334" t="n"/>
      <c r="T23" s="334" t="n"/>
      <c r="U23" s="334" t="n"/>
      <c r="V23" s="334" t="n"/>
      <c r="W23" s="334" t="n"/>
      <c r="X23" s="334" t="n"/>
      <c r="Y23" s="334" t="n"/>
      <c r="Z23" s="334" t="n"/>
      <c r="AA23" s="334" t="n"/>
      <c r="AB23" s="334" t="n"/>
      <c r="AC23" s="334" t="n"/>
      <c r="AD23" s="334" t="n"/>
      <c r="AE23" s="334" t="n"/>
      <c r="AF23" s="334" t="n"/>
      <c r="AG23" s="334" t="n"/>
      <c r="AH23" s="334" t="n"/>
      <c r="AI23" s="334" t="n"/>
      <c r="AJ23" s="334" t="n"/>
      <c r="AK23" s="280" t="n"/>
      <c r="AL23" s="280" t="n"/>
      <c r="AM23" s="280" t="n"/>
      <c r="AN23" s="280" t="n"/>
      <c r="AO23" s="280" t="n"/>
      <c r="AP23" s="280" t="n"/>
      <c r="AQ23" s="280" t="n"/>
      <c r="AR23" s="280" t="n"/>
      <c r="AS23" s="280" t="n"/>
      <c r="AT23" s="281" t="n"/>
      <c r="AU23" s="289" t="inlineStr">
        <is>
          <t>Concrete
CBC Table 1705A.3
Adhesive anchors in horizontal and upwardly inclined positions with sustained tension load</t>
        </is>
      </c>
      <c r="AV23" s="316" t="n"/>
      <c r="AW23" s="663" t="n"/>
      <c r="AX23" s="261" t="n"/>
      <c r="AY23" s="288" t="n"/>
      <c r="AZ23" s="400" t="n"/>
      <c r="BD23" s="5" t="n"/>
    </row>
    <row r="24" ht="49" customHeight="1" thickBot="1">
      <c r="D24" s="136" t="inlineStr">
        <is>
          <t>C-C7</t>
        </is>
      </c>
      <c r="E24" s="333" t="n"/>
      <c r="F24" s="334" t="n"/>
      <c r="G24" s="334" t="inlineStr">
        <is>
          <t>X</t>
        </is>
      </c>
      <c r="H24" s="334" t="inlineStr">
        <is>
          <t>X</t>
        </is>
      </c>
      <c r="I24" s="334" t="n"/>
      <c r="J24" s="334" t="n"/>
      <c r="K24" s="334" t="inlineStr">
        <is>
          <t>X</t>
        </is>
      </c>
      <c r="L24" s="334" t="inlineStr">
        <is>
          <t>X</t>
        </is>
      </c>
      <c r="M24" s="334" t="inlineStr">
        <is>
          <t>X</t>
        </is>
      </c>
      <c r="N24" s="334" t="inlineStr">
        <is>
          <t>X</t>
        </is>
      </c>
      <c r="O24" s="334" t="inlineStr">
        <is>
          <t>X</t>
        </is>
      </c>
      <c r="P24" s="334" t="inlineStr">
        <is>
          <t>X</t>
        </is>
      </c>
      <c r="Q24" s="334" t="inlineStr">
        <is>
          <t>X</t>
        </is>
      </c>
      <c r="R24" s="334" t="n">
        <v>1</v>
      </c>
      <c r="S24" s="334" t="n"/>
      <c r="T24" s="334" t="n"/>
      <c r="U24" s="334" t="n"/>
      <c r="V24" s="334" t="n">
        <v>1</v>
      </c>
      <c r="W24" s="334" t="n">
        <v>1</v>
      </c>
      <c r="X24" s="334" t="n">
        <v>1</v>
      </c>
      <c r="Y24" s="280" t="n"/>
      <c r="Z24" s="280" t="n"/>
      <c r="AA24" s="280" t="n"/>
      <c r="AB24" s="334" t="n">
        <v>1</v>
      </c>
      <c r="AC24" s="334" t="n">
        <v>1</v>
      </c>
      <c r="AD24" s="334" t="n"/>
      <c r="AE24" s="334" t="n">
        <v>1</v>
      </c>
      <c r="AF24" s="334" t="n">
        <v>1</v>
      </c>
      <c r="AG24" s="334" t="n">
        <v>1</v>
      </c>
      <c r="AH24" s="334" t="n"/>
      <c r="AI24" s="334" t="n"/>
      <c r="AJ24" s="334" t="n"/>
      <c r="AK24" s="334" t="n">
        <v>1</v>
      </c>
      <c r="AL24" s="280" t="n"/>
      <c r="AM24" s="280" t="n"/>
      <c r="AN24" s="280" t="n"/>
      <c r="AO24" s="280" t="n"/>
      <c r="AP24" s="280" t="n"/>
      <c r="AQ24" s="280" t="n"/>
      <c r="AR24" s="280" t="n"/>
      <c r="AS24" s="280" t="n"/>
      <c r="AT24" s="281" t="n"/>
      <c r="AU24" s="289" t="inlineStr">
        <is>
          <t>Concrete
CBC 1705A.3; ACI-318 26.13
Specialty inserts, Stud rails, Rebar mechanical conn., Headed rebar</t>
        </is>
      </c>
      <c r="AV24" s="322" t="n"/>
      <c r="AW24" s="663" t="inlineStr">
        <is>
          <t>OPAA-0020</t>
        </is>
      </c>
      <c r="AX24" s="264" t="inlineStr">
        <is>
          <t>CTS</t>
        </is>
      </c>
      <c r="AY24" s="288" t="n"/>
      <c r="AZ24" s="400" t="n"/>
      <c r="BD24" s="5" t="n"/>
    </row>
    <row r="25" hidden="1" ht="37" customHeight="1" thickBot="1">
      <c r="D25" s="136" t="inlineStr">
        <is>
          <t>C-C8</t>
        </is>
      </c>
      <c r="E25" s="333" t="n"/>
      <c r="F25" s="334" t="n"/>
      <c r="G25" s="334" t="n"/>
      <c r="H25" s="334" t="n"/>
      <c r="I25" s="334" t="n"/>
      <c r="J25" s="334" t="n"/>
      <c r="K25" s="280" t="n"/>
      <c r="L25" s="334" t="n"/>
      <c r="M25" s="280" t="n"/>
      <c r="N25" s="280" t="n"/>
      <c r="O25" s="334" t="n"/>
      <c r="P25" s="334" t="n"/>
      <c r="Q25" s="334" t="n"/>
      <c r="R25" s="334" t="n"/>
      <c r="S25" s="334" t="n"/>
      <c r="T25" s="334" t="n"/>
      <c r="U25" s="334" t="n"/>
      <c r="V25" s="334" t="n"/>
      <c r="W25" s="334" t="n"/>
      <c r="X25" s="334" t="n"/>
      <c r="Y25" s="334" t="n"/>
      <c r="Z25" s="334" t="n"/>
      <c r="AA25" s="334" t="n"/>
      <c r="AB25" s="334" t="n"/>
      <c r="AC25" s="334" t="n"/>
      <c r="AD25" s="334" t="n"/>
      <c r="AE25" s="334" t="n"/>
      <c r="AF25" s="334" t="n"/>
      <c r="AG25" s="334" t="n"/>
      <c r="AH25" s="280" t="n"/>
      <c r="AI25" s="280" t="n"/>
      <c r="AJ25" s="280" t="n"/>
      <c r="AK25" s="280" t="n"/>
      <c r="AL25" s="280" t="n"/>
      <c r="AM25" s="280" t="n"/>
      <c r="AN25" s="280" t="n"/>
      <c r="AO25" s="280" t="n"/>
      <c r="AP25" s="280" t="n"/>
      <c r="AQ25" s="280" t="n"/>
      <c r="AR25" s="280" t="n"/>
      <c r="AS25" s="280" t="n"/>
      <c r="AT25" s="281" t="n"/>
      <c r="AU25" s="289" t="inlineStr">
        <is>
          <t>Concrete
CBC 1705A.3.3
Batch plant inspection</t>
        </is>
      </c>
      <c r="AV25" s="322" t="n"/>
      <c r="AW25" s="322" t="n"/>
      <c r="AX25" s="322" t="n"/>
      <c r="AY25" s="288" t="n"/>
      <c r="AZ25" s="400" t="n"/>
      <c r="BD25" s="5" t="n"/>
    </row>
    <row r="26" hidden="1" ht="37" customHeight="1" thickBot="1">
      <c r="D26" s="136" t="inlineStr">
        <is>
          <t>C-C9</t>
        </is>
      </c>
      <c r="E26" s="333" t="n"/>
      <c r="F26" s="334" t="n"/>
      <c r="G26" s="334" t="n"/>
      <c r="H26" s="334" t="n"/>
      <c r="I26" s="334" t="n"/>
      <c r="J26" s="334" t="n"/>
      <c r="K26" s="280" t="n"/>
      <c r="L26" s="334" t="n"/>
      <c r="M26" s="280" t="n"/>
      <c r="N26" s="280" t="n"/>
      <c r="O26" s="334" t="n"/>
      <c r="P26" s="334" t="n"/>
      <c r="Q26" s="334" t="n"/>
      <c r="R26" s="334" t="n"/>
      <c r="S26" s="334" t="n"/>
      <c r="T26" s="334" t="n"/>
      <c r="U26" s="334" t="n"/>
      <c r="V26" s="334" t="n"/>
      <c r="W26" s="334" t="n"/>
      <c r="X26" s="334" t="n"/>
      <c r="Y26" s="334" t="n"/>
      <c r="Z26" s="334" t="n"/>
      <c r="AA26" s="334" t="n"/>
      <c r="AB26" s="334" t="n"/>
      <c r="AC26" s="334" t="n"/>
      <c r="AD26" s="334" t="n"/>
      <c r="AE26" s="334" t="n"/>
      <c r="AF26" s="334" t="n"/>
      <c r="AG26" s="334" t="n"/>
      <c r="AH26" s="280" t="n"/>
      <c r="AI26" s="280" t="n"/>
      <c r="AJ26" s="280" t="n"/>
      <c r="AK26" s="280" t="n"/>
      <c r="AL26" s="280" t="n"/>
      <c r="AM26" s="280" t="n"/>
      <c r="AN26" s="280" t="n"/>
      <c r="AO26" s="280" t="n"/>
      <c r="AP26" s="280" t="n"/>
      <c r="AQ26" s="280" t="n"/>
      <c r="AR26" s="280" t="n"/>
      <c r="AS26" s="280" t="n"/>
      <c r="AT26" s="281" t="n"/>
      <c r="AU26" s="289" t="inlineStr">
        <is>
          <t>Concrete
CBC 1705A.3.4; ACI-318 26.13
Prestressed concrete</t>
        </is>
      </c>
      <c r="AV26" s="322" t="n"/>
      <c r="AW26" s="322" t="n"/>
      <c r="AX26" s="322" t="n"/>
      <c r="AY26" s="288" t="n"/>
      <c r="AZ26" s="400" t="n"/>
      <c r="BD26" s="5" t="n"/>
    </row>
    <row r="27" hidden="1" ht="37" customHeight="1" thickBot="1">
      <c r="D27" s="136" t="inlineStr">
        <is>
          <t>C-C10</t>
        </is>
      </c>
      <c r="E27" s="333" t="n"/>
      <c r="F27" s="334" t="n"/>
      <c r="G27" s="334" t="n"/>
      <c r="H27" s="334" t="n"/>
      <c r="I27" s="334" t="n"/>
      <c r="J27" s="334" t="n"/>
      <c r="K27" s="280" t="n"/>
      <c r="L27" s="334" t="n"/>
      <c r="M27" s="280" t="n"/>
      <c r="N27" s="280" t="n"/>
      <c r="O27" s="334" t="n"/>
      <c r="P27" s="334" t="n"/>
      <c r="Q27" s="334" t="n"/>
      <c r="R27" s="334" t="n"/>
      <c r="S27" s="334" t="n"/>
      <c r="T27" s="334" t="n"/>
      <c r="U27" s="334" t="n"/>
      <c r="V27" s="334" t="n"/>
      <c r="W27" s="334" t="n"/>
      <c r="X27" s="334" t="n"/>
      <c r="Y27" s="334" t="n"/>
      <c r="Z27" s="334" t="n"/>
      <c r="AA27" s="334" t="n"/>
      <c r="AB27" s="334" t="n"/>
      <c r="AC27" s="334" t="n"/>
      <c r="AD27" s="334" t="n"/>
      <c r="AE27" s="334" t="n"/>
      <c r="AF27" s="334" t="n"/>
      <c r="AG27" s="334" t="n"/>
      <c r="AH27" s="280" t="n"/>
      <c r="AI27" s="280" t="n"/>
      <c r="AJ27" s="280" t="n"/>
      <c r="AK27" s="280" t="n"/>
      <c r="AL27" s="280" t="n"/>
      <c r="AM27" s="280" t="n"/>
      <c r="AN27" s="280" t="n"/>
      <c r="AO27" s="280" t="n"/>
      <c r="AP27" s="280" t="n"/>
      <c r="AQ27" s="280" t="n"/>
      <c r="AR27" s="280" t="n"/>
      <c r="AS27" s="280" t="n"/>
      <c r="AT27" s="281" t="n"/>
      <c r="AU27" s="289" t="inlineStr">
        <is>
          <t>Concrete
CBC 1705A.3 &amp; 1705A.12.5
Precast concrete erection</t>
        </is>
      </c>
      <c r="AV27" s="322" t="n"/>
      <c r="AW27" s="322" t="n"/>
      <c r="AX27" s="322" t="n"/>
      <c r="AY27" s="288" t="n"/>
      <c r="AZ27" s="400" t="n"/>
      <c r="BD27" s="5" t="n"/>
    </row>
    <row r="28" ht="37" customHeight="1" thickBot="1">
      <c r="D28" s="136" t="inlineStr">
        <is>
          <t>C-C11</t>
        </is>
      </c>
      <c r="E28" s="333" t="n"/>
      <c r="F28" s="334" t="n"/>
      <c r="G28" s="334" t="n"/>
      <c r="H28" s="334" t="n"/>
      <c r="I28" s="334" t="n"/>
      <c r="J28" s="334" t="n"/>
      <c r="K28" s="280" t="n"/>
      <c r="L28" s="334" t="n"/>
      <c r="M28" s="280" t="n"/>
      <c r="N28" s="280" t="n"/>
      <c r="O28" s="334" t="n"/>
      <c r="P28" s="334" t="n"/>
      <c r="Q28" s="334" t="n"/>
      <c r="R28" s="334" t="n"/>
      <c r="S28" s="334" t="n"/>
      <c r="T28" s="334" t="n"/>
      <c r="U28" s="334" t="n"/>
      <c r="V28" s="334" t="n"/>
      <c r="W28" s="334" t="n">
        <v>1</v>
      </c>
      <c r="X28" s="334" t="n"/>
      <c r="Y28" s="334" t="n"/>
      <c r="Z28" s="334" t="n"/>
      <c r="AA28" s="334" t="n"/>
      <c r="AB28" s="334" t="n"/>
      <c r="AC28" s="334" t="n"/>
      <c r="AD28" s="334" t="n"/>
      <c r="AE28" s="334" t="n"/>
      <c r="AF28" s="334" t="n"/>
      <c r="AG28" s="334" t="n"/>
      <c r="AH28" s="280" t="n"/>
      <c r="AI28" s="280" t="n"/>
      <c r="AJ28" s="280" t="n"/>
      <c r="AK28" s="280" t="n"/>
      <c r="AL28" s="280" t="n"/>
      <c r="AM28" s="280" t="n"/>
      <c r="AN28" s="280" t="n"/>
      <c r="AO28" s="280" t="n"/>
      <c r="AP28" s="280" t="n"/>
      <c r="AQ28" s="280" t="n"/>
      <c r="AR28" s="280" t="n"/>
      <c r="AS28" s="280" t="n"/>
      <c r="AT28" s="281" t="n"/>
      <c r="AU28" s="289" t="inlineStr">
        <is>
          <t>Shotcrete
CBC 1705A.19 &amp; 1908A
Installation</t>
        </is>
      </c>
      <c r="AV28" s="322" t="n"/>
      <c r="AW28" s="663" t="inlineStr">
        <is>
          <t>OPAA-0020</t>
        </is>
      </c>
      <c r="AX28" s="261" t="inlineStr">
        <is>
          <t>CTS</t>
        </is>
      </c>
      <c r="AY28" s="288" t="n"/>
      <c r="AZ28" s="400" t="n"/>
      <c r="BD28" s="5" t="n"/>
    </row>
    <row r="29" hidden="1" ht="37" customHeight="1" thickBot="1">
      <c r="D29" s="136" t="inlineStr">
        <is>
          <t>C-C12</t>
        </is>
      </c>
      <c r="E29" s="333" t="n"/>
      <c r="F29" s="334" t="n"/>
      <c r="G29" s="334" t="n"/>
      <c r="H29" s="334" t="n"/>
      <c r="I29" s="334" t="n"/>
      <c r="J29" s="334" t="n"/>
      <c r="K29" s="280" t="n"/>
      <c r="L29" s="334" t="n"/>
      <c r="M29" s="280" t="n"/>
      <c r="N29" s="280" t="n"/>
      <c r="O29" s="334" t="n"/>
      <c r="P29" s="334" t="n"/>
      <c r="Q29" s="334" t="n"/>
      <c r="R29" s="334" t="n"/>
      <c r="S29" s="334" t="n"/>
      <c r="T29" s="334" t="n"/>
      <c r="U29" s="334" t="n"/>
      <c r="V29" s="334" t="n"/>
      <c r="W29" s="334" t="n"/>
      <c r="X29" s="334" t="n"/>
      <c r="Y29" s="334" t="n"/>
      <c r="Z29" s="334" t="n"/>
      <c r="AA29" s="334" t="n"/>
      <c r="AB29" s="334" t="n"/>
      <c r="AC29" s="334" t="n"/>
      <c r="AD29" s="334" t="n"/>
      <c r="AE29" s="334" t="n"/>
      <c r="AF29" s="334" t="n"/>
      <c r="AG29" s="334" t="n"/>
      <c r="AH29" s="280" t="n"/>
      <c r="AI29" s="280" t="n"/>
      <c r="AJ29" s="280" t="n"/>
      <c r="AK29" s="280" t="n"/>
      <c r="AL29" s="280" t="n"/>
      <c r="AM29" s="280" t="n"/>
      <c r="AN29" s="280" t="n"/>
      <c r="AO29" s="280" t="n"/>
      <c r="AP29" s="280" t="n"/>
      <c r="AQ29" s="280" t="n"/>
      <c r="AR29" s="280" t="n"/>
      <c r="AS29" s="280" t="n"/>
      <c r="AT29" s="281" t="n"/>
      <c r="AU29" s="289" t="inlineStr">
        <is>
          <t>Concrete
CBC 1705A.3
Insulating concrete</t>
        </is>
      </c>
      <c r="AV29" s="322" t="n"/>
      <c r="AW29" s="322" t="n"/>
      <c r="AX29" s="322" t="n"/>
      <c r="AY29" s="288" t="n"/>
      <c r="AZ29" s="400" t="n"/>
      <c r="BD29" s="5" t="n"/>
    </row>
    <row r="30" ht="37" customHeight="1" thickBot="1">
      <c r="D30" s="136" t="inlineStr">
        <is>
          <t>C-C13</t>
        </is>
      </c>
      <c r="E30" s="333" t="n"/>
      <c r="F30" s="334" t="n"/>
      <c r="G30" s="334" t="inlineStr">
        <is>
          <t>X</t>
        </is>
      </c>
      <c r="H30" s="334" t="inlineStr">
        <is>
          <t>X</t>
        </is>
      </c>
      <c r="I30" s="334" t="n"/>
      <c r="J30" s="334" t="n"/>
      <c r="K30" s="334" t="inlineStr">
        <is>
          <t>X</t>
        </is>
      </c>
      <c r="L30" s="334" t="inlineStr">
        <is>
          <t>X</t>
        </is>
      </c>
      <c r="M30" s="334" t="n"/>
      <c r="N30" s="334" t="n"/>
      <c r="O30" s="334" t="n"/>
      <c r="P30" s="334" t="n"/>
      <c r="Q30" s="334" t="inlineStr">
        <is>
          <t>X</t>
        </is>
      </c>
      <c r="R30" s="334" t="n">
        <v>1</v>
      </c>
      <c r="S30" s="334" t="n"/>
      <c r="T30" s="334" t="n"/>
      <c r="U30" s="334" t="n"/>
      <c r="V30" s="334" t="n">
        <v>1</v>
      </c>
      <c r="W30" s="334" t="n">
        <v>1</v>
      </c>
      <c r="X30" s="334" t="n">
        <v>1</v>
      </c>
      <c r="Y30" s="280" t="n"/>
      <c r="Z30" s="280" t="n"/>
      <c r="AA30" s="280" t="n"/>
      <c r="AB30" s="334" t="n">
        <v>1</v>
      </c>
      <c r="AC30" s="334" t="n">
        <v>1</v>
      </c>
      <c r="AD30" s="334" t="n"/>
      <c r="AE30" s="334" t="n">
        <v>1</v>
      </c>
      <c r="AF30" s="334" t="n">
        <v>1</v>
      </c>
      <c r="AG30" s="334" t="n">
        <v>1</v>
      </c>
      <c r="AH30" s="334" t="n"/>
      <c r="AI30" s="334" t="n"/>
      <c r="AJ30" s="334" t="n"/>
      <c r="AK30" s="334" t="n">
        <v>1</v>
      </c>
      <c r="AL30" s="280" t="n"/>
      <c r="AM30" s="280" t="n"/>
      <c r="AN30" s="280" t="n"/>
      <c r="AO30" s="280" t="n"/>
      <c r="AP30" s="280" t="n"/>
      <c r="AQ30" s="280" t="n"/>
      <c r="AR30" s="280" t="n"/>
      <c r="AS30" s="280" t="n"/>
      <c r="AT30" s="281" t="n"/>
      <c r="AU30" s="289" t="inlineStr">
        <is>
          <t>Concrete
CBC 1705A.3, 1705A.3.1 &amp; 1903A.8
Welding of reinforcing bars</t>
        </is>
      </c>
      <c r="AV30" s="322" t="n"/>
      <c r="AW30" s="663" t="inlineStr">
        <is>
          <t>OPAA-0020</t>
        </is>
      </c>
      <c r="AX30" s="264" t="inlineStr">
        <is>
          <t>CTS</t>
        </is>
      </c>
      <c r="AY30" s="288" t="n"/>
      <c r="AZ30" s="400" t="n"/>
      <c r="BB30" s="2" t="inlineStr">
        <is>
          <t>*C-C13 not required</t>
        </is>
      </c>
      <c r="BD30" s="5" t="n"/>
    </row>
    <row r="31" hidden="1" ht="37" customHeight="1" thickBot="1">
      <c r="D31" s="136" t="inlineStr">
        <is>
          <t>C-C14</t>
        </is>
      </c>
      <c r="E31" s="333" t="n"/>
      <c r="F31" s="334" t="n"/>
      <c r="G31" s="334" t="n"/>
      <c r="H31" s="334" t="n"/>
      <c r="I31" s="334" t="n"/>
      <c r="J31" s="334" t="n"/>
      <c r="K31" s="280" t="n"/>
      <c r="L31" s="334" t="n"/>
      <c r="M31" s="280" t="n"/>
      <c r="N31" s="280" t="n"/>
      <c r="O31" s="334" t="n"/>
      <c r="P31" s="334" t="n"/>
      <c r="Q31" s="334" t="n"/>
      <c r="R31" s="334" t="n"/>
      <c r="S31" s="334" t="n"/>
      <c r="T31" s="334" t="n"/>
      <c r="U31" s="334" t="n"/>
      <c r="V31" s="334" t="n"/>
      <c r="W31" s="334" t="n"/>
      <c r="X31" s="334" t="n"/>
      <c r="Y31" s="334" t="n"/>
      <c r="Z31" s="334" t="n"/>
      <c r="AA31" s="334" t="n"/>
      <c r="AB31" s="334" t="n"/>
      <c r="AC31" s="334" t="n"/>
      <c r="AD31" s="334" t="n"/>
      <c r="AE31" s="334" t="n"/>
      <c r="AF31" s="334" t="n"/>
      <c r="AG31" s="334" t="n"/>
      <c r="AH31" s="280" t="n"/>
      <c r="AI31" s="280" t="n"/>
      <c r="AJ31" s="280" t="n"/>
      <c r="AK31" s="280" t="n"/>
      <c r="AL31" s="280" t="n"/>
      <c r="AM31" s="280" t="n"/>
      <c r="AN31" s="280" t="n"/>
      <c r="AO31" s="280" t="n"/>
      <c r="AP31" s="280" t="n"/>
      <c r="AQ31" s="280" t="n"/>
      <c r="AR31" s="280" t="n"/>
      <c r="AS31" s="280" t="n"/>
      <c r="AT31" s="281" t="n"/>
      <c r="AU31" s="289" t="inlineStr">
        <is>
          <t>Concrete
CBC 1705A.12.5
GFRC panels</t>
        </is>
      </c>
      <c r="AV31" s="322" t="n"/>
      <c r="AW31" s="322" t="n"/>
      <c r="AX31" s="322" t="n"/>
      <c r="AY31" s="288" t="n"/>
      <c r="AZ31" s="4" t="n"/>
      <c r="BD31" s="5" t="n"/>
    </row>
    <row r="32" hidden="1" ht="37" customHeight="1" thickBot="1">
      <c r="D32" s="136" t="inlineStr">
        <is>
          <t>C-C15</t>
        </is>
      </c>
      <c r="E32" s="333" t="n"/>
      <c r="F32" s="334" t="n"/>
      <c r="G32" s="334" t="n"/>
      <c r="H32" s="334" t="n"/>
      <c r="I32" s="334" t="n"/>
      <c r="J32" s="334" t="n"/>
      <c r="K32" s="280" t="n"/>
      <c r="L32" s="334" t="n"/>
      <c r="M32" s="280" t="n"/>
      <c r="N32" s="280" t="n"/>
      <c r="O32" s="334" t="n"/>
      <c r="P32" s="334" t="n"/>
      <c r="Q32" s="334" t="n"/>
      <c r="R32" s="334" t="n"/>
      <c r="S32" s="334" t="n"/>
      <c r="T32" s="334" t="n"/>
      <c r="U32" s="334" t="n"/>
      <c r="V32" s="334" t="n"/>
      <c r="W32" s="334" t="n"/>
      <c r="X32" s="334" t="n"/>
      <c r="Y32" s="334" t="n"/>
      <c r="Z32" s="334" t="n"/>
      <c r="AA32" s="334" t="n"/>
      <c r="AB32" s="334" t="n"/>
      <c r="AC32" s="334" t="n"/>
      <c r="AD32" s="334" t="n"/>
      <c r="AE32" s="334" t="n"/>
      <c r="AF32" s="334" t="n"/>
      <c r="AG32" s="334" t="n"/>
      <c r="AH32" s="280" t="n"/>
      <c r="AI32" s="280" t="n"/>
      <c r="AJ32" s="280" t="n"/>
      <c r="AK32" s="280" t="n"/>
      <c r="AL32" s="280" t="n"/>
      <c r="AM32" s="280" t="n"/>
      <c r="AN32" s="280" t="n"/>
      <c r="AO32" s="280" t="n"/>
      <c r="AP32" s="280" t="n"/>
      <c r="AQ32" s="280" t="n"/>
      <c r="AR32" s="280" t="n"/>
      <c r="AS32" s="280" t="n"/>
      <c r="AT32" s="281" t="n"/>
      <c r="AU32" s="289" t="inlineStr">
        <is>
          <t>Concrete
CBC 1911A.2; ACI-503.7
Crack repair by epoxy injection</t>
        </is>
      </c>
      <c r="AV32" s="322" t="n"/>
      <c r="AW32" s="322" t="n"/>
      <c r="AX32" s="322" t="n"/>
      <c r="AY32" s="288" t="n"/>
      <c r="AZ32" s="4" t="n"/>
      <c r="BD32" s="5" t="n"/>
    </row>
    <row r="33" hidden="1" ht="37" customHeight="1" thickBot="1">
      <c r="D33" s="136" t="inlineStr">
        <is>
          <t>C-C16</t>
        </is>
      </c>
      <c r="E33" s="333" t="n"/>
      <c r="F33" s="334" t="n"/>
      <c r="G33" s="334" t="n"/>
      <c r="H33" s="334" t="n"/>
      <c r="I33" s="334" t="n"/>
      <c r="J33" s="334" t="n"/>
      <c r="K33" s="280" t="n"/>
      <c r="L33" s="334" t="n"/>
      <c r="M33" s="280" t="n"/>
      <c r="N33" s="280" t="n"/>
      <c r="O33" s="334" t="n"/>
      <c r="P33" s="334" t="n"/>
      <c r="Q33" s="334" t="n"/>
      <c r="R33" s="334" t="n"/>
      <c r="S33" s="334" t="n"/>
      <c r="T33" s="334" t="n"/>
      <c r="U33" s="334" t="n"/>
      <c r="V33" s="334" t="n"/>
      <c r="W33" s="334" t="n"/>
      <c r="X33" s="334" t="n"/>
      <c r="Y33" s="334" t="n"/>
      <c r="Z33" s="334" t="n"/>
      <c r="AA33" s="334" t="n"/>
      <c r="AB33" s="334" t="n"/>
      <c r="AC33" s="334" t="n"/>
      <c r="AD33" s="334" t="n"/>
      <c r="AE33" s="334" t="n"/>
      <c r="AF33" s="334" t="n"/>
      <c r="AG33" s="334" t="n"/>
      <c r="AH33" s="280" t="n"/>
      <c r="AI33" s="280" t="n"/>
      <c r="AJ33" s="280" t="n"/>
      <c r="AK33" s="280" t="n"/>
      <c r="AL33" s="280" t="n"/>
      <c r="AM33" s="280" t="n"/>
      <c r="AN33" s="280" t="n"/>
      <c r="AO33" s="280" t="n"/>
      <c r="AP33" s="280" t="n"/>
      <c r="AQ33" s="280" t="n"/>
      <c r="AR33" s="280" t="n"/>
      <c r="AS33" s="280" t="n"/>
      <c r="AT33" s="281" t="n"/>
      <c r="AU33" s="289" t="inlineStr">
        <is>
          <t>Concrete
CBC 1911A.3, ICC AC178 Sec. 3 to 8
Strengthening by externally bonded FRP</t>
        </is>
      </c>
      <c r="AV33" s="322" t="n"/>
      <c r="AW33" s="322" t="n"/>
      <c r="AX33" s="322" t="n"/>
      <c r="AY33" s="288" t="n"/>
      <c r="AZ33" s="4" t="n"/>
      <c r="BD33" s="5" t="n"/>
    </row>
    <row r="34" hidden="1" ht="29" customHeight="1" thickBot="1">
      <c r="D34" s="136" t="inlineStr">
        <is>
          <t>C-C17</t>
        </is>
      </c>
      <c r="E34" s="333" t="n"/>
      <c r="F34" s="334" t="n"/>
      <c r="G34" s="334" t="n"/>
      <c r="H34" s="334" t="n"/>
      <c r="I34" s="334" t="n"/>
      <c r="J34" s="334" t="n"/>
      <c r="K34" s="280" t="n"/>
      <c r="L34" s="334" t="n"/>
      <c r="M34" s="280" t="n"/>
      <c r="N34" s="280" t="n"/>
      <c r="O34" s="334" t="n"/>
      <c r="P34" s="334" t="n"/>
      <c r="Q34" s="334" t="n"/>
      <c r="R34" s="334" t="n"/>
      <c r="S34" s="334" t="n"/>
      <c r="T34" s="334" t="n"/>
      <c r="U34" s="334" t="n"/>
      <c r="V34" s="334" t="n"/>
      <c r="W34" s="334" t="n"/>
      <c r="X34" s="334" t="n"/>
      <c r="Y34" s="334" t="n"/>
      <c r="Z34" s="334" t="n"/>
      <c r="AA34" s="334" t="n"/>
      <c r="AB34" s="334" t="n"/>
      <c r="AC34" s="334" t="n"/>
      <c r="AD34" s="334" t="n"/>
      <c r="AE34" s="334" t="n"/>
      <c r="AF34" s="334" t="n"/>
      <c r="AG34" s="334" t="n"/>
      <c r="AH34" s="280" t="n"/>
      <c r="AI34" s="280" t="n"/>
      <c r="AJ34" s="280" t="n"/>
      <c r="AK34" s="280" t="n"/>
      <c r="AL34" s="280" t="n"/>
      <c r="AM34" s="280" t="n"/>
      <c r="AN34" s="280" t="n"/>
      <c r="AO34" s="280" t="n"/>
      <c r="AP34" s="280" t="n"/>
      <c r="AQ34" s="280" t="n"/>
      <c r="AR34" s="280" t="n"/>
      <c r="AS34" s="280" t="n"/>
      <c r="AT34" s="281" t="n"/>
      <c r="AU34" s="289" t="n"/>
      <c r="AV34" s="322" t="n"/>
      <c r="AW34" s="322" t="n"/>
      <c r="AX34" s="322" t="n"/>
      <c r="AY34" s="288" t="n"/>
      <c r="AZ34" s="4" t="n"/>
      <c r="BD34" s="5" t="n"/>
    </row>
    <row r="35" hidden="1" ht="29" customHeight="1" thickBot="1">
      <c r="D35" s="136" t="inlineStr">
        <is>
          <t>C-C18</t>
        </is>
      </c>
      <c r="E35" s="333" t="n"/>
      <c r="F35" s="334" t="n"/>
      <c r="G35" s="334" t="n"/>
      <c r="H35" s="334" t="n"/>
      <c r="I35" s="334" t="n"/>
      <c r="J35" s="334" t="n"/>
      <c r="K35" s="280" t="n"/>
      <c r="L35" s="334" t="n"/>
      <c r="M35" s="280" t="n"/>
      <c r="N35" s="280" t="n"/>
      <c r="O35" s="334" t="n"/>
      <c r="P35" s="334" t="n"/>
      <c r="Q35" s="334" t="n"/>
      <c r="R35" s="334" t="n"/>
      <c r="S35" s="334" t="n"/>
      <c r="T35" s="334" t="n"/>
      <c r="U35" s="334" t="n"/>
      <c r="V35" s="334" t="n"/>
      <c r="W35" s="334" t="n"/>
      <c r="X35" s="334" t="n"/>
      <c r="Y35" s="334" t="n"/>
      <c r="Z35" s="334" t="n"/>
      <c r="AA35" s="334" t="n"/>
      <c r="AB35" s="334" t="n"/>
      <c r="AC35" s="334" t="n"/>
      <c r="AD35" s="334" t="n"/>
      <c r="AE35" s="334" t="n"/>
      <c r="AF35" s="334" t="n"/>
      <c r="AG35" s="334" t="n"/>
      <c r="AH35" s="280" t="n"/>
      <c r="AI35" s="280" t="n"/>
      <c r="AJ35" s="280" t="n"/>
      <c r="AK35" s="280" t="n"/>
      <c r="AL35" s="280" t="n"/>
      <c r="AM35" s="280" t="n"/>
      <c r="AN35" s="280" t="n"/>
      <c r="AO35" s="280" t="n"/>
      <c r="AP35" s="280" t="n"/>
      <c r="AQ35" s="280" t="n"/>
      <c r="AR35" s="280" t="n"/>
      <c r="AS35" s="280" t="n"/>
      <c r="AT35" s="281" t="n"/>
      <c r="AU35" s="289" t="n"/>
      <c r="AV35" s="322" t="n"/>
      <c r="AW35" s="322" t="n"/>
      <c r="AX35" s="322" t="n"/>
      <c r="AY35" s="288" t="n"/>
      <c r="AZ35" s="6" t="n"/>
      <c r="BD35" s="5" t="n"/>
    </row>
    <row r="36" hidden="1" ht="29" customHeight="1" thickBot="1">
      <c r="D36" s="136" t="inlineStr">
        <is>
          <t>C-C19</t>
        </is>
      </c>
      <c r="E36" s="336" t="n"/>
      <c r="F36" s="337" t="n"/>
      <c r="G36" s="337" t="n"/>
      <c r="H36" s="337" t="n"/>
      <c r="I36" s="337" t="n"/>
      <c r="J36" s="337" t="n"/>
      <c r="K36" s="283" t="n"/>
      <c r="L36" s="337" t="n"/>
      <c r="M36" s="283" t="n"/>
      <c r="N36" s="283" t="n"/>
      <c r="O36" s="337" t="n"/>
      <c r="P36" s="337" t="n"/>
      <c r="Q36" s="337" t="n"/>
      <c r="R36" s="337" t="n"/>
      <c r="S36" s="337" t="n"/>
      <c r="T36" s="337" t="n"/>
      <c r="U36" s="337" t="n"/>
      <c r="V36" s="337" t="n"/>
      <c r="W36" s="337" t="n"/>
      <c r="X36" s="337" t="n"/>
      <c r="Y36" s="337" t="n"/>
      <c r="Z36" s="337" t="n"/>
      <c r="AA36" s="337" t="n"/>
      <c r="AB36" s="337" t="n"/>
      <c r="AC36" s="337" t="n"/>
      <c r="AD36" s="337" t="n"/>
      <c r="AE36" s="337" t="n"/>
      <c r="AF36" s="337" t="n"/>
      <c r="AG36" s="337" t="n"/>
      <c r="AH36" s="283" t="n"/>
      <c r="AI36" s="283" t="n"/>
      <c r="AJ36" s="283" t="n"/>
      <c r="AK36" s="283" t="n"/>
      <c r="AL36" s="283" t="n"/>
      <c r="AM36" s="283" t="n"/>
      <c r="AN36" s="283" t="n"/>
      <c r="AO36" s="283" t="n"/>
      <c r="AP36" s="283" t="n"/>
      <c r="AQ36" s="283" t="n"/>
      <c r="AR36" s="283" t="n"/>
      <c r="AS36" s="283" t="n"/>
      <c r="AT36" s="284" t="n"/>
      <c r="AU36" s="323" t="n"/>
      <c r="AV36" s="340" t="n"/>
      <c r="AW36" s="340" t="n"/>
      <c r="AX36" s="340" t="n"/>
      <c r="AY36" s="294" t="n"/>
      <c r="AZ36" s="6" t="n"/>
      <c r="BD36" s="5" t="n"/>
    </row>
    <row r="37" hidden="1" ht="18" customHeight="1" thickBot="1">
      <c r="B37" s="3" t="inlineStr">
        <is>
          <t>x13</t>
        </is>
      </c>
      <c r="C37" s="19" t="inlineStr">
        <is>
          <t>Masonry</t>
        </is>
      </c>
      <c r="D37" s="20" t="n"/>
      <c r="E37" s="163" t="n"/>
      <c r="F37" s="163" t="n"/>
      <c r="G37" s="163" t="n"/>
      <c r="H37" s="163" t="n"/>
      <c r="I37" s="163" t="n"/>
      <c r="J37" s="163" t="n"/>
      <c r="K37" s="163" t="n"/>
      <c r="L37" s="163" t="n"/>
      <c r="M37" s="163" t="n"/>
      <c r="N37" s="163" t="n"/>
      <c r="O37" s="163" t="n"/>
      <c r="P37" s="163" t="n"/>
      <c r="Q37" s="163" t="n"/>
      <c r="R37" s="163" t="n"/>
      <c r="S37" s="163" t="n"/>
      <c r="T37" s="163" t="n"/>
      <c r="U37" s="163" t="n"/>
      <c r="V37" s="163" t="n"/>
      <c r="W37" s="163" t="n"/>
      <c r="X37" s="163" t="n"/>
      <c r="Y37" s="163" t="n"/>
      <c r="Z37" s="163" t="n"/>
      <c r="AA37" s="163" t="n"/>
      <c r="AB37" s="163" t="n"/>
      <c r="AC37" s="163" t="n"/>
      <c r="AD37" s="163" t="n"/>
      <c r="AE37" s="163" t="n"/>
      <c r="AF37" s="163" t="n"/>
      <c r="AG37" s="163" t="n"/>
      <c r="AH37" s="163" t="n"/>
      <c r="AI37" s="163" t="n"/>
      <c r="AJ37" s="163" t="n"/>
      <c r="AK37" s="163" t="n"/>
      <c r="AL37" s="163" t="n"/>
      <c r="AM37" s="163" t="n"/>
      <c r="AN37" s="163" t="n"/>
      <c r="AO37" s="163" t="n"/>
      <c r="AP37" s="163" t="n"/>
      <c r="AQ37" s="163" t="n"/>
      <c r="AR37" s="163" t="n"/>
      <c r="AS37" s="163" t="n"/>
      <c r="AT37" s="163" t="n"/>
      <c r="AU37" s="20" t="n"/>
      <c r="AV37" s="49" t="n"/>
      <c r="AW37" s="49" t="n"/>
      <c r="AX37" s="20" t="n"/>
      <c r="AY37" s="49" t="n"/>
      <c r="AZ37" s="22" t="n"/>
      <c r="BD37" s="5" t="n"/>
    </row>
    <row r="38" hidden="1" ht="37" customHeight="1" thickBot="1">
      <c r="D38" s="136" t="inlineStr">
        <is>
          <t>C-MA1</t>
        </is>
      </c>
      <c r="E38" s="330" t="n"/>
      <c r="F38" s="331" t="n"/>
      <c r="G38" s="331" t="n"/>
      <c r="H38" s="331" t="n"/>
      <c r="I38" s="331" t="n"/>
      <c r="J38" s="331" t="n"/>
      <c r="K38" s="331" t="n"/>
      <c r="L38" s="331" t="n"/>
      <c r="M38" s="331" t="n"/>
      <c r="N38" s="331" t="n"/>
      <c r="O38" s="331" t="n"/>
      <c r="P38" s="331" t="n"/>
      <c r="Q38" s="331" t="n"/>
      <c r="R38" s="331" t="n"/>
      <c r="S38" s="331" t="n"/>
      <c r="T38" s="331" t="n"/>
      <c r="U38" s="331" t="n"/>
      <c r="V38" s="331" t="n"/>
      <c r="W38" s="331" t="n"/>
      <c r="X38" s="331" t="n"/>
      <c r="Y38" s="331" t="n"/>
      <c r="Z38" s="331" t="n"/>
      <c r="AA38" s="331" t="n"/>
      <c r="AB38" s="331" t="n"/>
      <c r="AC38" s="331" t="n"/>
      <c r="AD38" s="331" t="n"/>
      <c r="AE38" s="331" t="n"/>
      <c r="AF38" s="331" t="n"/>
      <c r="AG38" s="331" t="n"/>
      <c r="AH38" s="331" t="n"/>
      <c r="AI38" s="331" t="n"/>
      <c r="AJ38" s="331" t="n"/>
      <c r="AK38" s="331" t="n"/>
      <c r="AL38" s="331" t="n"/>
      <c r="AM38" s="331" t="n"/>
      <c r="AN38" s="331" t="n"/>
      <c r="AO38" s="331" t="n"/>
      <c r="AP38" s="331" t="n"/>
      <c r="AQ38" s="331" t="n"/>
      <c r="AR38" s="331" t="n"/>
      <c r="AS38" s="331" t="n"/>
      <c r="AT38" s="332" t="n"/>
      <c r="AU38" s="311" t="inlineStr">
        <is>
          <t>Masonry
CBC 1705A.4
Laying and grouting</t>
        </is>
      </c>
      <c r="AV38" s="339" t="n"/>
      <c r="AW38" s="339" t="n"/>
      <c r="AX38" s="339" t="n"/>
      <c r="AY38" s="286" t="n"/>
      <c r="AZ38" s="4" t="n"/>
      <c r="BD38" s="5" t="n"/>
    </row>
    <row r="39" hidden="1" ht="37" customHeight="1" thickBot="1">
      <c r="D39" s="136" t="inlineStr">
        <is>
          <t>C-MA2</t>
        </is>
      </c>
      <c r="E39" s="333" t="n"/>
      <c r="F39" s="334" t="n"/>
      <c r="G39" s="334" t="n"/>
      <c r="H39" s="334" t="n"/>
      <c r="I39" s="334" t="n"/>
      <c r="J39" s="334" t="n"/>
      <c r="K39" s="334" t="n"/>
      <c r="L39" s="334" t="n"/>
      <c r="M39" s="334" t="n"/>
      <c r="N39" s="334" t="n"/>
      <c r="O39" s="334" t="n"/>
      <c r="P39" s="334" t="n"/>
      <c r="Q39" s="334" t="n"/>
      <c r="R39" s="334" t="n"/>
      <c r="S39" s="334" t="n"/>
      <c r="T39" s="334" t="n"/>
      <c r="U39" s="334" t="n"/>
      <c r="V39" s="334" t="n"/>
      <c r="W39" s="334" t="n"/>
      <c r="X39" s="334" t="n"/>
      <c r="Y39" s="334" t="n"/>
      <c r="Z39" s="334" t="n"/>
      <c r="AA39" s="334" t="n"/>
      <c r="AB39" s="334" t="n"/>
      <c r="AC39" s="334" t="n"/>
      <c r="AD39" s="334" t="n"/>
      <c r="AE39" s="334" t="n"/>
      <c r="AF39" s="334" t="n"/>
      <c r="AG39" s="334" t="n"/>
      <c r="AH39" s="334" t="n"/>
      <c r="AI39" s="334" t="n"/>
      <c r="AJ39" s="334" t="n"/>
      <c r="AK39" s="334" t="n"/>
      <c r="AL39" s="334" t="n"/>
      <c r="AM39" s="334" t="n"/>
      <c r="AN39" s="334" t="n"/>
      <c r="AO39" s="334" t="n"/>
      <c r="AP39" s="334" t="n"/>
      <c r="AQ39" s="334" t="n"/>
      <c r="AR39" s="334" t="n"/>
      <c r="AS39" s="334" t="n"/>
      <c r="AT39" s="335" t="n"/>
      <c r="AU39" s="289" t="inlineStr">
        <is>
          <t>Masonry
CBC  2104A.1.3
Low lift grout</t>
        </is>
      </c>
      <c r="AV39" s="322" t="n"/>
      <c r="AW39" s="322" t="n"/>
      <c r="AX39" s="322" t="n"/>
      <c r="AY39" s="288" t="n"/>
      <c r="AZ39" s="4" t="n"/>
      <c r="BD39" s="5" t="n"/>
    </row>
    <row r="40" hidden="1" ht="37" customHeight="1" thickBot="1">
      <c r="D40" s="136" t="inlineStr">
        <is>
          <t>C-MA3</t>
        </is>
      </c>
      <c r="E40" s="333" t="n"/>
      <c r="F40" s="334" t="n"/>
      <c r="G40" s="334" t="n"/>
      <c r="H40" s="334" t="n"/>
      <c r="I40" s="334" t="n"/>
      <c r="J40" s="334" t="n"/>
      <c r="K40" s="334" t="n"/>
      <c r="L40" s="334" t="n"/>
      <c r="M40" s="334" t="n"/>
      <c r="N40" s="334" t="n"/>
      <c r="O40" s="334" t="n"/>
      <c r="P40" s="334" t="n"/>
      <c r="Q40" s="334" t="n"/>
      <c r="R40" s="334" t="n"/>
      <c r="S40" s="334" t="n"/>
      <c r="T40" s="334" t="n"/>
      <c r="U40" s="334" t="n"/>
      <c r="V40" s="334" t="n"/>
      <c r="W40" s="334" t="n"/>
      <c r="X40" s="334" t="n"/>
      <c r="Y40" s="334" t="n"/>
      <c r="Z40" s="334" t="n"/>
      <c r="AA40" s="334" t="n"/>
      <c r="AB40" s="334" t="n"/>
      <c r="AC40" s="334" t="n"/>
      <c r="AD40" s="334" t="n"/>
      <c r="AE40" s="334" t="n"/>
      <c r="AF40" s="334" t="n"/>
      <c r="AG40" s="334" t="n"/>
      <c r="AH40" s="334" t="n"/>
      <c r="AI40" s="334" t="n"/>
      <c r="AJ40" s="334" t="n"/>
      <c r="AK40" s="334" t="n"/>
      <c r="AL40" s="334" t="n"/>
      <c r="AM40" s="334" t="n"/>
      <c r="AN40" s="334" t="n"/>
      <c r="AO40" s="334" t="n"/>
      <c r="AP40" s="334" t="n"/>
      <c r="AQ40" s="334" t="n"/>
      <c r="AR40" s="334" t="n"/>
      <c r="AS40" s="334" t="n"/>
      <c r="AT40" s="335" t="n"/>
      <c r="AU40" s="289" t="inlineStr">
        <is>
          <t>Masonry
CBC 2104A.1.3
High lift grout</t>
        </is>
      </c>
      <c r="AV40" s="322" t="n"/>
      <c r="AW40" s="322" t="n"/>
      <c r="AX40" s="322" t="n"/>
      <c r="AY40" s="288" t="n"/>
      <c r="AZ40" s="4" t="n"/>
      <c r="BD40" s="5" t="n"/>
    </row>
    <row r="41" hidden="1" ht="37" customHeight="1" thickBot="1">
      <c r="D41" s="136" t="inlineStr">
        <is>
          <t>C-MA4</t>
        </is>
      </c>
      <c r="E41" s="333" t="n"/>
      <c r="F41" s="334" t="n"/>
      <c r="G41" s="334" t="n"/>
      <c r="H41" s="334" t="n"/>
      <c r="I41" s="334" t="n"/>
      <c r="J41" s="334" t="n"/>
      <c r="K41" s="334" t="n"/>
      <c r="L41" s="334" t="n"/>
      <c r="M41" s="334" t="n"/>
      <c r="N41" s="334" t="n"/>
      <c r="O41" s="334" t="n"/>
      <c r="P41" s="334" t="n"/>
      <c r="Q41" s="334" t="n"/>
      <c r="R41" s="334" t="n"/>
      <c r="S41" s="334" t="n"/>
      <c r="T41" s="334" t="n"/>
      <c r="U41" s="334" t="n"/>
      <c r="V41" s="334" t="n"/>
      <c r="W41" s="334" t="n"/>
      <c r="X41" s="334" t="n"/>
      <c r="Y41" s="334" t="n"/>
      <c r="Z41" s="334" t="n"/>
      <c r="AA41" s="334" t="n"/>
      <c r="AB41" s="334" t="n"/>
      <c r="AC41" s="334" t="n"/>
      <c r="AD41" s="334" t="n"/>
      <c r="AE41" s="334" t="n"/>
      <c r="AF41" s="334" t="n"/>
      <c r="AG41" s="334" t="n"/>
      <c r="AH41" s="334" t="n"/>
      <c r="AI41" s="334" t="n"/>
      <c r="AJ41" s="334" t="n"/>
      <c r="AK41" s="334" t="n"/>
      <c r="AL41" s="334" t="n"/>
      <c r="AM41" s="334" t="n"/>
      <c r="AN41" s="334" t="n"/>
      <c r="AO41" s="334" t="n"/>
      <c r="AP41" s="334" t="n"/>
      <c r="AQ41" s="334" t="n"/>
      <c r="AR41" s="334" t="n"/>
      <c r="AS41" s="334" t="n"/>
      <c r="AT41" s="335" t="n"/>
      <c r="AU41" s="289" t="inlineStr">
        <is>
          <t>Masonry
CBC 1705A.4
Masonry anchors</t>
        </is>
      </c>
      <c r="AV41" s="322" t="n"/>
      <c r="AW41" s="322" t="n"/>
      <c r="AX41" s="322" t="n"/>
      <c r="AY41" s="288" t="n"/>
      <c r="AZ41" s="4" t="n"/>
      <c r="BD41" s="5" t="n"/>
    </row>
    <row r="42" hidden="1" ht="32" customHeight="1" thickBot="1">
      <c r="D42" s="136" t="inlineStr">
        <is>
          <t>C-MA5</t>
        </is>
      </c>
      <c r="E42" s="333" t="n"/>
      <c r="F42" s="334" t="n"/>
      <c r="G42" s="334" t="n"/>
      <c r="H42" s="334" t="n"/>
      <c r="I42" s="334" t="n"/>
      <c r="J42" s="334" t="n"/>
      <c r="K42" s="334" t="n"/>
      <c r="L42" s="334" t="n"/>
      <c r="M42" s="334" t="n"/>
      <c r="N42" s="334" t="n"/>
      <c r="O42" s="334" t="n"/>
      <c r="P42" s="334" t="n"/>
      <c r="Q42" s="334" t="n"/>
      <c r="R42" s="334" t="n"/>
      <c r="S42" s="334" t="n"/>
      <c r="T42" s="334" t="n"/>
      <c r="U42" s="334" t="n"/>
      <c r="V42" s="334" t="n"/>
      <c r="W42" s="334" t="n"/>
      <c r="X42" s="334" t="n"/>
      <c r="Y42" s="334" t="n"/>
      <c r="Z42" s="334" t="n"/>
      <c r="AA42" s="334" t="n"/>
      <c r="AB42" s="334" t="n"/>
      <c r="AC42" s="334" t="n"/>
      <c r="AD42" s="334" t="n"/>
      <c r="AE42" s="334" t="n"/>
      <c r="AF42" s="334" t="n"/>
      <c r="AG42" s="334" t="n"/>
      <c r="AH42" s="334" t="n"/>
      <c r="AI42" s="334" t="n"/>
      <c r="AJ42" s="334" t="n"/>
      <c r="AK42" s="334" t="n"/>
      <c r="AL42" s="334" t="n"/>
      <c r="AM42" s="334" t="n"/>
      <c r="AN42" s="334" t="n"/>
      <c r="AO42" s="334" t="n"/>
      <c r="AP42" s="334" t="n"/>
      <c r="AQ42" s="334" t="n"/>
      <c r="AR42" s="334" t="n"/>
      <c r="AS42" s="334" t="n"/>
      <c r="AT42" s="335" t="n"/>
      <c r="AU42" s="289" t="n"/>
      <c r="AV42" s="322" t="n"/>
      <c r="AW42" s="322" t="n"/>
      <c r="AX42" s="322" t="n"/>
      <c r="AY42" s="288" t="n"/>
      <c r="AZ42" s="4" t="n"/>
      <c r="BD42" s="5" t="n"/>
    </row>
    <row r="43" hidden="1" ht="32" customHeight="1" thickBot="1">
      <c r="D43" s="136" t="inlineStr">
        <is>
          <t>C-MA6</t>
        </is>
      </c>
      <c r="E43" s="336" t="n"/>
      <c r="F43" s="337" t="n"/>
      <c r="G43" s="337" t="n"/>
      <c r="H43" s="337" t="n"/>
      <c r="I43" s="337" t="n"/>
      <c r="J43" s="337" t="n"/>
      <c r="K43" s="337" t="n"/>
      <c r="L43" s="337" t="n"/>
      <c r="M43" s="337" t="n"/>
      <c r="N43" s="337" t="n"/>
      <c r="O43" s="337" t="n"/>
      <c r="P43" s="337" t="n"/>
      <c r="Q43" s="337" t="n"/>
      <c r="R43" s="337" t="n"/>
      <c r="S43" s="337" t="n"/>
      <c r="T43" s="337" t="n"/>
      <c r="U43" s="337" t="n"/>
      <c r="V43" s="337" t="n"/>
      <c r="W43" s="337" t="n"/>
      <c r="X43" s="337" t="n"/>
      <c r="Y43" s="337" t="n"/>
      <c r="Z43" s="337" t="n"/>
      <c r="AA43" s="337" t="n"/>
      <c r="AB43" s="337" t="n"/>
      <c r="AC43" s="337" t="n"/>
      <c r="AD43" s="337" t="n"/>
      <c r="AE43" s="337" t="n"/>
      <c r="AF43" s="337" t="n"/>
      <c r="AG43" s="337" t="n"/>
      <c r="AH43" s="337" t="n"/>
      <c r="AI43" s="337" t="n"/>
      <c r="AJ43" s="337" t="n"/>
      <c r="AK43" s="337" t="n"/>
      <c r="AL43" s="337" t="n"/>
      <c r="AM43" s="337" t="n"/>
      <c r="AN43" s="337" t="n"/>
      <c r="AO43" s="337" t="n"/>
      <c r="AP43" s="337" t="n"/>
      <c r="AQ43" s="337" t="n"/>
      <c r="AR43" s="337" t="n"/>
      <c r="AS43" s="337" t="n"/>
      <c r="AT43" s="338" t="n"/>
      <c r="AU43" s="291" t="n"/>
      <c r="AV43" s="340" t="n"/>
      <c r="AW43" s="340" t="n"/>
      <c r="AX43" s="340" t="n"/>
      <c r="AY43" s="294" t="n"/>
      <c r="AZ43" s="4" t="n"/>
      <c r="BD43" s="5" t="n"/>
    </row>
    <row r="44" ht="18" customHeight="1" thickBot="1">
      <c r="B44" s="3" t="inlineStr">
        <is>
          <t>x14</t>
        </is>
      </c>
      <c r="C44" s="19" t="inlineStr">
        <is>
          <t>Steel</t>
        </is>
      </c>
      <c r="D44" s="20" t="n"/>
      <c r="E44" s="163" t="n"/>
      <c r="F44" s="163" t="n"/>
      <c r="G44" s="163" t="n"/>
      <c r="H44" s="163" t="n"/>
      <c r="I44" s="163" t="n"/>
      <c r="J44" s="163" t="n"/>
      <c r="K44" s="163" t="n"/>
      <c r="L44" s="163" t="n"/>
      <c r="M44" s="163" t="n"/>
      <c r="N44" s="163" t="n"/>
      <c r="O44" s="163" t="n"/>
      <c r="P44" s="163" t="n"/>
      <c r="Q44" s="163" t="n"/>
      <c r="R44" s="163" t="n"/>
      <c r="S44" s="163" t="n"/>
      <c r="T44" s="163" t="n"/>
      <c r="U44" s="163" t="n"/>
      <c r="V44" s="163" t="n"/>
      <c r="W44" s="163" t="n"/>
      <c r="X44" s="163" t="n"/>
      <c r="Y44" s="163" t="n"/>
      <c r="Z44" s="163" t="n"/>
      <c r="AA44" s="163" t="n"/>
      <c r="AB44" s="163" t="n"/>
      <c r="AC44" s="163" t="n"/>
      <c r="AD44" s="163" t="n"/>
      <c r="AE44" s="163" t="n"/>
      <c r="AF44" s="163" t="n"/>
      <c r="AG44" s="163" t="n"/>
      <c r="AH44" s="163" t="n"/>
      <c r="AI44" s="163" t="n"/>
      <c r="AJ44" s="163" t="n"/>
      <c r="AK44" s="163" t="n"/>
      <c r="AL44" s="163" t="n"/>
      <c r="AM44" s="163" t="n"/>
      <c r="AN44" s="163" t="n"/>
      <c r="AO44" s="163" t="n"/>
      <c r="AP44" s="163" t="n"/>
      <c r="AQ44" s="163" t="n"/>
      <c r="AR44" s="163" t="n"/>
      <c r="AS44" s="163" t="n"/>
      <c r="AT44" s="163" t="n"/>
      <c r="AU44" s="20" t="n"/>
      <c r="AV44" s="49" t="n"/>
      <c r="AW44" s="49" t="n"/>
      <c r="AX44" s="20" t="n"/>
      <c r="AY44" s="49" t="n"/>
      <c r="AZ44" s="22" t="n"/>
      <c r="BD44" s="5" t="n"/>
    </row>
    <row r="45" ht="47.5" customHeight="1" thickBot="1">
      <c r="D45" s="136" t="inlineStr">
        <is>
          <t>C-S1</t>
        </is>
      </c>
      <c r="E45" s="330" t="n"/>
      <c r="F45" s="331" t="n"/>
      <c r="G45" s="331" t="n"/>
      <c r="H45" s="331" t="n"/>
      <c r="I45" s="331" t="n"/>
      <c r="J45" s="331" t="n"/>
      <c r="K45" s="277" t="n"/>
      <c r="L45" s="331" t="n"/>
      <c r="M45" s="331" t="n"/>
      <c r="N45" s="331" t="n"/>
      <c r="O45" s="331" t="n"/>
      <c r="P45" s="331" t="n"/>
      <c r="Q45" s="331" t="inlineStr">
        <is>
          <t>X</t>
        </is>
      </c>
      <c r="R45" s="331" t="n"/>
      <c r="S45" s="331" t="n"/>
      <c r="T45" s="331" t="n"/>
      <c r="U45" s="331" t="n"/>
      <c r="V45" s="331" t="n"/>
      <c r="W45" s="331" t="n">
        <v>1</v>
      </c>
      <c r="X45" s="331" t="n">
        <v>1</v>
      </c>
      <c r="Y45" s="277" t="n"/>
      <c r="Z45" s="277" t="n"/>
      <c r="AA45" s="277" t="n"/>
      <c r="AB45" s="331" t="n"/>
      <c r="AC45" s="331" t="n">
        <v>1</v>
      </c>
      <c r="AD45" s="331" t="n"/>
      <c r="AE45" s="331" t="n"/>
      <c r="AF45" s="331" t="n">
        <v>1</v>
      </c>
      <c r="AG45" s="331" t="n"/>
      <c r="AH45" s="331" t="n"/>
      <c r="AI45" s="331" t="n"/>
      <c r="AJ45" s="331" t="n"/>
      <c r="AK45" s="331" t="n"/>
      <c r="AL45" s="277" t="n"/>
      <c r="AM45" s="277" t="n"/>
      <c r="AN45" s="277" t="n"/>
      <c r="AO45" s="277" t="n"/>
      <c r="AP45" s="277" t="n"/>
      <c r="AQ45" s="277" t="n"/>
      <c r="AR45" s="277" t="n"/>
      <c r="AS45" s="277" t="n"/>
      <c r="AT45" s="278" t="n"/>
      <c r="AU45" s="341" t="inlineStr">
        <is>
          <t>Steel
CBC 1705A.2.5 &amp; 1705A.12.1
Automatic end-welded studs</t>
        </is>
      </c>
      <c r="AV45" s="342" t="n"/>
      <c r="AW45" s="297" t="inlineStr">
        <is>
          <t>OPAA-0016,
OPAA-0020</t>
        </is>
      </c>
      <c r="AX45" s="343" t="inlineStr">
        <is>
          <t>Fenagh,
CTS</t>
        </is>
      </c>
      <c r="AY45" s="299" t="n"/>
      <c r="AZ45" s="402" t="n"/>
      <c r="BD45" s="5" t="n"/>
    </row>
    <row r="46" ht="37" customHeight="1" thickBot="1">
      <c r="D46" s="136" t="inlineStr">
        <is>
          <t>C-S2</t>
        </is>
      </c>
      <c r="E46" s="333" t="n"/>
      <c r="F46" s="334" t="n"/>
      <c r="G46" s="334" t="n"/>
      <c r="H46" s="334" t="n"/>
      <c r="I46" s="334" t="n"/>
      <c r="J46" s="334" t="n"/>
      <c r="K46" s="280" t="n"/>
      <c r="L46" s="334" t="n"/>
      <c r="M46" s="334" t="n"/>
      <c r="N46" s="334" t="n"/>
      <c r="O46" s="334" t="n"/>
      <c r="P46" s="334" t="inlineStr">
        <is>
          <t>X</t>
        </is>
      </c>
      <c r="Q46" s="334" t="inlineStr">
        <is>
          <t>X</t>
        </is>
      </c>
      <c r="R46" s="334" t="n"/>
      <c r="S46" s="334" t="n"/>
      <c r="T46" s="334" t="n"/>
      <c r="U46" s="334" t="n"/>
      <c r="V46" s="334" t="n"/>
      <c r="W46" s="334" t="n">
        <v>1</v>
      </c>
      <c r="X46" s="334" t="n">
        <v>1</v>
      </c>
      <c r="Y46" s="280" t="n"/>
      <c r="Z46" s="280" t="n"/>
      <c r="AA46" s="280" t="n"/>
      <c r="AB46" s="334" t="n"/>
      <c r="AC46" s="334" t="n">
        <v>1</v>
      </c>
      <c r="AD46" s="334" t="inlineStr">
        <is>
          <t>X</t>
        </is>
      </c>
      <c r="AE46" s="334" t="n"/>
      <c r="AF46" s="334" t="n">
        <v>1</v>
      </c>
      <c r="AG46" s="334" t="n"/>
      <c r="AH46" s="334" t="n"/>
      <c r="AI46" s="334" t="n"/>
      <c r="AJ46" s="334" t="n"/>
      <c r="AK46" s="334" t="n"/>
      <c r="AL46" s="280" t="n"/>
      <c r="AM46" s="280" t="n"/>
      <c r="AN46" s="280" t="n"/>
      <c r="AO46" s="280" t="n"/>
      <c r="AP46" s="280" t="n"/>
      <c r="AQ46" s="280" t="n"/>
      <c r="AR46" s="280" t="n"/>
      <c r="AS46" s="280" t="n">
        <v>1</v>
      </c>
      <c r="AT46" s="281" t="n"/>
      <c r="AU46" s="344" t="inlineStr">
        <is>
          <t>Steel
CBC 1705A.2.5 &amp; 1705A.12.1
Shop and field welding</t>
        </is>
      </c>
      <c r="AV46" s="345" t="n"/>
      <c r="AW46" s="301" t="inlineStr">
        <is>
          <t>OPAA-0016,
OPAA-0020</t>
        </is>
      </c>
      <c r="AX46" s="304" t="inlineStr">
        <is>
          <t>Fenagh,
CTS</t>
        </is>
      </c>
      <c r="AY46" s="303" t="n"/>
      <c r="AZ46" s="402" t="n"/>
      <c r="BD46" s="5" t="n"/>
    </row>
    <row r="47" hidden="1" ht="37" customHeight="1" thickBot="1">
      <c r="D47" s="136" t="inlineStr">
        <is>
          <t>C-S3</t>
        </is>
      </c>
      <c r="E47" s="333" t="n"/>
      <c r="F47" s="334" t="n"/>
      <c r="G47" s="334" t="n"/>
      <c r="H47" s="334" t="n"/>
      <c r="I47" s="334" t="n"/>
      <c r="J47" s="334" t="n"/>
      <c r="K47" s="280" t="n"/>
      <c r="L47" s="334" t="n"/>
      <c r="M47" s="334" t="n"/>
      <c r="N47" s="334" t="n"/>
      <c r="O47" s="334" t="n"/>
      <c r="P47" s="334" t="n"/>
      <c r="Q47" s="334" t="n"/>
      <c r="R47" s="334" t="n"/>
      <c r="S47" s="334" t="n"/>
      <c r="T47" s="334" t="n"/>
      <c r="U47" s="334" t="n"/>
      <c r="V47" s="334" t="n"/>
      <c r="W47" s="334" t="n"/>
      <c r="X47" s="334" t="n"/>
      <c r="Y47" s="280" t="n"/>
      <c r="Z47" s="280" t="n"/>
      <c r="AA47" s="280" t="n"/>
      <c r="AB47" s="334" t="n"/>
      <c r="AC47" s="334" t="n"/>
      <c r="AD47" s="334" t="inlineStr">
        <is>
          <t>X</t>
        </is>
      </c>
      <c r="AE47" s="334" t="n"/>
      <c r="AF47" s="334" t="n"/>
      <c r="AG47" s="334" t="n"/>
      <c r="AH47" s="334" t="n"/>
      <c r="AI47" s="334" t="n"/>
      <c r="AJ47" s="334" t="n"/>
      <c r="AK47" s="334" t="n"/>
      <c r="AL47" s="280" t="n"/>
      <c r="AM47" s="280" t="n"/>
      <c r="AN47" s="280" t="n"/>
      <c r="AO47" s="280" t="n"/>
      <c r="AP47" s="280" t="n"/>
      <c r="AQ47" s="280" t="n"/>
      <c r="AR47" s="280" t="n"/>
      <c r="AS47" s="280" t="n"/>
      <c r="AT47" s="281" t="n"/>
      <c r="AU47" s="344" t="inlineStr">
        <is>
          <t>Steel
AWS D1.1 3 &amp; 4 and AWS D1.8 6.1
Shop and field welding - WPS / WPQR</t>
        </is>
      </c>
      <c r="AV47" s="345" t="n"/>
      <c r="AW47" s="301" t="inlineStr">
        <is>
          <t>OPAA-0015</t>
        </is>
      </c>
      <c r="AX47" s="302" t="inlineStr">
        <is>
          <t>RMA</t>
        </is>
      </c>
      <c r="AY47" s="303" t="n"/>
      <c r="AZ47" s="402" t="n"/>
      <c r="BD47" s="5" t="n"/>
    </row>
    <row r="48" ht="37" customHeight="1" thickBot="1">
      <c r="D48" s="136" t="inlineStr">
        <is>
          <t>C-S4</t>
        </is>
      </c>
      <c r="E48" s="333" t="n"/>
      <c r="F48" s="334" t="n"/>
      <c r="G48" s="334" t="n"/>
      <c r="H48" s="334" t="n"/>
      <c r="I48" s="334" t="n"/>
      <c r="J48" s="334" t="n"/>
      <c r="K48" s="280" t="n"/>
      <c r="L48" s="334" t="n"/>
      <c r="M48" s="334" t="n"/>
      <c r="N48" s="334" t="n"/>
      <c r="O48" s="334" t="n"/>
      <c r="P48" s="334" t="n"/>
      <c r="Q48" s="334" t="n"/>
      <c r="R48" s="334" t="n"/>
      <c r="S48" s="334" t="n"/>
      <c r="T48" s="334" t="n"/>
      <c r="U48" s="334" t="n"/>
      <c r="V48" s="334" t="n"/>
      <c r="W48" s="334" t="n"/>
      <c r="X48" s="334" t="n"/>
      <c r="Y48" s="280" t="n"/>
      <c r="Z48" s="280" t="n"/>
      <c r="AA48" s="280" t="n"/>
      <c r="AB48" s="334" t="n"/>
      <c r="AC48" s="334" t="n"/>
      <c r="AD48" s="334" t="inlineStr">
        <is>
          <t>X</t>
        </is>
      </c>
      <c r="AE48" s="334" t="n"/>
      <c r="AF48" s="334" t="n"/>
      <c r="AG48" s="334" t="n"/>
      <c r="AH48" s="334" t="n"/>
      <c r="AI48" s="334" t="n"/>
      <c r="AJ48" s="334" t="n"/>
      <c r="AK48" s="334" t="n"/>
      <c r="AL48" s="280" t="n"/>
      <c r="AM48" s="280" t="n"/>
      <c r="AN48" s="280" t="n"/>
      <c r="AO48" s="280" t="n"/>
      <c r="AP48" s="280" t="n"/>
      <c r="AQ48" s="280" t="n"/>
      <c r="AR48" s="280" t="n"/>
      <c r="AS48" s="280" t="n">
        <v>1</v>
      </c>
      <c r="AT48" s="281" t="n"/>
      <c r="AU48" s="344" t="inlineStr">
        <is>
          <t>Steel
CBC 1705A.2 &amp; 1705A.12.1
High strength bolt installation</t>
        </is>
      </c>
      <c r="AV48" s="345" t="n"/>
      <c r="AW48" s="301" t="inlineStr">
        <is>
          <t>OPAA-0020</t>
        </is>
      </c>
      <c r="AX48" s="302" t="inlineStr">
        <is>
          <t>CTS</t>
        </is>
      </c>
      <c r="AY48" s="303" t="n"/>
      <c r="AZ48" s="402" t="n"/>
      <c r="BD48" s="5" t="n"/>
    </row>
    <row r="49" hidden="1" ht="37" customHeight="1" thickBot="1">
      <c r="D49" s="136" t="inlineStr">
        <is>
          <t>C-S5</t>
        </is>
      </c>
      <c r="E49" s="333" t="n"/>
      <c r="F49" s="334" t="n"/>
      <c r="G49" s="334" t="n"/>
      <c r="H49" s="334" t="n"/>
      <c r="I49" s="334" t="n"/>
      <c r="J49" s="334" t="n"/>
      <c r="K49" s="334" t="n"/>
      <c r="L49" s="334" t="n"/>
      <c r="M49" s="334" t="n"/>
      <c r="N49" s="334" t="n"/>
      <c r="O49" s="334" t="n"/>
      <c r="P49" s="334" t="n"/>
      <c r="Q49" s="334" t="n"/>
      <c r="R49" s="334" t="n"/>
      <c r="S49" s="334" t="n"/>
      <c r="T49" s="334" t="n"/>
      <c r="U49" s="334" t="n"/>
      <c r="V49" s="334" t="n"/>
      <c r="W49" s="334" t="n"/>
      <c r="X49" s="334" t="n"/>
      <c r="Y49" s="334" t="n"/>
      <c r="Z49" s="334" t="n"/>
      <c r="AA49" s="334" t="n"/>
      <c r="AB49" s="334" t="n"/>
      <c r="AC49" s="334" t="n"/>
      <c r="AD49" s="334" t="n"/>
      <c r="AE49" s="334" t="n"/>
      <c r="AF49" s="334" t="n"/>
      <c r="AG49" s="334" t="n"/>
      <c r="AH49" s="334" t="n"/>
      <c r="AI49" s="334" t="n"/>
      <c r="AJ49" s="334" t="n"/>
      <c r="AK49" s="334" t="n"/>
      <c r="AL49" s="334" t="n"/>
      <c r="AM49" s="334" t="n"/>
      <c r="AN49" s="334" t="n"/>
      <c r="AO49" s="334" t="n"/>
      <c r="AP49" s="334" t="n"/>
      <c r="AQ49" s="334" t="n"/>
      <c r="AR49" s="334" t="n"/>
      <c r="AS49" s="334" t="n"/>
      <c r="AT49" s="335" t="n"/>
      <c r="AU49" s="344" t="inlineStr">
        <is>
          <t>Steel
CBC 1705A.2, 1705A.11.2 &amp; 1705A.12.3
Cold-formed steel light frame construction</t>
        </is>
      </c>
      <c r="AV49" s="345" t="n"/>
      <c r="AW49" s="301" t="n"/>
      <c r="AX49" s="302" t="n"/>
      <c r="AY49" s="303" t="n"/>
      <c r="AZ49" s="6" t="n"/>
      <c r="BD49" s="5" t="n"/>
    </row>
    <row r="50" hidden="1" ht="24" customHeight="1" thickBot="1">
      <c r="D50" s="136" t="inlineStr">
        <is>
          <t>C-S6</t>
        </is>
      </c>
      <c r="E50" s="333" t="n"/>
      <c r="F50" s="334" t="n"/>
      <c r="G50" s="334" t="n"/>
      <c r="H50" s="334" t="n"/>
      <c r="I50" s="334" t="n"/>
      <c r="J50" s="334" t="n"/>
      <c r="K50" s="334" t="n"/>
      <c r="L50" s="334" t="n"/>
      <c r="M50" s="334" t="n"/>
      <c r="N50" s="334" t="n"/>
      <c r="O50" s="334" t="n"/>
      <c r="P50" s="334" t="n"/>
      <c r="Q50" s="334" t="n"/>
      <c r="R50" s="334" t="n"/>
      <c r="S50" s="334" t="n"/>
      <c r="T50" s="334" t="n"/>
      <c r="U50" s="334" t="n"/>
      <c r="V50" s="334" t="n"/>
      <c r="W50" s="334" t="n"/>
      <c r="X50" s="334" t="n"/>
      <c r="Y50" s="334" t="n"/>
      <c r="Z50" s="334" t="n"/>
      <c r="AA50" s="334" t="n"/>
      <c r="AB50" s="334" t="n"/>
      <c r="AC50" s="334" t="n"/>
      <c r="AD50" s="334" t="n"/>
      <c r="AE50" s="334" t="n"/>
      <c r="AF50" s="334" t="n"/>
      <c r="AG50" s="334" t="n"/>
      <c r="AH50" s="334" t="n"/>
      <c r="AI50" s="334" t="n"/>
      <c r="AJ50" s="334" t="n"/>
      <c r="AK50" s="334" t="n"/>
      <c r="AL50" s="334" t="n"/>
      <c r="AM50" s="334" t="n"/>
      <c r="AN50" s="334" t="n"/>
      <c r="AO50" s="334" t="n"/>
      <c r="AP50" s="334" t="n"/>
      <c r="AQ50" s="334" t="n"/>
      <c r="AR50" s="334" t="n"/>
      <c r="AS50" s="334" t="n"/>
      <c r="AT50" s="335" t="n"/>
      <c r="AU50" s="344" t="n"/>
      <c r="AV50" s="346" t="n"/>
      <c r="AW50" s="346" t="n"/>
      <c r="AX50" s="346" t="n"/>
      <c r="AY50" s="303" t="n"/>
      <c r="AZ50" s="6" t="n"/>
      <c r="BD50" s="5" t="n"/>
    </row>
    <row r="51" hidden="1" ht="24" customHeight="1" thickBot="1">
      <c r="D51" s="136" t="inlineStr">
        <is>
          <t>C-S7</t>
        </is>
      </c>
      <c r="E51" s="333" t="n"/>
      <c r="F51" s="334" t="n"/>
      <c r="G51" s="334" t="n"/>
      <c r="H51" s="334" t="n"/>
      <c r="I51" s="334" t="n"/>
      <c r="J51" s="334" t="n"/>
      <c r="K51" s="334" t="n"/>
      <c r="L51" s="334" t="n"/>
      <c r="M51" s="334" t="n"/>
      <c r="N51" s="334" t="n"/>
      <c r="O51" s="334" t="n"/>
      <c r="P51" s="334" t="n"/>
      <c r="Q51" s="334" t="n"/>
      <c r="R51" s="334" t="n"/>
      <c r="S51" s="334" t="n"/>
      <c r="T51" s="334" t="n"/>
      <c r="U51" s="334" t="n"/>
      <c r="V51" s="334" t="n"/>
      <c r="W51" s="334" t="n"/>
      <c r="X51" s="334" t="n"/>
      <c r="Y51" s="334" t="n"/>
      <c r="Z51" s="334" t="n"/>
      <c r="AA51" s="334" t="n"/>
      <c r="AB51" s="334" t="n"/>
      <c r="AC51" s="334" t="n"/>
      <c r="AD51" s="334" t="n"/>
      <c r="AE51" s="334" t="n"/>
      <c r="AF51" s="334" t="n"/>
      <c r="AG51" s="334" t="n"/>
      <c r="AH51" s="334" t="n"/>
      <c r="AI51" s="334" t="n"/>
      <c r="AJ51" s="334" t="n"/>
      <c r="AK51" s="334" t="n"/>
      <c r="AL51" s="334" t="n"/>
      <c r="AM51" s="334" t="n"/>
      <c r="AN51" s="334" t="n"/>
      <c r="AO51" s="334" t="n"/>
      <c r="AP51" s="334" t="n"/>
      <c r="AQ51" s="334" t="n"/>
      <c r="AR51" s="334" t="n"/>
      <c r="AS51" s="334" t="n"/>
      <c r="AT51" s="335" t="n"/>
      <c r="AU51" s="344" t="n"/>
      <c r="AV51" s="346" t="n"/>
      <c r="AW51" s="346" t="n"/>
      <c r="AX51" s="346" t="n"/>
      <c r="AY51" s="303" t="n"/>
      <c r="AZ51" s="6" t="n"/>
      <c r="BD51" s="5" t="n"/>
    </row>
    <row r="52" hidden="1" ht="24" customHeight="1" thickBot="1">
      <c r="D52" s="136" t="inlineStr">
        <is>
          <t>C-S8</t>
        </is>
      </c>
      <c r="E52" s="336" t="n"/>
      <c r="F52" s="337" t="n"/>
      <c r="G52" s="337" t="n"/>
      <c r="H52" s="337" t="n"/>
      <c r="I52" s="337" t="n"/>
      <c r="J52" s="337" t="n"/>
      <c r="K52" s="337" t="n"/>
      <c r="L52" s="337" t="n"/>
      <c r="M52" s="337" t="n"/>
      <c r="N52" s="337" t="n"/>
      <c r="O52" s="337" t="n"/>
      <c r="P52" s="337" t="n"/>
      <c r="Q52" s="337" t="n"/>
      <c r="R52" s="337" t="n"/>
      <c r="S52" s="337" t="n"/>
      <c r="T52" s="337" t="n"/>
      <c r="U52" s="337" t="n"/>
      <c r="V52" s="337" t="n"/>
      <c r="W52" s="337" t="n"/>
      <c r="X52" s="337" t="n"/>
      <c r="Y52" s="337" t="n"/>
      <c r="Z52" s="337" t="n"/>
      <c r="AA52" s="337" t="n"/>
      <c r="AB52" s="337" t="n"/>
      <c r="AC52" s="337" t="n"/>
      <c r="AD52" s="337" t="n"/>
      <c r="AE52" s="337" t="n"/>
      <c r="AF52" s="337" t="n"/>
      <c r="AG52" s="337" t="n"/>
      <c r="AH52" s="337" t="n"/>
      <c r="AI52" s="337" t="n"/>
      <c r="AJ52" s="337" t="n"/>
      <c r="AK52" s="337" t="n"/>
      <c r="AL52" s="337" t="n"/>
      <c r="AM52" s="337" t="n"/>
      <c r="AN52" s="337" t="n"/>
      <c r="AO52" s="337" t="n"/>
      <c r="AP52" s="337" t="n"/>
      <c r="AQ52" s="337" t="n"/>
      <c r="AR52" s="337" t="n"/>
      <c r="AS52" s="337" t="n"/>
      <c r="AT52" s="338" t="n"/>
      <c r="AU52" s="347" t="n"/>
      <c r="AV52" s="348" t="n"/>
      <c r="AW52" s="348" t="n"/>
      <c r="AX52" s="348" t="n"/>
      <c r="AY52" s="308" t="n"/>
      <c r="AZ52" s="6" t="n"/>
      <c r="BD52" s="5" t="n"/>
    </row>
    <row r="53" hidden="1" ht="18" customHeight="1" thickBot="1">
      <c r="B53" s="3" t="inlineStr">
        <is>
          <t>x15</t>
        </is>
      </c>
      <c r="C53" s="19" t="inlineStr">
        <is>
          <t>Wood</t>
        </is>
      </c>
      <c r="D53" s="20" t="n"/>
      <c r="E53" s="163" t="n"/>
      <c r="F53" s="163" t="n"/>
      <c r="G53" s="163" t="n"/>
      <c r="H53" s="163" t="n"/>
      <c r="I53" s="163" t="n"/>
      <c r="J53" s="163" t="n"/>
      <c r="K53" s="163" t="n"/>
      <c r="L53" s="163" t="n"/>
      <c r="M53" s="163" t="n"/>
      <c r="N53" s="163" t="n"/>
      <c r="O53" s="163" t="n"/>
      <c r="P53" s="163" t="n"/>
      <c r="Q53" s="163" t="n"/>
      <c r="R53" s="163" t="n"/>
      <c r="S53" s="163" t="n"/>
      <c r="T53" s="163" t="n"/>
      <c r="U53" s="163" t="n"/>
      <c r="V53" s="163" t="n"/>
      <c r="W53" s="163" t="n"/>
      <c r="X53" s="163" t="n"/>
      <c r="Y53" s="163" t="n"/>
      <c r="Z53" s="163" t="n"/>
      <c r="AA53" s="163" t="n"/>
      <c r="AB53" s="163" t="n"/>
      <c r="AC53" s="163" t="n"/>
      <c r="AD53" s="163" t="n"/>
      <c r="AE53" s="163" t="n"/>
      <c r="AF53" s="163" t="n"/>
      <c r="AG53" s="163" t="n"/>
      <c r="AH53" s="163" t="n"/>
      <c r="AI53" s="163" t="n"/>
      <c r="AJ53" s="163" t="n"/>
      <c r="AK53" s="163" t="n"/>
      <c r="AL53" s="163" t="n"/>
      <c r="AM53" s="163" t="n"/>
      <c r="AN53" s="163" t="n"/>
      <c r="AO53" s="163" t="n"/>
      <c r="AP53" s="163" t="n"/>
      <c r="AQ53" s="163" t="n"/>
      <c r="AR53" s="163" t="n"/>
      <c r="AS53" s="163" t="n"/>
      <c r="AT53" s="163" t="n"/>
      <c r="AU53" s="20" t="n"/>
      <c r="AV53" s="49" t="n"/>
      <c r="AW53" s="49" t="n"/>
      <c r="AX53" s="20" t="n"/>
      <c r="AY53" s="49" t="n"/>
      <c r="AZ53" s="22" t="n"/>
      <c r="BD53" s="5" t="n"/>
    </row>
    <row r="54" hidden="1" ht="37" customHeight="1" thickBot="1">
      <c r="C54" s="92" t="n"/>
      <c r="D54" s="136" t="inlineStr">
        <is>
          <t>C-W1</t>
        </is>
      </c>
      <c r="E54" s="330" t="n"/>
      <c r="F54" s="331" t="n"/>
      <c r="G54" s="331" t="n"/>
      <c r="H54" s="331" t="n"/>
      <c r="I54" s="331" t="n"/>
      <c r="J54" s="331" t="n"/>
      <c r="K54" s="331" t="n"/>
      <c r="L54" s="331" t="n"/>
      <c r="M54" s="331" t="n"/>
      <c r="N54" s="331" t="n"/>
      <c r="O54" s="331" t="n"/>
      <c r="P54" s="331" t="n"/>
      <c r="Q54" s="331" t="n"/>
      <c r="R54" s="331" t="n"/>
      <c r="S54" s="331" t="n"/>
      <c r="T54" s="331" t="n"/>
      <c r="U54" s="331" t="n"/>
      <c r="V54" s="331" t="n"/>
      <c r="W54" s="331" t="n"/>
      <c r="X54" s="331" t="n"/>
      <c r="Y54" s="331" t="n"/>
      <c r="Z54" s="331" t="n"/>
      <c r="AA54" s="331" t="n"/>
      <c r="AB54" s="331" t="n"/>
      <c r="AC54" s="331" t="n"/>
      <c r="AD54" s="331" t="n"/>
      <c r="AE54" s="331" t="n"/>
      <c r="AF54" s="331" t="n"/>
      <c r="AG54" s="331" t="n"/>
      <c r="AH54" s="331" t="n"/>
      <c r="AI54" s="331" t="n"/>
      <c r="AJ54" s="331" t="n"/>
      <c r="AK54" s="331" t="n"/>
      <c r="AL54" s="331" t="n"/>
      <c r="AM54" s="331" t="n"/>
      <c r="AN54" s="331" t="n"/>
      <c r="AO54" s="331" t="n"/>
      <c r="AP54" s="331" t="n"/>
      <c r="AQ54" s="331" t="n"/>
      <c r="AR54" s="331" t="n"/>
      <c r="AS54" s="331" t="n"/>
      <c r="AT54" s="332" t="n"/>
      <c r="AU54" s="311" t="inlineStr">
        <is>
          <t>Wood
CBC 1705A.5, 1705A.5.4, 1705A.11.1 &amp; 1705A.12.2
Glue laminated timber</t>
        </is>
      </c>
      <c r="AV54" s="339" t="n"/>
      <c r="AW54" s="339" t="n"/>
      <c r="AX54" s="339" t="n"/>
      <c r="AY54" s="286" t="n"/>
      <c r="AZ54" s="4" t="n"/>
      <c r="BD54" s="5" t="n"/>
    </row>
    <row r="55" hidden="1" ht="37" customHeight="1" thickBot="1">
      <c r="D55" s="136" t="inlineStr">
        <is>
          <t>C-W2</t>
        </is>
      </c>
      <c r="E55" s="333" t="n"/>
      <c r="F55" s="334" t="n"/>
      <c r="G55" s="334" t="n"/>
      <c r="H55" s="334" t="n"/>
      <c r="I55" s="334" t="n"/>
      <c r="J55" s="334" t="n"/>
      <c r="K55" s="334" t="n"/>
      <c r="L55" s="334" t="n"/>
      <c r="M55" s="334" t="n"/>
      <c r="N55" s="334" t="n"/>
      <c r="O55" s="334" t="n"/>
      <c r="P55" s="334" t="n"/>
      <c r="Q55" s="334" t="n"/>
      <c r="R55" s="334" t="n"/>
      <c r="S55" s="334" t="n"/>
      <c r="T55" s="334" t="n"/>
      <c r="U55" s="334" t="n"/>
      <c r="V55" s="334" t="n"/>
      <c r="W55" s="334" t="n"/>
      <c r="X55" s="334" t="n"/>
      <c r="Y55" s="334" t="n"/>
      <c r="Z55" s="334" t="n"/>
      <c r="AA55" s="334" t="n"/>
      <c r="AB55" s="334" t="n"/>
      <c r="AC55" s="334" t="n"/>
      <c r="AD55" s="334" t="n"/>
      <c r="AE55" s="334" t="n"/>
      <c r="AF55" s="334" t="n"/>
      <c r="AG55" s="334" t="n"/>
      <c r="AH55" s="334" t="n"/>
      <c r="AI55" s="334" t="n"/>
      <c r="AJ55" s="334" t="n"/>
      <c r="AK55" s="334" t="n"/>
      <c r="AL55" s="334" t="n"/>
      <c r="AM55" s="334" t="n"/>
      <c r="AN55" s="334" t="n"/>
      <c r="AO55" s="334" t="n"/>
      <c r="AP55" s="334" t="n"/>
      <c r="AQ55" s="334" t="n"/>
      <c r="AR55" s="334" t="n"/>
      <c r="AS55" s="334" t="n"/>
      <c r="AT55" s="335" t="n"/>
      <c r="AU55" s="289" t="inlineStr">
        <is>
          <t>Wood
CBC 1705A.5.6, 1705A.11.1 &amp; 1705A.12.2
Installation of timber connectors</t>
        </is>
      </c>
      <c r="AV55" s="322" t="n"/>
      <c r="AW55" s="322" t="n"/>
      <c r="AX55" s="322" t="n"/>
      <c r="AY55" s="288" t="n"/>
      <c r="AZ55" s="4" t="n"/>
      <c r="BD55" s="5" t="n"/>
    </row>
    <row r="56" hidden="1" ht="37" customHeight="1" thickBot="1">
      <c r="D56" s="136" t="inlineStr">
        <is>
          <t>C-W3</t>
        </is>
      </c>
      <c r="E56" s="333" t="n"/>
      <c r="F56" s="334" t="n"/>
      <c r="G56" s="334" t="n"/>
      <c r="H56" s="334" t="n"/>
      <c r="I56" s="334" t="n"/>
      <c r="J56" s="334" t="n"/>
      <c r="K56" s="334" t="n"/>
      <c r="L56" s="334" t="n"/>
      <c r="M56" s="334" t="n"/>
      <c r="N56" s="334" t="n"/>
      <c r="O56" s="334" t="n"/>
      <c r="P56" s="334" t="n"/>
      <c r="Q56" s="334" t="n"/>
      <c r="R56" s="334" t="n"/>
      <c r="S56" s="334" t="n"/>
      <c r="T56" s="334" t="n"/>
      <c r="U56" s="334" t="n"/>
      <c r="V56" s="334" t="n"/>
      <c r="W56" s="334" t="n"/>
      <c r="X56" s="334" t="n"/>
      <c r="Y56" s="334" t="n"/>
      <c r="Z56" s="334" t="n"/>
      <c r="AA56" s="334" t="n"/>
      <c r="AB56" s="334" t="n"/>
      <c r="AC56" s="334" t="n"/>
      <c r="AD56" s="334" t="n"/>
      <c r="AE56" s="334" t="n"/>
      <c r="AF56" s="334" t="n"/>
      <c r="AG56" s="334" t="n"/>
      <c r="AH56" s="334" t="n"/>
      <c r="AI56" s="334" t="n"/>
      <c r="AJ56" s="334" t="n"/>
      <c r="AK56" s="334" t="n"/>
      <c r="AL56" s="334" t="n"/>
      <c r="AM56" s="334" t="n"/>
      <c r="AN56" s="334" t="n"/>
      <c r="AO56" s="334" t="n"/>
      <c r="AP56" s="334" t="n"/>
      <c r="AQ56" s="334" t="n"/>
      <c r="AR56" s="334" t="n"/>
      <c r="AS56" s="334" t="n"/>
      <c r="AT56" s="335" t="n"/>
      <c r="AU56" s="289" t="inlineStr">
        <is>
          <t>Wood
CBC 1705A.5, 1705A.5.2 &amp; 1705A.5.5
Manufactured trusses</t>
        </is>
      </c>
      <c r="AV56" s="322" t="n"/>
      <c r="AW56" s="322" t="n"/>
      <c r="AX56" s="322" t="n"/>
      <c r="AY56" s="288" t="n"/>
      <c r="AZ56" s="4" t="n"/>
      <c r="BD56" s="5" t="n"/>
    </row>
    <row r="57" hidden="1" ht="49" customHeight="1" thickBot="1">
      <c r="D57" s="136" t="inlineStr">
        <is>
          <t>C-W4</t>
        </is>
      </c>
      <c r="E57" s="333" t="n"/>
      <c r="F57" s="334" t="n"/>
      <c r="G57" s="334" t="n"/>
      <c r="H57" s="334" t="n"/>
      <c r="I57" s="334" t="n"/>
      <c r="J57" s="334" t="n"/>
      <c r="K57" s="334" t="n"/>
      <c r="L57" s="334" t="n"/>
      <c r="M57" s="334" t="n"/>
      <c r="N57" s="334" t="n"/>
      <c r="O57" s="334" t="n"/>
      <c r="P57" s="334" t="n"/>
      <c r="Q57" s="334" t="n"/>
      <c r="R57" s="334" t="n"/>
      <c r="S57" s="334" t="n"/>
      <c r="T57" s="334" t="n"/>
      <c r="U57" s="334" t="n"/>
      <c r="V57" s="334" t="n"/>
      <c r="W57" s="334" t="n"/>
      <c r="X57" s="334" t="n"/>
      <c r="Y57" s="334" t="n"/>
      <c r="Z57" s="334" t="n"/>
      <c r="AA57" s="334" t="n"/>
      <c r="AB57" s="334" t="n"/>
      <c r="AC57" s="334" t="n"/>
      <c r="AD57" s="334" t="n"/>
      <c r="AE57" s="334" t="n"/>
      <c r="AF57" s="334" t="n"/>
      <c r="AG57" s="334" t="n"/>
      <c r="AH57" s="334" t="n"/>
      <c r="AI57" s="334" t="n"/>
      <c r="AJ57" s="334" t="n"/>
      <c r="AK57" s="334" t="n"/>
      <c r="AL57" s="334" t="n"/>
      <c r="AM57" s="334" t="n"/>
      <c r="AN57" s="334" t="n"/>
      <c r="AO57" s="334" t="n"/>
      <c r="AP57" s="334" t="n"/>
      <c r="AQ57" s="334" t="n"/>
      <c r="AR57" s="334" t="n"/>
      <c r="AS57" s="334" t="n"/>
      <c r="AT57" s="335" t="n"/>
      <c r="AU57" s="289" t="inlineStr">
        <is>
          <t>Wood
CBC 1705A.11.1 &amp; 1705A.12.2
Nailing, screw attachment, bolting, anchoring, field gluing operations and other fastening</t>
        </is>
      </c>
      <c r="AV57" s="322" t="n"/>
      <c r="AW57" s="322" t="n"/>
      <c r="AX57" s="322" t="n"/>
      <c r="AY57" s="288" t="n"/>
      <c r="AZ57" s="4" t="n"/>
      <c r="BD57" s="5" t="n"/>
    </row>
    <row r="58" hidden="1" ht="27" customHeight="1" thickBot="1">
      <c r="D58" s="136" t="inlineStr">
        <is>
          <t>C-W5</t>
        </is>
      </c>
      <c r="E58" s="333" t="n"/>
      <c r="F58" s="334" t="n"/>
      <c r="G58" s="334" t="n"/>
      <c r="H58" s="334" t="n"/>
      <c r="I58" s="334" t="n"/>
      <c r="J58" s="334" t="n"/>
      <c r="K58" s="334" t="n"/>
      <c r="L58" s="334" t="n"/>
      <c r="M58" s="334" t="n"/>
      <c r="N58" s="334" t="n"/>
      <c r="O58" s="334" t="n"/>
      <c r="P58" s="334" t="n"/>
      <c r="Q58" s="334" t="n"/>
      <c r="R58" s="334" t="n"/>
      <c r="S58" s="334" t="n"/>
      <c r="T58" s="334" t="n"/>
      <c r="U58" s="334" t="n"/>
      <c r="V58" s="334" t="n"/>
      <c r="W58" s="334" t="n"/>
      <c r="X58" s="334" t="n"/>
      <c r="Y58" s="334" t="n"/>
      <c r="Z58" s="334" t="n"/>
      <c r="AA58" s="334" t="n"/>
      <c r="AB58" s="334" t="n"/>
      <c r="AC58" s="334" t="n"/>
      <c r="AD58" s="334" t="n"/>
      <c r="AE58" s="334" t="n"/>
      <c r="AF58" s="334" t="n"/>
      <c r="AG58" s="334" t="n"/>
      <c r="AH58" s="334" t="n"/>
      <c r="AI58" s="334" t="n"/>
      <c r="AJ58" s="334" t="n"/>
      <c r="AK58" s="334" t="n"/>
      <c r="AL58" s="334" t="n"/>
      <c r="AM58" s="334" t="n"/>
      <c r="AN58" s="334" t="n"/>
      <c r="AO58" s="334" t="n"/>
      <c r="AP58" s="334" t="n"/>
      <c r="AQ58" s="334" t="n"/>
      <c r="AR58" s="334" t="n"/>
      <c r="AS58" s="334" t="n"/>
      <c r="AT58" s="335" t="n"/>
      <c r="AU58" s="289" t="n"/>
      <c r="AV58" s="322" t="n"/>
      <c r="AW58" s="322" t="n"/>
      <c r="AX58" s="322" t="n"/>
      <c r="AY58" s="288" t="n"/>
      <c r="AZ58" s="4" t="n"/>
      <c r="BD58" s="5" t="n"/>
    </row>
    <row r="59" hidden="1" ht="27" customHeight="1" thickBot="1">
      <c r="D59" s="136" t="inlineStr">
        <is>
          <t>C-W6</t>
        </is>
      </c>
      <c r="E59" s="336" t="n"/>
      <c r="F59" s="337" t="n"/>
      <c r="G59" s="337" t="n"/>
      <c r="H59" s="337" t="n"/>
      <c r="I59" s="337" t="n"/>
      <c r="J59" s="337" t="n"/>
      <c r="K59" s="337" t="n"/>
      <c r="L59" s="337" t="n"/>
      <c r="M59" s="337" t="n"/>
      <c r="N59" s="337" t="n"/>
      <c r="O59" s="337" t="n"/>
      <c r="P59" s="337" t="n"/>
      <c r="Q59" s="337" t="n"/>
      <c r="R59" s="337" t="n"/>
      <c r="S59" s="337" t="n"/>
      <c r="T59" s="337" t="n"/>
      <c r="U59" s="337" t="n"/>
      <c r="V59" s="337" t="n"/>
      <c r="W59" s="337" t="n"/>
      <c r="X59" s="337" t="n"/>
      <c r="Y59" s="337" t="n"/>
      <c r="Z59" s="337" t="n"/>
      <c r="AA59" s="337" t="n"/>
      <c r="AB59" s="337" t="n"/>
      <c r="AC59" s="337" t="n"/>
      <c r="AD59" s="337" t="n"/>
      <c r="AE59" s="337" t="n"/>
      <c r="AF59" s="337" t="n"/>
      <c r="AG59" s="337" t="n"/>
      <c r="AH59" s="337" t="n"/>
      <c r="AI59" s="337" t="n"/>
      <c r="AJ59" s="337" t="n"/>
      <c r="AK59" s="337" t="n"/>
      <c r="AL59" s="337" t="n"/>
      <c r="AM59" s="337" t="n"/>
      <c r="AN59" s="337" t="n"/>
      <c r="AO59" s="337" t="n"/>
      <c r="AP59" s="337" t="n"/>
      <c r="AQ59" s="337" t="n"/>
      <c r="AR59" s="337" t="n"/>
      <c r="AS59" s="337" t="n"/>
      <c r="AT59" s="338" t="n"/>
      <c r="AU59" s="323" t="n"/>
      <c r="AV59" s="340" t="n"/>
      <c r="AW59" s="340" t="n"/>
      <c r="AX59" s="340" t="n"/>
      <c r="AY59" s="294" t="n"/>
      <c r="AZ59" s="4" t="n"/>
      <c r="BD59" s="5" t="n"/>
    </row>
    <row r="60" hidden="1" ht="18" customHeight="1" thickBot="1">
      <c r="B60" s="3" t="inlineStr">
        <is>
          <t>x16</t>
        </is>
      </c>
      <c r="C60" s="19" t="inlineStr">
        <is>
          <t>Other Structural Materials</t>
        </is>
      </c>
      <c r="D60" s="20" t="n"/>
      <c r="E60" s="163" t="n"/>
      <c r="F60" s="163" t="n"/>
      <c r="G60" s="163" t="n"/>
      <c r="H60" s="163" t="n"/>
      <c r="I60" s="163" t="n"/>
      <c r="J60" s="163" t="n"/>
      <c r="K60" s="163" t="n"/>
      <c r="L60" s="163" t="n"/>
      <c r="M60" s="163" t="n"/>
      <c r="N60" s="163" t="n"/>
      <c r="O60" s="163" t="n"/>
      <c r="P60" s="163" t="n"/>
      <c r="Q60" s="163" t="n"/>
      <c r="R60" s="163" t="n"/>
      <c r="S60" s="163" t="n"/>
      <c r="T60" s="163" t="n"/>
      <c r="U60" s="163" t="n"/>
      <c r="V60" s="163" t="n"/>
      <c r="W60" s="163" t="n"/>
      <c r="X60" s="163" t="n"/>
      <c r="Y60" s="163" t="n"/>
      <c r="Z60" s="163" t="n"/>
      <c r="AA60" s="163" t="n"/>
      <c r="AB60" s="163" t="n"/>
      <c r="AC60" s="163" t="n"/>
      <c r="AD60" s="163" t="n"/>
      <c r="AE60" s="163" t="n"/>
      <c r="AF60" s="163" t="n"/>
      <c r="AG60" s="163" t="n"/>
      <c r="AH60" s="163" t="n"/>
      <c r="AI60" s="163" t="n"/>
      <c r="AJ60" s="163" t="n"/>
      <c r="AK60" s="163" t="n"/>
      <c r="AL60" s="163" t="n"/>
      <c r="AM60" s="163" t="n"/>
      <c r="AN60" s="163" t="n"/>
      <c r="AO60" s="163" t="n"/>
      <c r="AP60" s="163" t="n"/>
      <c r="AQ60" s="163" t="n"/>
      <c r="AR60" s="163" t="n"/>
      <c r="AS60" s="163" t="n"/>
      <c r="AT60" s="163" t="n"/>
      <c r="AU60" s="20" t="n"/>
      <c r="AV60" s="49" t="n"/>
      <c r="AW60" s="49" t="n"/>
      <c r="AX60" s="20" t="n"/>
      <c r="AY60" s="49" t="n"/>
      <c r="AZ60" s="22" t="n"/>
      <c r="BD60" s="5" t="n"/>
    </row>
    <row r="61" hidden="1" ht="37" customHeight="1" thickBot="1">
      <c r="D61" s="136" t="inlineStr">
        <is>
          <t>C-OM1</t>
        </is>
      </c>
      <c r="E61" s="330" t="n"/>
      <c r="F61" s="331" t="n"/>
      <c r="G61" s="331" t="n"/>
      <c r="H61" s="331" t="n"/>
      <c r="I61" s="331" t="n"/>
      <c r="J61" s="331" t="n"/>
      <c r="K61" s="331" t="n"/>
      <c r="L61" s="331" t="n"/>
      <c r="M61" s="331" t="n"/>
      <c r="N61" s="331" t="n"/>
      <c r="O61" s="331" t="n"/>
      <c r="P61" s="331" t="n"/>
      <c r="Q61" s="331" t="n"/>
      <c r="R61" s="331" t="n"/>
      <c r="S61" s="331" t="n"/>
      <c r="T61" s="331" t="n"/>
      <c r="U61" s="331" t="n"/>
      <c r="V61" s="331" t="n"/>
      <c r="W61" s="331" t="n"/>
      <c r="X61" s="331" t="n"/>
      <c r="Y61" s="331" t="n"/>
      <c r="Z61" s="331" t="n"/>
      <c r="AA61" s="331" t="n"/>
      <c r="AB61" s="331" t="n"/>
      <c r="AC61" s="331" t="n"/>
      <c r="AD61" s="331" t="n"/>
      <c r="AE61" s="331" t="n"/>
      <c r="AF61" s="331" t="n"/>
      <c r="AG61" s="331" t="n"/>
      <c r="AH61" s="331" t="n"/>
      <c r="AI61" s="331" t="n"/>
      <c r="AJ61" s="331" t="n"/>
      <c r="AK61" s="331" t="n"/>
      <c r="AL61" s="331" t="n"/>
      <c r="AM61" s="331" t="n"/>
      <c r="AN61" s="331" t="n"/>
      <c r="AO61" s="331" t="n"/>
      <c r="AP61" s="331" t="n"/>
      <c r="AQ61" s="331" t="n"/>
      <c r="AR61" s="331" t="n"/>
      <c r="AS61" s="331" t="n"/>
      <c r="AT61" s="332" t="n"/>
      <c r="AU61" s="311" t="inlineStr">
        <is>
          <t>Aluminum
CBC 2003.1
Testing and Inspection</t>
        </is>
      </c>
      <c r="AV61" s="339" t="n"/>
      <c r="AW61" s="339" t="n"/>
      <c r="AX61" s="339" t="n"/>
      <c r="AY61" s="286" t="n"/>
      <c r="AZ61" s="4" t="n"/>
      <c r="BD61" s="5" t="n"/>
    </row>
    <row r="62" hidden="1" ht="37" customHeight="1" thickBot="1">
      <c r="D62" s="136" t="inlineStr">
        <is>
          <t>C-OM2</t>
        </is>
      </c>
      <c r="E62" s="333" t="n"/>
      <c r="F62" s="334" t="n"/>
      <c r="G62" s="334" t="n"/>
      <c r="H62" s="334" t="n"/>
      <c r="I62" s="334" t="n"/>
      <c r="J62" s="334" t="n"/>
      <c r="K62" s="334" t="n"/>
      <c r="L62" s="334" t="n"/>
      <c r="M62" s="334" t="n"/>
      <c r="N62" s="334" t="n"/>
      <c r="O62" s="334" t="n"/>
      <c r="P62" s="334" t="n"/>
      <c r="Q62" s="334" t="n"/>
      <c r="R62" s="334" t="n"/>
      <c r="S62" s="334" t="n"/>
      <c r="T62" s="334" t="n"/>
      <c r="U62" s="334" t="n"/>
      <c r="V62" s="334" t="n"/>
      <c r="W62" s="334" t="n"/>
      <c r="X62" s="334" t="n"/>
      <c r="Y62" s="334" t="n"/>
      <c r="Z62" s="334" t="n"/>
      <c r="AA62" s="334" t="n"/>
      <c r="AB62" s="334" t="n"/>
      <c r="AC62" s="334" t="n"/>
      <c r="AD62" s="334" t="n"/>
      <c r="AE62" s="334" t="n"/>
      <c r="AF62" s="334" t="n"/>
      <c r="AG62" s="334" t="n"/>
      <c r="AH62" s="334" t="n"/>
      <c r="AI62" s="334" t="n"/>
      <c r="AJ62" s="334" t="n"/>
      <c r="AK62" s="334" t="n"/>
      <c r="AL62" s="334" t="n"/>
      <c r="AM62" s="334" t="n"/>
      <c r="AN62" s="334" t="n"/>
      <c r="AO62" s="334" t="n"/>
      <c r="AP62" s="334" t="n"/>
      <c r="AQ62" s="334" t="n"/>
      <c r="AR62" s="334" t="n"/>
      <c r="AS62" s="334" t="n"/>
      <c r="AT62" s="335" t="n"/>
      <c r="AU62" s="289" t="inlineStr">
        <is>
          <t>Structural Sealant Glazing
CBC 2410.1.2
Structural sealants for exterior glass curtain walls</t>
        </is>
      </c>
      <c r="AV62" s="322" t="n"/>
      <c r="AW62" s="322" t="n"/>
      <c r="AX62" s="322" t="n"/>
      <c r="AY62" s="288" t="n"/>
      <c r="AZ62" s="4" t="n"/>
      <c r="BD62" s="5" t="n"/>
    </row>
    <row r="63" hidden="1" ht="32" customHeight="1" thickBot="1">
      <c r="D63" s="136" t="inlineStr">
        <is>
          <t>C-OM3</t>
        </is>
      </c>
      <c r="E63" s="333" t="n"/>
      <c r="F63" s="334" t="n"/>
      <c r="G63" s="334" t="n"/>
      <c r="H63" s="334" t="n"/>
      <c r="I63" s="334" t="n"/>
      <c r="J63" s="334" t="n"/>
      <c r="K63" s="334" t="n"/>
      <c r="L63" s="334" t="n"/>
      <c r="M63" s="334" t="n"/>
      <c r="N63" s="334" t="n"/>
      <c r="O63" s="334" t="n"/>
      <c r="P63" s="334" t="n"/>
      <c r="Q63" s="334" t="n"/>
      <c r="R63" s="334" t="n"/>
      <c r="S63" s="334" t="n"/>
      <c r="T63" s="334" t="n"/>
      <c r="U63" s="334" t="n"/>
      <c r="V63" s="334" t="n"/>
      <c r="W63" s="334" t="n"/>
      <c r="X63" s="334" t="n"/>
      <c r="Y63" s="334" t="n"/>
      <c r="Z63" s="334" t="n"/>
      <c r="AA63" s="334" t="n"/>
      <c r="AB63" s="334" t="n"/>
      <c r="AC63" s="334" t="n"/>
      <c r="AD63" s="334" t="n"/>
      <c r="AE63" s="334" t="n"/>
      <c r="AF63" s="334" t="n"/>
      <c r="AG63" s="334" t="n"/>
      <c r="AH63" s="334" t="n"/>
      <c r="AI63" s="334" t="n"/>
      <c r="AJ63" s="334" t="n"/>
      <c r="AK63" s="334" t="n"/>
      <c r="AL63" s="334" t="n"/>
      <c r="AM63" s="334" t="n"/>
      <c r="AN63" s="334" t="n"/>
      <c r="AO63" s="334" t="n"/>
      <c r="AP63" s="334" t="n"/>
      <c r="AQ63" s="334" t="n"/>
      <c r="AR63" s="334" t="n"/>
      <c r="AS63" s="334" t="n"/>
      <c r="AT63" s="335" t="n"/>
      <c r="AU63" s="289" t="n"/>
      <c r="AV63" s="322" t="n"/>
      <c r="AW63" s="322" t="n"/>
      <c r="AX63" s="322" t="n"/>
      <c r="AY63" s="288" t="n"/>
      <c r="AZ63" s="4" t="n"/>
      <c r="BD63" s="5" t="n"/>
    </row>
    <row r="64" hidden="1" ht="32" customHeight="1" thickBot="1">
      <c r="D64" s="136" t="inlineStr">
        <is>
          <t>C-OM4</t>
        </is>
      </c>
      <c r="E64" s="336" t="n"/>
      <c r="F64" s="337" t="n"/>
      <c r="G64" s="337" t="n"/>
      <c r="H64" s="337" t="n"/>
      <c r="I64" s="337" t="n"/>
      <c r="J64" s="337" t="n"/>
      <c r="K64" s="337" t="n"/>
      <c r="L64" s="337" t="n"/>
      <c r="M64" s="337" t="n"/>
      <c r="N64" s="337" t="n"/>
      <c r="O64" s="337" t="n"/>
      <c r="P64" s="337" t="n"/>
      <c r="Q64" s="337" t="n"/>
      <c r="R64" s="337" t="n"/>
      <c r="S64" s="337" t="n"/>
      <c r="T64" s="337" t="n"/>
      <c r="U64" s="337" t="n"/>
      <c r="V64" s="337" t="n"/>
      <c r="W64" s="337" t="n"/>
      <c r="X64" s="337" t="n"/>
      <c r="Y64" s="337" t="n"/>
      <c r="Z64" s="337" t="n"/>
      <c r="AA64" s="337" t="n"/>
      <c r="AB64" s="337" t="n"/>
      <c r="AC64" s="337" t="n"/>
      <c r="AD64" s="337" t="n"/>
      <c r="AE64" s="337" t="n"/>
      <c r="AF64" s="337" t="n"/>
      <c r="AG64" s="337" t="n"/>
      <c r="AH64" s="337" t="n"/>
      <c r="AI64" s="337" t="n"/>
      <c r="AJ64" s="337" t="n"/>
      <c r="AK64" s="337" t="n"/>
      <c r="AL64" s="337" t="n"/>
      <c r="AM64" s="337" t="n"/>
      <c r="AN64" s="337" t="n"/>
      <c r="AO64" s="337" t="n"/>
      <c r="AP64" s="337" t="n"/>
      <c r="AQ64" s="337" t="n"/>
      <c r="AR64" s="337" t="n"/>
      <c r="AS64" s="337" t="n"/>
      <c r="AT64" s="338" t="n"/>
      <c r="AU64" s="323" t="n"/>
      <c r="AV64" s="340" t="n"/>
      <c r="AW64" s="340" t="n"/>
      <c r="AX64" s="340" t="n"/>
      <c r="AY64" s="294" t="n"/>
      <c r="AZ64" s="67" t="n"/>
      <c r="BD64" s="5" t="n"/>
    </row>
    <row r="65" hidden="1" ht="18" customHeight="1" thickBot="1">
      <c r="B65" s="101" t="inlineStr">
        <is>
          <t>x17</t>
        </is>
      </c>
      <c r="C65" s="19" t="inlineStr">
        <is>
          <t>Alternative Systems</t>
        </is>
      </c>
      <c r="D65" s="20" t="n"/>
      <c r="E65" s="163" t="n"/>
      <c r="F65" s="163" t="n"/>
      <c r="G65" s="163" t="n"/>
      <c r="H65" s="163" t="n"/>
      <c r="I65" s="163" t="n"/>
      <c r="J65" s="163" t="n"/>
      <c r="K65" s="163" t="n"/>
      <c r="L65" s="163" t="n"/>
      <c r="M65" s="163" t="n"/>
      <c r="N65" s="163" t="n"/>
      <c r="O65" s="163" t="n"/>
      <c r="P65" s="163" t="n"/>
      <c r="Q65" s="163" t="n"/>
      <c r="R65" s="163" t="n"/>
      <c r="S65" s="163" t="n"/>
      <c r="T65" s="163" t="n"/>
      <c r="U65" s="163" t="n"/>
      <c r="V65" s="163" t="n"/>
      <c r="W65" s="163" t="n"/>
      <c r="X65" s="163" t="n"/>
      <c r="Y65" s="163" t="n"/>
      <c r="Z65" s="163" t="n"/>
      <c r="AA65" s="163" t="n"/>
      <c r="AB65" s="163" t="n"/>
      <c r="AC65" s="163" t="n"/>
      <c r="AD65" s="163" t="n"/>
      <c r="AE65" s="163" t="n"/>
      <c r="AF65" s="163" t="n"/>
      <c r="AG65" s="163" t="n"/>
      <c r="AH65" s="163" t="n"/>
      <c r="AI65" s="163" t="n"/>
      <c r="AJ65" s="163" t="n"/>
      <c r="AK65" s="163" t="n"/>
      <c r="AL65" s="163" t="n"/>
      <c r="AM65" s="163" t="n"/>
      <c r="AN65" s="163" t="n"/>
      <c r="AO65" s="163" t="n"/>
      <c r="AP65" s="163" t="n"/>
      <c r="AQ65" s="163" t="n"/>
      <c r="AR65" s="163" t="n"/>
      <c r="AS65" s="163" t="n"/>
      <c r="AT65" s="163" t="n"/>
      <c r="AU65" s="20" t="n"/>
      <c r="AV65" s="20" t="n"/>
      <c r="AW65" s="20" t="n"/>
      <c r="AX65" s="49" t="n"/>
      <c r="AY65" s="49" t="n"/>
      <c r="AZ65" s="20" t="n"/>
      <c r="BD65" s="5" t="n"/>
    </row>
    <row r="66" hidden="1" ht="37" customHeight="1" thickBot="1">
      <c r="D66" s="136" t="inlineStr">
        <is>
          <t>C-AS1</t>
        </is>
      </c>
      <c r="E66" s="330" t="n"/>
      <c r="F66" s="331" t="n"/>
      <c r="G66" s="331" t="n"/>
      <c r="H66" s="331" t="n"/>
      <c r="I66" s="331" t="n"/>
      <c r="J66" s="331" t="n"/>
      <c r="K66" s="331" t="n"/>
      <c r="L66" s="331" t="n"/>
      <c r="M66" s="331" t="n"/>
      <c r="N66" s="331" t="n"/>
      <c r="O66" s="331" t="n"/>
      <c r="P66" s="331" t="n"/>
      <c r="Q66" s="331" t="n"/>
      <c r="R66" s="331" t="n"/>
      <c r="S66" s="331" t="n"/>
      <c r="T66" s="331" t="n"/>
      <c r="U66" s="331" t="n"/>
      <c r="V66" s="331" t="n"/>
      <c r="W66" s="331" t="n"/>
      <c r="X66" s="331" t="n"/>
      <c r="Y66" s="331" t="n"/>
      <c r="Z66" s="331" t="n"/>
      <c r="AA66" s="331" t="n"/>
      <c r="AB66" s="331" t="n"/>
      <c r="AC66" s="331" t="n"/>
      <c r="AD66" s="331" t="n"/>
      <c r="AE66" s="331" t="n"/>
      <c r="AF66" s="331" t="n"/>
      <c r="AG66" s="331" t="n"/>
      <c r="AH66" s="331" t="n"/>
      <c r="AI66" s="331" t="n"/>
      <c r="AJ66" s="331" t="n"/>
      <c r="AK66" s="331" t="n"/>
      <c r="AL66" s="331" t="n"/>
      <c r="AM66" s="331" t="n"/>
      <c r="AN66" s="331" t="n"/>
      <c r="AO66" s="331" t="n"/>
      <c r="AP66" s="331" t="n"/>
      <c r="AQ66" s="331" t="n"/>
      <c r="AR66" s="331" t="n"/>
      <c r="AS66" s="331" t="n"/>
      <c r="AT66" s="332" t="n"/>
      <c r="AU66" s="311" t="inlineStr">
        <is>
          <t>Alternative system
CBC 1705A.1.1
Construction materials and methods for alternative system</t>
        </is>
      </c>
      <c r="AV66" s="339" t="n"/>
      <c r="AW66" s="339" t="n"/>
      <c r="AX66" s="339" t="n"/>
      <c r="AY66" s="286" t="n"/>
      <c r="AZ66" s="4" t="n"/>
      <c r="BD66" s="5" t="n"/>
    </row>
    <row r="67" hidden="1" ht="37" customHeight="1" thickBot="1">
      <c r="D67" s="136" t="inlineStr">
        <is>
          <t>C-AS2</t>
        </is>
      </c>
      <c r="E67" s="333" t="n"/>
      <c r="F67" s="334" t="n"/>
      <c r="G67" s="334" t="n"/>
      <c r="H67" s="334" t="n"/>
      <c r="I67" s="334" t="n"/>
      <c r="J67" s="334" t="n"/>
      <c r="K67" s="334" t="n"/>
      <c r="L67" s="334" t="n"/>
      <c r="M67" s="334" t="n"/>
      <c r="N67" s="334" t="n"/>
      <c r="O67" s="334" t="n"/>
      <c r="P67" s="334" t="n"/>
      <c r="Q67" s="334" t="n"/>
      <c r="R67" s="334" t="n"/>
      <c r="S67" s="334" t="n"/>
      <c r="T67" s="334" t="n"/>
      <c r="U67" s="334" t="n"/>
      <c r="V67" s="334" t="n"/>
      <c r="W67" s="334" t="n"/>
      <c r="X67" s="334" t="n"/>
      <c r="Y67" s="334" t="n"/>
      <c r="Z67" s="334" t="n"/>
      <c r="AA67" s="334" t="n"/>
      <c r="AB67" s="334" t="n"/>
      <c r="AC67" s="334" t="n"/>
      <c r="AD67" s="334" t="n"/>
      <c r="AE67" s="334" t="n"/>
      <c r="AF67" s="334" t="n"/>
      <c r="AG67" s="334" t="n"/>
      <c r="AH67" s="334" t="n"/>
      <c r="AI67" s="334" t="n"/>
      <c r="AJ67" s="334" t="n"/>
      <c r="AK67" s="334" t="n"/>
      <c r="AL67" s="334" t="n"/>
      <c r="AM67" s="334" t="n"/>
      <c r="AN67" s="334" t="n"/>
      <c r="AO67" s="334" t="n"/>
      <c r="AP67" s="334" t="n"/>
      <c r="AQ67" s="334" t="n"/>
      <c r="AR67" s="334" t="n"/>
      <c r="AS67" s="334" t="n"/>
      <c r="AT67" s="335" t="n"/>
      <c r="AU67" s="289" t="inlineStr">
        <is>
          <t>Seismic Isolation System
CBC 1705A.12.8
Fabrication, installation, prototype, and production testing</t>
        </is>
      </c>
      <c r="AV67" s="322" t="n"/>
      <c r="AW67" s="322" t="n"/>
      <c r="AX67" s="322" t="n"/>
      <c r="AY67" s="288" t="n"/>
      <c r="AZ67" s="4" t="n"/>
      <c r="BD67" s="5" t="n"/>
    </row>
    <row r="68" hidden="1" ht="37" customHeight="1" thickBot="1">
      <c r="D68" s="136" t="inlineStr">
        <is>
          <t>C-AS3</t>
        </is>
      </c>
      <c r="E68" s="333" t="n"/>
      <c r="F68" s="334" t="n"/>
      <c r="G68" s="334" t="n"/>
      <c r="H68" s="334" t="n"/>
      <c r="I68" s="334" t="n"/>
      <c r="J68" s="334" t="n"/>
      <c r="K68" s="334" t="n"/>
      <c r="L68" s="334" t="n"/>
      <c r="M68" s="334" t="n"/>
      <c r="N68" s="334" t="n"/>
      <c r="O68" s="334" t="n"/>
      <c r="P68" s="334" t="n"/>
      <c r="Q68" s="334" t="n"/>
      <c r="R68" s="334" t="n"/>
      <c r="S68" s="334" t="n"/>
      <c r="T68" s="334" t="n"/>
      <c r="U68" s="334" t="n"/>
      <c r="V68" s="334" t="n"/>
      <c r="W68" s="334" t="n"/>
      <c r="X68" s="334" t="n"/>
      <c r="Y68" s="334" t="n"/>
      <c r="Z68" s="334" t="n"/>
      <c r="AA68" s="334" t="n"/>
      <c r="AB68" s="334" t="n"/>
      <c r="AC68" s="334" t="n"/>
      <c r="AD68" s="334" t="n"/>
      <c r="AE68" s="334" t="n"/>
      <c r="AF68" s="334" t="n"/>
      <c r="AG68" s="334" t="n"/>
      <c r="AH68" s="334" t="n"/>
      <c r="AI68" s="334" t="n"/>
      <c r="AJ68" s="334" t="n"/>
      <c r="AK68" s="334" t="n"/>
      <c r="AL68" s="334" t="n"/>
      <c r="AM68" s="334" t="n"/>
      <c r="AN68" s="334" t="n"/>
      <c r="AO68" s="334" t="n"/>
      <c r="AP68" s="334" t="n"/>
      <c r="AQ68" s="334" t="n"/>
      <c r="AR68" s="334" t="n"/>
      <c r="AS68" s="334" t="n"/>
      <c r="AT68" s="335" t="n"/>
      <c r="AU68" s="289" t="inlineStr">
        <is>
          <t>Seismic Damping System
CBC 1705A.12.8
Fabrication, installation, prototype, and production testing</t>
        </is>
      </c>
      <c r="AV68" s="322" t="n"/>
      <c r="AW68" s="322" t="n"/>
      <c r="AX68" s="322" t="n"/>
      <c r="AY68" s="288" t="n"/>
      <c r="AZ68" s="4" t="n"/>
      <c r="BD68" s="5" t="n"/>
    </row>
    <row r="69" hidden="1" ht="30" customHeight="1" thickBot="1">
      <c r="D69" s="136" t="inlineStr">
        <is>
          <t>C-AS4</t>
        </is>
      </c>
      <c r="E69" s="336" t="n"/>
      <c r="F69" s="337" t="n"/>
      <c r="G69" s="337" t="n"/>
      <c r="H69" s="337" t="n"/>
      <c r="I69" s="337" t="n"/>
      <c r="J69" s="337" t="n"/>
      <c r="K69" s="337" t="n"/>
      <c r="L69" s="337" t="n"/>
      <c r="M69" s="337" t="n"/>
      <c r="N69" s="337" t="n"/>
      <c r="O69" s="337" t="n"/>
      <c r="P69" s="337" t="n"/>
      <c r="Q69" s="337" t="n"/>
      <c r="R69" s="337" t="n"/>
      <c r="S69" s="337" t="n"/>
      <c r="T69" s="337" t="n"/>
      <c r="U69" s="337" t="n"/>
      <c r="V69" s="337" t="n"/>
      <c r="W69" s="337" t="n"/>
      <c r="X69" s="337" t="n"/>
      <c r="Y69" s="337" t="n"/>
      <c r="Z69" s="337" t="n"/>
      <c r="AA69" s="337" t="n"/>
      <c r="AB69" s="337" t="n"/>
      <c r="AC69" s="337" t="n"/>
      <c r="AD69" s="337" t="n"/>
      <c r="AE69" s="337" t="n"/>
      <c r="AF69" s="337" t="n"/>
      <c r="AG69" s="337" t="n"/>
      <c r="AH69" s="337" t="n"/>
      <c r="AI69" s="337" t="n"/>
      <c r="AJ69" s="337" t="n"/>
      <c r="AK69" s="337" t="n"/>
      <c r="AL69" s="337" t="n"/>
      <c r="AM69" s="337" t="n"/>
      <c r="AN69" s="337" t="n"/>
      <c r="AO69" s="337" t="n"/>
      <c r="AP69" s="337" t="n"/>
      <c r="AQ69" s="337" t="n"/>
      <c r="AR69" s="337" t="n"/>
      <c r="AS69" s="337" t="n"/>
      <c r="AT69" s="338" t="n"/>
      <c r="AU69" s="323" t="n"/>
      <c r="AV69" s="340" t="n"/>
      <c r="AW69" s="340" t="n"/>
      <c r="AX69" s="340" t="n"/>
      <c r="AY69" s="294" t="n"/>
      <c r="AZ69" s="4" t="n"/>
      <c r="BD69" s="5" t="n"/>
    </row>
    <row r="70" hidden="1" ht="18" customHeight="1" thickBot="1">
      <c r="B70" s="102" t="inlineStr">
        <is>
          <t>x18</t>
        </is>
      </c>
      <c r="C70" s="19" t="inlineStr">
        <is>
          <t>Nonstructural components, supports and attachments</t>
        </is>
      </c>
      <c r="D70" s="24" t="n"/>
      <c r="E70" s="164" t="n"/>
      <c r="F70" s="164" t="n"/>
      <c r="G70" s="164" t="n"/>
      <c r="H70" s="164" t="n"/>
      <c r="I70" s="164" t="n"/>
      <c r="J70" s="164" t="n"/>
      <c r="K70" s="164" t="n"/>
      <c r="L70" s="164" t="n"/>
      <c r="M70" s="164" t="n"/>
      <c r="N70" s="164" t="n"/>
      <c r="O70" s="164" t="n"/>
      <c r="P70" s="164" t="n"/>
      <c r="Q70" s="164" t="n"/>
      <c r="R70" s="164" t="n"/>
      <c r="S70" s="164" t="n"/>
      <c r="T70" s="164" t="n"/>
      <c r="U70" s="164" t="n"/>
      <c r="V70" s="164" t="n"/>
      <c r="W70" s="164" t="n"/>
      <c r="X70" s="164" t="n"/>
      <c r="Y70" s="164" t="n"/>
      <c r="Z70" s="164" t="n"/>
      <c r="AA70" s="164" t="n"/>
      <c r="AB70" s="164" t="n"/>
      <c r="AC70" s="164" t="n"/>
      <c r="AD70" s="164" t="n"/>
      <c r="AE70" s="164" t="n"/>
      <c r="AF70" s="164" t="n"/>
      <c r="AG70" s="164" t="n"/>
      <c r="AH70" s="164" t="n"/>
      <c r="AI70" s="164" t="n"/>
      <c r="AJ70" s="164" t="n"/>
      <c r="AK70" s="164" t="n"/>
      <c r="AL70" s="164" t="n"/>
      <c r="AM70" s="164" t="n"/>
      <c r="AN70" s="164" t="n"/>
      <c r="AO70" s="164" t="n"/>
      <c r="AP70" s="164" t="n"/>
      <c r="AQ70" s="164" t="n"/>
      <c r="AR70" s="164" t="n"/>
      <c r="AS70" s="164" t="n"/>
      <c r="AT70" s="164" t="n"/>
      <c r="AU70" s="24" t="n"/>
      <c r="AV70" s="50" t="n"/>
      <c r="AW70" s="50" t="n"/>
      <c r="AX70" s="24" t="n"/>
      <c r="AY70" s="50" t="n"/>
      <c r="AZ70" s="25" t="n"/>
      <c r="BD70" s="5" t="n"/>
    </row>
    <row r="71" hidden="1" ht="37" customHeight="1" thickBot="1">
      <c r="D71" s="136" t="inlineStr">
        <is>
          <t>C-N1</t>
        </is>
      </c>
      <c r="E71" s="330" t="n"/>
      <c r="F71" s="331" t="n"/>
      <c r="G71" s="331" t="n"/>
      <c r="H71" s="331" t="n"/>
      <c r="I71" s="331" t="n"/>
      <c r="J71" s="331" t="n"/>
      <c r="K71" s="331" t="n"/>
      <c r="L71" s="331" t="n"/>
      <c r="M71" s="331" t="n"/>
      <c r="N71" s="331" t="n"/>
      <c r="O71" s="331" t="n"/>
      <c r="P71" s="331" t="n"/>
      <c r="Q71" s="331" t="n"/>
      <c r="R71" s="331" t="n"/>
      <c r="S71" s="331" t="n"/>
      <c r="T71" s="331" t="n"/>
      <c r="U71" s="331" t="n"/>
      <c r="V71" s="331" t="n"/>
      <c r="W71" s="331" t="n"/>
      <c r="X71" s="331" t="n"/>
      <c r="Y71" s="331" t="n"/>
      <c r="Z71" s="331" t="n"/>
      <c r="AA71" s="331" t="n"/>
      <c r="AB71" s="331" t="n"/>
      <c r="AC71" s="331" t="n"/>
      <c r="AD71" s="331" t="n"/>
      <c r="AE71" s="331" t="n"/>
      <c r="AF71" s="331" t="n"/>
      <c r="AG71" s="331" t="n"/>
      <c r="AH71" s="331" t="n"/>
      <c r="AI71" s="331" t="n"/>
      <c r="AJ71" s="331" t="n"/>
      <c r="AK71" s="331" t="n"/>
      <c r="AL71" s="331" t="n"/>
      <c r="AM71" s="331" t="n"/>
      <c r="AN71" s="331" t="n"/>
      <c r="AO71" s="331" t="n"/>
      <c r="AP71" s="331" t="n"/>
      <c r="AQ71" s="331" t="n"/>
      <c r="AR71" s="331" t="n"/>
      <c r="AS71" s="331" t="n"/>
      <c r="AT71" s="332" t="n"/>
      <c r="AU71" s="311" t="inlineStr">
        <is>
          <t>Architectural components
CBC 1705A.12.5 &amp; 1705A.16
Cladding, nonbearing walls and veneer</t>
        </is>
      </c>
      <c r="AV71" s="327" t="n"/>
      <c r="AW71" s="664" t="n"/>
      <c r="AX71" s="259" t="n"/>
      <c r="AY71" s="286" t="n"/>
      <c r="AZ71" s="4" t="n"/>
      <c r="BD71" s="5" t="n"/>
    </row>
    <row r="72" hidden="1" ht="37" customHeight="1" thickBot="1">
      <c r="D72" s="136" t="inlineStr">
        <is>
          <t>C-N2</t>
        </is>
      </c>
      <c r="E72" s="333" t="n"/>
      <c r="F72" s="334" t="n"/>
      <c r="G72" s="334" t="n"/>
      <c r="H72" s="334" t="n"/>
      <c r="I72" s="334" t="n"/>
      <c r="J72" s="334" t="n"/>
      <c r="K72" s="334" t="n"/>
      <c r="L72" s="334" t="n"/>
      <c r="M72" s="334" t="n"/>
      <c r="N72" s="334" t="n"/>
      <c r="O72" s="334" t="n"/>
      <c r="P72" s="334" t="n"/>
      <c r="Q72" s="334" t="n"/>
      <c r="R72" s="334" t="n"/>
      <c r="S72" s="334" t="n"/>
      <c r="T72" s="334" t="n"/>
      <c r="U72" s="334" t="n"/>
      <c r="V72" s="334" t="n"/>
      <c r="W72" s="334" t="n"/>
      <c r="X72" s="334" t="n"/>
      <c r="Y72" s="334" t="n"/>
      <c r="Z72" s="334" t="n"/>
      <c r="AA72" s="334" t="n"/>
      <c r="AB72" s="334" t="n"/>
      <c r="AC72" s="334" t="n"/>
      <c r="AD72" s="334" t="n"/>
      <c r="AE72" s="334" t="n"/>
      <c r="AF72" s="334" t="n"/>
      <c r="AG72" s="334" t="n"/>
      <c r="AH72" s="334" t="n"/>
      <c r="AI72" s="334" t="n"/>
      <c r="AJ72" s="334" t="n"/>
      <c r="AK72" s="334" t="n"/>
      <c r="AL72" s="334" t="n"/>
      <c r="AM72" s="334" t="n"/>
      <c r="AN72" s="334" t="n"/>
      <c r="AO72" s="334" t="n"/>
      <c r="AP72" s="334" t="n"/>
      <c r="AQ72" s="334" t="n"/>
      <c r="AR72" s="334" t="n"/>
      <c r="AS72" s="334" t="n"/>
      <c r="AT72" s="335" t="n"/>
      <c r="AU72" s="289" t="inlineStr">
        <is>
          <t>Ceiling
CBC 1705A.12.5
Suspended ceiling systems and their anchorage</t>
        </is>
      </c>
      <c r="AV72" s="316" t="n"/>
      <c r="AW72" s="663" t="n"/>
      <c r="AX72" s="261" t="n"/>
      <c r="AY72" s="288" t="n"/>
      <c r="AZ72" s="4" t="n"/>
      <c r="BD72" s="5" t="n"/>
    </row>
    <row r="73" hidden="1" ht="37" customHeight="1" thickBot="1">
      <c r="D73" s="136" t="inlineStr">
        <is>
          <t>C-N3</t>
        </is>
      </c>
      <c r="E73" s="333" t="n"/>
      <c r="F73" s="334" t="n"/>
      <c r="G73" s="334" t="n"/>
      <c r="H73" s="334" t="n"/>
      <c r="I73" s="334" t="n"/>
      <c r="J73" s="334" t="n"/>
      <c r="K73" s="334" t="n"/>
      <c r="L73" s="334" t="n"/>
      <c r="M73" s="334" t="n"/>
      <c r="N73" s="334" t="n"/>
      <c r="O73" s="334" t="n"/>
      <c r="P73" s="334" t="n"/>
      <c r="Q73" s="334" t="n"/>
      <c r="R73" s="334" t="n"/>
      <c r="S73" s="334" t="n"/>
      <c r="T73" s="334" t="n"/>
      <c r="U73" s="334" t="n"/>
      <c r="V73" s="334" t="n"/>
      <c r="W73" s="334" t="n"/>
      <c r="X73" s="334" t="n"/>
      <c r="Y73" s="334" t="n"/>
      <c r="Z73" s="334" t="n"/>
      <c r="AA73" s="334" t="n"/>
      <c r="AB73" s="334" t="n"/>
      <c r="AC73" s="334" t="n"/>
      <c r="AD73" s="334" t="n"/>
      <c r="AE73" s="334" t="n"/>
      <c r="AF73" s="334" t="n"/>
      <c r="AG73" s="334" t="n"/>
      <c r="AH73" s="334" t="n"/>
      <c r="AI73" s="334" t="n"/>
      <c r="AJ73" s="334" t="n"/>
      <c r="AK73" s="334" t="n"/>
      <c r="AL73" s="334" t="n"/>
      <c r="AM73" s="334" t="n"/>
      <c r="AN73" s="334" t="n"/>
      <c r="AO73" s="334" t="n"/>
      <c r="AP73" s="334" t="n"/>
      <c r="AQ73" s="334" t="n"/>
      <c r="AR73" s="334" t="n"/>
      <c r="AS73" s="334" t="n"/>
      <c r="AT73" s="335" t="n"/>
      <c r="AU73" s="289" t="inlineStr">
        <is>
          <t>Access floors
CBC 1705A.12.5.1
Anchorage of access floor systems</t>
        </is>
      </c>
      <c r="AV73" s="316" t="n"/>
      <c r="AW73" s="663" t="n"/>
      <c r="AX73" s="261" t="n"/>
      <c r="AY73" s="288" t="n"/>
      <c r="AZ73" s="4" t="n"/>
      <c r="BD73" s="5" t="n"/>
    </row>
    <row r="74" hidden="1" ht="37" customHeight="1" thickBot="1">
      <c r="D74" s="136" t="inlineStr">
        <is>
          <t>C-N4</t>
        </is>
      </c>
      <c r="E74" s="333" t="n"/>
      <c r="F74" s="334" t="n"/>
      <c r="G74" s="334" t="n"/>
      <c r="H74" s="334" t="n"/>
      <c r="I74" s="334" t="n"/>
      <c r="J74" s="334" t="n"/>
      <c r="K74" s="334" t="n"/>
      <c r="L74" s="334" t="n"/>
      <c r="M74" s="334" t="n"/>
      <c r="N74" s="334" t="n"/>
      <c r="O74" s="334" t="n"/>
      <c r="P74" s="334" t="n"/>
      <c r="Q74" s="334" t="n"/>
      <c r="R74" s="334" t="n"/>
      <c r="S74" s="334" t="n"/>
      <c r="T74" s="334" t="n"/>
      <c r="U74" s="334" t="n"/>
      <c r="V74" s="334" t="n"/>
      <c r="W74" s="334" t="n"/>
      <c r="X74" s="334" t="n"/>
      <c r="Y74" s="334" t="n"/>
      <c r="Z74" s="334" t="n"/>
      <c r="AA74" s="334" t="n"/>
      <c r="AB74" s="334" t="n"/>
      <c r="AC74" s="334" t="n"/>
      <c r="AD74" s="334" t="n"/>
      <c r="AE74" s="334" t="n"/>
      <c r="AF74" s="334" t="n"/>
      <c r="AG74" s="334" t="n"/>
      <c r="AH74" s="334" t="n"/>
      <c r="AI74" s="334" t="n"/>
      <c r="AJ74" s="334" t="n"/>
      <c r="AK74" s="334" t="n"/>
      <c r="AL74" s="334" t="n"/>
      <c r="AM74" s="334" t="n"/>
      <c r="AN74" s="334" t="n"/>
      <c r="AO74" s="334" t="n"/>
      <c r="AP74" s="334" t="n"/>
      <c r="AQ74" s="334" t="n"/>
      <c r="AR74" s="334" t="n"/>
      <c r="AS74" s="334" t="n"/>
      <c r="AT74" s="335" t="n"/>
      <c r="AU74" s="289" t="inlineStr">
        <is>
          <t>Storage racks 8’ or taller
CBC 1705A.12.7
Anchorage</t>
        </is>
      </c>
      <c r="AV74" s="316" t="n"/>
      <c r="AW74" s="663" t="n"/>
      <c r="AX74" s="261" t="n"/>
      <c r="AY74" s="288" t="n"/>
      <c r="AZ74" s="4" t="n"/>
      <c r="BD74" s="5" t="n"/>
    </row>
    <row r="75" hidden="1" ht="37" customHeight="1" thickBot="1">
      <c r="D75" s="136" t="inlineStr">
        <is>
          <t>C-N5</t>
        </is>
      </c>
      <c r="E75" s="333" t="n"/>
      <c r="F75" s="334" t="n"/>
      <c r="G75" s="334" t="n"/>
      <c r="H75" s="334" t="n"/>
      <c r="I75" s="334" t="n"/>
      <c r="J75" s="334" t="n"/>
      <c r="K75" s="334" t="n"/>
      <c r="L75" s="334" t="n"/>
      <c r="M75" s="334" t="n"/>
      <c r="N75" s="334" t="n"/>
      <c r="O75" s="334" t="n"/>
      <c r="P75" s="334" t="n"/>
      <c r="Q75" s="334" t="n"/>
      <c r="R75" s="334" t="n"/>
      <c r="S75" s="334" t="n"/>
      <c r="T75" s="334" t="n"/>
      <c r="U75" s="334" t="n"/>
      <c r="V75" s="334" t="n"/>
      <c r="W75" s="334" t="n"/>
      <c r="X75" s="334" t="n"/>
      <c r="Y75" s="334" t="n"/>
      <c r="Z75" s="334" t="n"/>
      <c r="AA75" s="334" t="n"/>
      <c r="AB75" s="334" t="n"/>
      <c r="AC75" s="334" t="n"/>
      <c r="AD75" s="334" t="n"/>
      <c r="AE75" s="334" t="n"/>
      <c r="AF75" s="334" t="n"/>
      <c r="AG75" s="334" t="n"/>
      <c r="AH75" s="334" t="n"/>
      <c r="AI75" s="334" t="n"/>
      <c r="AJ75" s="334" t="n"/>
      <c r="AK75" s="334" t="n"/>
      <c r="AL75" s="334" t="n"/>
      <c r="AM75" s="334" t="n"/>
      <c r="AN75" s="334" t="n"/>
      <c r="AO75" s="334" t="n"/>
      <c r="AP75" s="334" t="n"/>
      <c r="AQ75" s="334" t="n"/>
      <c r="AR75" s="334" t="n"/>
      <c r="AS75" s="334" t="n"/>
      <c r="AT75" s="335" t="n"/>
      <c r="AU75" s="289" t="inlineStr">
        <is>
          <t>Plumbing, mechanical and electrical components
CBC 1705A.12.6
Anchorage, bracing, and vibration isolators</t>
        </is>
      </c>
      <c r="AV75" s="316" t="n"/>
      <c r="AW75" s="663" t="n"/>
      <c r="AX75" s="261" t="n"/>
      <c r="AY75" s="288" t="n"/>
      <c r="AZ75" s="4" t="n"/>
      <c r="BD75" s="5" t="n"/>
    </row>
    <row r="76" hidden="1" ht="49" customHeight="1" thickBot="1">
      <c r="D76" s="136" t="inlineStr">
        <is>
          <t>C-N6</t>
        </is>
      </c>
      <c r="E76" s="333" t="n"/>
      <c r="F76" s="334" t="n"/>
      <c r="G76" s="334" t="n"/>
      <c r="H76" s="334" t="n"/>
      <c r="I76" s="334" t="n"/>
      <c r="J76" s="334" t="n"/>
      <c r="K76" s="334" t="n"/>
      <c r="L76" s="334" t="n"/>
      <c r="M76" s="334" t="n"/>
      <c r="N76" s="334" t="n"/>
      <c r="O76" s="334" t="n"/>
      <c r="P76" s="334" t="n"/>
      <c r="Q76" s="334" t="n"/>
      <c r="R76" s="334" t="n"/>
      <c r="S76" s="334" t="n"/>
      <c r="T76" s="334" t="n"/>
      <c r="U76" s="334" t="n"/>
      <c r="V76" s="334" t="n"/>
      <c r="W76" s="334" t="n"/>
      <c r="X76" s="334" t="n"/>
      <c r="Y76" s="334" t="n"/>
      <c r="Z76" s="334" t="n"/>
      <c r="AA76" s="334" t="n"/>
      <c r="AB76" s="334" t="n"/>
      <c r="AC76" s="334" t="n"/>
      <c r="AD76" s="334" t="n"/>
      <c r="AE76" s="334" t="n"/>
      <c r="AF76" s="334" t="n"/>
      <c r="AG76" s="334" t="n"/>
      <c r="AH76" s="334" t="n"/>
      <c r="AI76" s="334" t="n"/>
      <c r="AJ76" s="334" t="n"/>
      <c r="AK76" s="334" t="n"/>
      <c r="AL76" s="334" t="n"/>
      <c r="AM76" s="334" t="n"/>
      <c r="AN76" s="334" t="n"/>
      <c r="AO76" s="334" t="n"/>
      <c r="AP76" s="334" t="n"/>
      <c r="AQ76" s="334" t="n"/>
      <c r="AR76" s="334" t="n"/>
      <c r="AS76" s="334" t="n"/>
      <c r="AT76" s="335" t="n"/>
      <c r="AU76" s="289" t="inlineStr">
        <is>
          <t>Special Seismic Certification
CBC 1705A.12.4
Special Seismic Certification label, anchorage and mounting</t>
        </is>
      </c>
      <c r="AV76" s="316" t="n"/>
      <c r="AW76" s="663" t="n"/>
      <c r="AX76" s="261" t="n"/>
      <c r="AY76" s="288" t="n"/>
      <c r="AZ76" s="6" t="n"/>
      <c r="BD76" s="5" t="n"/>
    </row>
    <row r="77" hidden="1" ht="25" customHeight="1" thickBot="1">
      <c r="D77" s="136" t="inlineStr">
        <is>
          <t>C-N7</t>
        </is>
      </c>
      <c r="E77" s="333" t="n"/>
      <c r="F77" s="334" t="n"/>
      <c r="G77" s="334" t="n"/>
      <c r="H77" s="334" t="n"/>
      <c r="I77" s="334" t="n"/>
      <c r="J77" s="334" t="n"/>
      <c r="K77" s="334" t="n"/>
      <c r="L77" s="334" t="n"/>
      <c r="M77" s="334" t="n"/>
      <c r="N77" s="334" t="n"/>
      <c r="O77" s="334" t="n"/>
      <c r="P77" s="334" t="n"/>
      <c r="Q77" s="334" t="n"/>
      <c r="R77" s="334" t="n"/>
      <c r="S77" s="334" t="n"/>
      <c r="T77" s="334" t="n"/>
      <c r="U77" s="334" t="n"/>
      <c r="V77" s="334" t="n"/>
      <c r="W77" s="334" t="n"/>
      <c r="X77" s="334" t="n"/>
      <c r="Y77" s="334" t="n"/>
      <c r="Z77" s="334" t="n"/>
      <c r="AA77" s="334" t="n"/>
      <c r="AB77" s="334" t="n"/>
      <c r="AC77" s="334" t="n"/>
      <c r="AD77" s="334" t="n"/>
      <c r="AE77" s="334" t="n"/>
      <c r="AF77" s="334" t="n"/>
      <c r="AG77" s="334" t="n"/>
      <c r="AH77" s="334" t="n"/>
      <c r="AI77" s="334" t="n"/>
      <c r="AJ77" s="334" t="n"/>
      <c r="AK77" s="334" t="n"/>
      <c r="AL77" s="334" t="n"/>
      <c r="AM77" s="334" t="n"/>
      <c r="AN77" s="334" t="n"/>
      <c r="AO77" s="334" t="n"/>
      <c r="AP77" s="334" t="n"/>
      <c r="AQ77" s="334" t="n"/>
      <c r="AR77" s="334" t="n"/>
      <c r="AS77" s="334" t="n"/>
      <c r="AT77" s="335" t="n"/>
      <c r="AU77" s="289" t="n"/>
      <c r="AV77" s="322" t="n"/>
      <c r="AW77" s="322" t="n"/>
      <c r="AX77" s="322" t="n"/>
      <c r="AY77" s="288" t="n"/>
      <c r="AZ77" s="6" t="n"/>
      <c r="BD77" s="5" t="n"/>
    </row>
    <row r="78" hidden="1" ht="25" customHeight="1" thickBot="1">
      <c r="D78" s="136" t="inlineStr">
        <is>
          <t>C-N8</t>
        </is>
      </c>
      <c r="E78" s="336" t="n"/>
      <c r="F78" s="337" t="n"/>
      <c r="G78" s="337" t="n"/>
      <c r="H78" s="337" t="n"/>
      <c r="I78" s="337" t="n"/>
      <c r="J78" s="337" t="n"/>
      <c r="K78" s="337" t="n"/>
      <c r="L78" s="337" t="n"/>
      <c r="M78" s="337" t="n"/>
      <c r="N78" s="337" t="n"/>
      <c r="O78" s="337" t="n"/>
      <c r="P78" s="337" t="n"/>
      <c r="Q78" s="337" t="n"/>
      <c r="R78" s="337" t="n"/>
      <c r="S78" s="337" t="n"/>
      <c r="T78" s="337" t="n"/>
      <c r="U78" s="337" t="n"/>
      <c r="V78" s="337" t="n"/>
      <c r="W78" s="337" t="n"/>
      <c r="X78" s="337" t="n"/>
      <c r="Y78" s="337" t="n"/>
      <c r="Z78" s="337" t="n"/>
      <c r="AA78" s="337" t="n"/>
      <c r="AB78" s="337" t="n"/>
      <c r="AC78" s="337" t="n"/>
      <c r="AD78" s="337" t="n"/>
      <c r="AE78" s="337" t="n"/>
      <c r="AF78" s="337" t="n"/>
      <c r="AG78" s="337" t="n"/>
      <c r="AH78" s="337" t="n"/>
      <c r="AI78" s="337" t="n"/>
      <c r="AJ78" s="337" t="n"/>
      <c r="AK78" s="337" t="n"/>
      <c r="AL78" s="337" t="n"/>
      <c r="AM78" s="337" t="n"/>
      <c r="AN78" s="337" t="n"/>
      <c r="AO78" s="337" t="n"/>
      <c r="AP78" s="337" t="n"/>
      <c r="AQ78" s="337" t="n"/>
      <c r="AR78" s="337" t="n"/>
      <c r="AS78" s="337" t="n"/>
      <c r="AT78" s="338" t="n"/>
      <c r="AU78" s="323" t="n"/>
      <c r="AV78" s="340" t="n"/>
      <c r="AW78" s="340" t="n"/>
      <c r="AX78" s="340" t="n"/>
      <c r="AY78" s="294" t="n"/>
      <c r="AZ78" s="4" t="n"/>
      <c r="BD78" s="5" t="n"/>
    </row>
    <row r="79" hidden="1" ht="18" customHeight="1" thickBot="1">
      <c r="A79" s="3" t="inlineStr">
        <is>
          <t>x2</t>
        </is>
      </c>
      <c r="B79" s="99" t="inlineStr">
        <is>
          <t>ELECTRICAL INSPECTIONS</t>
        </is>
      </c>
      <c r="C79" s="110" t="n"/>
      <c r="D79" s="24" t="n"/>
      <c r="E79" s="163" t="n"/>
      <c r="F79" s="163" t="n"/>
      <c r="G79" s="163" t="n"/>
      <c r="H79" s="163" t="n"/>
      <c r="I79" s="163" t="n"/>
      <c r="J79" s="163" t="n"/>
      <c r="K79" s="163" t="n"/>
      <c r="L79" s="163" t="n"/>
      <c r="M79" s="163" t="n"/>
      <c r="N79" s="163" t="n"/>
      <c r="O79" s="163" t="n"/>
      <c r="P79" s="163" t="n"/>
      <c r="Q79" s="163" t="n"/>
      <c r="R79" s="163" t="n"/>
      <c r="S79" s="163" t="n"/>
      <c r="T79" s="163" t="n"/>
      <c r="U79" s="163" t="n"/>
      <c r="V79" s="163" t="n"/>
      <c r="W79" s="163" t="n"/>
      <c r="X79" s="163" t="n"/>
      <c r="Y79" s="163" t="n"/>
      <c r="Z79" s="163" t="n"/>
      <c r="AA79" s="163" t="n"/>
      <c r="AB79" s="163" t="n"/>
      <c r="AC79" s="163" t="n"/>
      <c r="AD79" s="163" t="n"/>
      <c r="AE79" s="163" t="n"/>
      <c r="AF79" s="163" t="n"/>
      <c r="AG79" s="163" t="n"/>
      <c r="AH79" s="163" t="n"/>
      <c r="AI79" s="163" t="n"/>
      <c r="AJ79" s="163" t="n"/>
      <c r="AK79" s="163" t="n"/>
      <c r="AL79" s="163" t="n"/>
      <c r="AM79" s="163" t="n"/>
      <c r="AN79" s="163" t="n"/>
      <c r="AO79" s="163" t="n"/>
      <c r="AP79" s="163" t="n"/>
      <c r="AQ79" s="163" t="n"/>
      <c r="AR79" s="163" t="n"/>
      <c r="AS79" s="163" t="n"/>
      <c r="AT79" s="163" t="n"/>
      <c r="AU79" s="24" t="n"/>
      <c r="AV79" s="50" t="n"/>
      <c r="AW79" s="50" t="n"/>
      <c r="AX79" s="24" t="n"/>
      <c r="AY79" s="50" t="n"/>
      <c r="AZ79" s="25" t="n"/>
      <c r="BD79" s="5" t="n"/>
    </row>
    <row r="80" hidden="1" ht="37" customHeight="1" thickBot="1">
      <c r="D80" s="136" t="inlineStr">
        <is>
          <t>C-E1</t>
        </is>
      </c>
      <c r="E80" s="330" t="n"/>
      <c r="F80" s="331" t="n"/>
      <c r="G80" s="331" t="n"/>
      <c r="H80" s="331" t="n"/>
      <c r="I80" s="331" t="n"/>
      <c r="J80" s="331" t="n"/>
      <c r="K80" s="331" t="n"/>
      <c r="L80" s="331" t="n"/>
      <c r="M80" s="331" t="n"/>
      <c r="N80" s="331" t="n"/>
      <c r="O80" s="331" t="n"/>
      <c r="P80" s="331" t="n"/>
      <c r="Q80" s="331" t="n"/>
      <c r="R80" s="331" t="n"/>
      <c r="S80" s="331" t="n"/>
      <c r="T80" s="331" t="n"/>
      <c r="U80" s="331" t="n"/>
      <c r="V80" s="331" t="n"/>
      <c r="W80" s="331" t="n"/>
      <c r="X80" s="331" t="n"/>
      <c r="Y80" s="331" t="n"/>
      <c r="Z80" s="331" t="n"/>
      <c r="AA80" s="331" t="n"/>
      <c r="AB80" s="331" t="n"/>
      <c r="AC80" s="331" t="n"/>
      <c r="AD80" s="331" t="n"/>
      <c r="AE80" s="331" t="n"/>
      <c r="AF80" s="331" t="n"/>
      <c r="AG80" s="331" t="n"/>
      <c r="AH80" s="331" t="n"/>
      <c r="AI80" s="331" t="n"/>
      <c r="AJ80" s="331" t="n"/>
      <c r="AK80" s="331" t="n"/>
      <c r="AL80" s="331" t="n"/>
      <c r="AM80" s="331" t="n"/>
      <c r="AN80" s="331" t="n"/>
      <c r="AO80" s="331" t="n"/>
      <c r="AP80" s="331" t="n"/>
      <c r="AQ80" s="331" t="n"/>
      <c r="AR80" s="331" t="n"/>
      <c r="AS80" s="331" t="n"/>
      <c r="AT80" s="332" t="n"/>
      <c r="AU80" s="311" t="inlineStr">
        <is>
          <t>Available Fault and Short-Circuit Current Field Marking
CEC 110.16(B), 110.24(A), 620.51(D)(1), 700.5(E)</t>
        </is>
      </c>
      <c r="AV80" s="339" t="n"/>
      <c r="AW80" s="339" t="n"/>
      <c r="AX80" s="339" t="n"/>
      <c r="AY80" s="286" t="n"/>
      <c r="AZ80" s="6" t="n"/>
      <c r="BD80" s="5" t="n"/>
    </row>
    <row r="81" hidden="1" ht="24" customHeight="1" thickBot="1">
      <c r="D81" s="136" t="inlineStr">
        <is>
          <t>C-E2</t>
        </is>
      </c>
      <c r="E81" s="333" t="n"/>
      <c r="F81" s="334" t="n"/>
      <c r="G81" s="334" t="n"/>
      <c r="H81" s="334" t="n"/>
      <c r="I81" s="334" t="n"/>
      <c r="J81" s="334" t="n"/>
      <c r="K81" s="334" t="n"/>
      <c r="L81" s="334" t="n"/>
      <c r="M81" s="334" t="n"/>
      <c r="N81" s="334" t="n"/>
      <c r="O81" s="334" t="n"/>
      <c r="P81" s="334" t="n"/>
      <c r="Q81" s="334" t="n"/>
      <c r="R81" s="334" t="n"/>
      <c r="S81" s="334" t="n"/>
      <c r="T81" s="334" t="n"/>
      <c r="U81" s="334" t="n"/>
      <c r="V81" s="334" t="n"/>
      <c r="W81" s="334" t="n"/>
      <c r="X81" s="334" t="n"/>
      <c r="Y81" s="334" t="n"/>
      <c r="Z81" s="334" t="n"/>
      <c r="AA81" s="334" t="n"/>
      <c r="AB81" s="334" t="n"/>
      <c r="AC81" s="334" t="n"/>
      <c r="AD81" s="334" t="n"/>
      <c r="AE81" s="334" t="n"/>
      <c r="AF81" s="334" t="n"/>
      <c r="AG81" s="334" t="n"/>
      <c r="AH81" s="334" t="n"/>
      <c r="AI81" s="334" t="n"/>
      <c r="AJ81" s="334" t="n"/>
      <c r="AK81" s="334" t="n"/>
      <c r="AL81" s="334" t="n"/>
      <c r="AM81" s="334" t="n"/>
      <c r="AN81" s="334" t="n"/>
      <c r="AO81" s="334" t="n"/>
      <c r="AP81" s="334" t="n"/>
      <c r="AQ81" s="334" t="n"/>
      <c r="AR81" s="334" t="n"/>
      <c r="AS81" s="334" t="n"/>
      <c r="AT81" s="335" t="n"/>
      <c r="AU81" s="289" t="n"/>
      <c r="AV81" s="322" t="n"/>
      <c r="AW81" s="322" t="n"/>
      <c r="AX81" s="322" t="n"/>
      <c r="AY81" s="288" t="n"/>
      <c r="AZ81" s="6" t="n"/>
      <c r="BD81" s="5" t="n"/>
    </row>
    <row r="82" hidden="1" ht="24" customHeight="1" thickBot="1">
      <c r="D82" s="136" t="inlineStr">
        <is>
          <t>C-E3</t>
        </is>
      </c>
      <c r="E82" s="336" t="n"/>
      <c r="F82" s="337" t="n"/>
      <c r="G82" s="337" t="n"/>
      <c r="H82" s="337" t="n"/>
      <c r="I82" s="337" t="n"/>
      <c r="J82" s="337" t="n"/>
      <c r="K82" s="337" t="n"/>
      <c r="L82" s="337" t="n"/>
      <c r="M82" s="337" t="n"/>
      <c r="N82" s="337" t="n"/>
      <c r="O82" s="337" t="n"/>
      <c r="P82" s="337" t="n"/>
      <c r="Q82" s="337" t="n"/>
      <c r="R82" s="337" t="n"/>
      <c r="S82" s="337" t="n"/>
      <c r="T82" s="337" t="n"/>
      <c r="U82" s="337" t="n"/>
      <c r="V82" s="337" t="n"/>
      <c r="W82" s="337" t="n"/>
      <c r="X82" s="337" t="n"/>
      <c r="Y82" s="337" t="n"/>
      <c r="Z82" s="337" t="n"/>
      <c r="AA82" s="337" t="n"/>
      <c r="AB82" s="337" t="n"/>
      <c r="AC82" s="337" t="n"/>
      <c r="AD82" s="337" t="n"/>
      <c r="AE82" s="337" t="n"/>
      <c r="AF82" s="337" t="n"/>
      <c r="AG82" s="337" t="n"/>
      <c r="AH82" s="337" t="n"/>
      <c r="AI82" s="337" t="n"/>
      <c r="AJ82" s="337" t="n"/>
      <c r="AK82" s="337" t="n"/>
      <c r="AL82" s="337" t="n"/>
      <c r="AM82" s="337" t="n"/>
      <c r="AN82" s="337" t="n"/>
      <c r="AO82" s="337" t="n"/>
      <c r="AP82" s="337" t="n"/>
      <c r="AQ82" s="337" t="n"/>
      <c r="AR82" s="337" t="n"/>
      <c r="AS82" s="337" t="n"/>
      <c r="AT82" s="338" t="n"/>
      <c r="AU82" s="323" t="n"/>
      <c r="AV82" s="340" t="n"/>
      <c r="AW82" s="340" t="n"/>
      <c r="AX82" s="340" t="n"/>
      <c r="AY82" s="294" t="n"/>
      <c r="AZ82" s="6" t="n"/>
      <c r="BD82" s="5" t="n"/>
    </row>
    <row r="83" hidden="1" ht="18" customHeight="1" thickBot="1">
      <c r="A83" s="3" t="inlineStr">
        <is>
          <t>x3</t>
        </is>
      </c>
      <c r="B83" s="99" t="inlineStr">
        <is>
          <t>MECHANICAL INSPECTIONS</t>
        </is>
      </c>
      <c r="C83" s="24" t="n"/>
      <c r="D83" s="85" t="n"/>
      <c r="E83" s="163" t="n"/>
      <c r="F83" s="163" t="n"/>
      <c r="G83" s="163" t="n"/>
      <c r="H83" s="163" t="n"/>
      <c r="I83" s="163" t="n"/>
      <c r="J83" s="163" t="n"/>
      <c r="K83" s="163" t="n"/>
      <c r="L83" s="163" t="n"/>
      <c r="M83" s="163" t="n"/>
      <c r="N83" s="163" t="n"/>
      <c r="O83" s="163" t="n"/>
      <c r="P83" s="163" t="n"/>
      <c r="Q83" s="163" t="n"/>
      <c r="R83" s="163" t="n"/>
      <c r="S83" s="163" t="n"/>
      <c r="T83" s="163" t="n"/>
      <c r="U83" s="163" t="n"/>
      <c r="V83" s="163" t="n"/>
      <c r="W83" s="163" t="n"/>
      <c r="X83" s="163" t="n"/>
      <c r="Y83" s="163" t="n"/>
      <c r="Z83" s="163" t="n"/>
      <c r="AA83" s="163" t="n"/>
      <c r="AB83" s="163" t="n"/>
      <c r="AC83" s="163" t="n"/>
      <c r="AD83" s="163" t="n"/>
      <c r="AE83" s="163" t="n"/>
      <c r="AF83" s="163" t="n"/>
      <c r="AG83" s="163" t="n"/>
      <c r="AH83" s="163" t="n"/>
      <c r="AI83" s="163" t="n"/>
      <c r="AJ83" s="163" t="n"/>
      <c r="AK83" s="163" t="n"/>
      <c r="AL83" s="163" t="n"/>
      <c r="AM83" s="163" t="n"/>
      <c r="AN83" s="163" t="n"/>
      <c r="AO83" s="163" t="n"/>
      <c r="AP83" s="163" t="n"/>
      <c r="AQ83" s="163" t="n"/>
      <c r="AR83" s="163" t="n"/>
      <c r="AS83" s="163" t="n"/>
      <c r="AT83" s="163" t="n"/>
      <c r="AU83" s="24" t="n"/>
      <c r="AV83" s="50" t="n"/>
      <c r="AW83" s="50" t="n"/>
      <c r="AX83" s="24" t="n"/>
      <c r="AY83" s="50" t="n"/>
      <c r="AZ83" s="25" t="n"/>
      <c r="BD83" s="5" t="n"/>
    </row>
    <row r="84" hidden="1" ht="26" customHeight="1" thickBot="1">
      <c r="D84" s="138" t="inlineStr">
        <is>
          <t>C-M1</t>
        </is>
      </c>
      <c r="E84" s="349" t="n"/>
      <c r="F84" s="331" t="n"/>
      <c r="G84" s="331" t="n"/>
      <c r="H84" s="331" t="n"/>
      <c r="I84" s="331" t="n"/>
      <c r="J84" s="331" t="n"/>
      <c r="K84" s="331" t="n"/>
      <c r="L84" s="331" t="n"/>
      <c r="M84" s="331" t="n"/>
      <c r="N84" s="331" t="n"/>
      <c r="O84" s="331" t="n"/>
      <c r="P84" s="331" t="n"/>
      <c r="Q84" s="331" t="n"/>
      <c r="R84" s="331" t="n"/>
      <c r="S84" s="331" t="n"/>
      <c r="T84" s="331" t="n"/>
      <c r="U84" s="331" t="n"/>
      <c r="V84" s="331" t="n"/>
      <c r="W84" s="331" t="n"/>
      <c r="X84" s="331" t="n"/>
      <c r="Y84" s="331" t="n"/>
      <c r="Z84" s="331" t="n"/>
      <c r="AA84" s="331" t="n"/>
      <c r="AB84" s="331" t="n"/>
      <c r="AC84" s="331" t="n"/>
      <c r="AD84" s="331" t="n"/>
      <c r="AE84" s="331" t="n"/>
      <c r="AF84" s="331" t="n"/>
      <c r="AG84" s="331" t="n"/>
      <c r="AH84" s="331" t="n"/>
      <c r="AI84" s="331" t="n"/>
      <c r="AJ84" s="331" t="n"/>
      <c r="AK84" s="331" t="n"/>
      <c r="AL84" s="331" t="n"/>
      <c r="AM84" s="331" t="n"/>
      <c r="AN84" s="331" t="n"/>
      <c r="AO84" s="331" t="n"/>
      <c r="AP84" s="331" t="n"/>
      <c r="AQ84" s="331" t="n"/>
      <c r="AR84" s="331" t="n"/>
      <c r="AS84" s="331" t="n"/>
      <c r="AT84" s="332" t="n"/>
      <c r="AU84" s="311" t="n"/>
      <c r="AV84" s="339" t="n"/>
      <c r="AW84" s="339" t="n"/>
      <c r="AX84" s="339" t="n"/>
      <c r="AY84" s="286" t="n"/>
      <c r="AZ84" s="4" t="n"/>
      <c r="BD84" s="5" t="n"/>
    </row>
    <row r="85" hidden="1" ht="26" customHeight="1" thickBot="1">
      <c r="D85" s="139" t="inlineStr">
        <is>
          <t>C-M2</t>
        </is>
      </c>
      <c r="E85" s="350" t="n"/>
      <c r="F85" s="337" t="n"/>
      <c r="G85" s="337" t="n"/>
      <c r="H85" s="337" t="n"/>
      <c r="I85" s="337" t="n"/>
      <c r="J85" s="337" t="n"/>
      <c r="K85" s="337" t="n"/>
      <c r="L85" s="337" t="n"/>
      <c r="M85" s="337" t="n"/>
      <c r="N85" s="337" t="n"/>
      <c r="O85" s="337" t="n"/>
      <c r="P85" s="337" t="n"/>
      <c r="Q85" s="337" t="n"/>
      <c r="R85" s="337" t="n"/>
      <c r="S85" s="337" t="n"/>
      <c r="T85" s="337" t="n"/>
      <c r="U85" s="337" t="n"/>
      <c r="V85" s="337" t="n"/>
      <c r="W85" s="337" t="n"/>
      <c r="X85" s="337" t="n"/>
      <c r="Y85" s="337" t="n"/>
      <c r="Z85" s="337" t="n"/>
      <c r="AA85" s="337" t="n"/>
      <c r="AB85" s="337" t="n"/>
      <c r="AC85" s="337" t="n"/>
      <c r="AD85" s="337" t="n"/>
      <c r="AE85" s="337" t="n"/>
      <c r="AF85" s="337" t="n"/>
      <c r="AG85" s="337" t="n"/>
      <c r="AH85" s="337" t="n"/>
      <c r="AI85" s="337" t="n"/>
      <c r="AJ85" s="337" t="n"/>
      <c r="AK85" s="337" t="n"/>
      <c r="AL85" s="337" t="n"/>
      <c r="AM85" s="337" t="n"/>
      <c r="AN85" s="337" t="n"/>
      <c r="AO85" s="337" t="n"/>
      <c r="AP85" s="337" t="n"/>
      <c r="AQ85" s="337" t="n"/>
      <c r="AR85" s="337" t="n"/>
      <c r="AS85" s="337" t="n"/>
      <c r="AT85" s="338" t="n"/>
      <c r="AU85" s="323" t="n"/>
      <c r="AV85" s="340" t="n"/>
      <c r="AW85" s="340" t="n"/>
      <c r="AX85" s="340" t="n"/>
      <c r="AY85" s="294" t="n"/>
      <c r="AZ85" s="4" t="n"/>
      <c r="BD85" s="5" t="n"/>
    </row>
    <row r="86" hidden="1" ht="18" customHeight="1" thickBot="1">
      <c r="A86" s="3" t="inlineStr">
        <is>
          <t>x4</t>
        </is>
      </c>
      <c r="B86" s="100" t="inlineStr">
        <is>
          <t>PLUMBING INSPECTIONS</t>
        </is>
      </c>
      <c r="C86" s="27" t="n"/>
      <c r="D86" s="27" t="n"/>
      <c r="E86" s="166" t="n"/>
      <c r="F86" s="166" t="n"/>
      <c r="G86" s="166" t="n"/>
      <c r="H86" s="166" t="n"/>
      <c r="I86" s="166" t="n"/>
      <c r="J86" s="166" t="n"/>
      <c r="K86" s="166" t="n"/>
      <c r="L86" s="166" t="n"/>
      <c r="M86" s="166" t="n"/>
      <c r="N86" s="166" t="n"/>
      <c r="O86" s="166" t="n"/>
      <c r="P86" s="166" t="n"/>
      <c r="Q86" s="166" t="n"/>
      <c r="R86" s="166" t="n"/>
      <c r="S86" s="166" t="n"/>
      <c r="T86" s="166" t="n"/>
      <c r="U86" s="166" t="n"/>
      <c r="V86" s="166" t="n"/>
      <c r="W86" s="166" t="n"/>
      <c r="X86" s="166" t="n"/>
      <c r="Y86" s="166" t="n"/>
      <c r="Z86" s="166" t="n"/>
      <c r="AA86" s="166" t="n"/>
      <c r="AB86" s="166" t="n"/>
      <c r="AC86" s="166" t="n"/>
      <c r="AD86" s="166" t="n"/>
      <c r="AE86" s="166" t="n"/>
      <c r="AF86" s="166" t="n"/>
      <c r="AG86" s="166" t="n"/>
      <c r="AH86" s="166" t="n"/>
      <c r="AI86" s="166" t="n"/>
      <c r="AJ86" s="166" t="n"/>
      <c r="AK86" s="166" t="n"/>
      <c r="AL86" s="166" t="n"/>
      <c r="AM86" s="166" t="n"/>
      <c r="AN86" s="166" t="n"/>
      <c r="AO86" s="166" t="n"/>
      <c r="AP86" s="166" t="n"/>
      <c r="AQ86" s="166" t="n"/>
      <c r="AR86" s="166" t="n"/>
      <c r="AS86" s="166" t="n"/>
      <c r="AT86" s="166" t="n"/>
      <c r="AU86" s="27" t="n"/>
      <c r="AV86" s="51" t="n"/>
      <c r="AW86" s="51" t="n"/>
      <c r="AX86" s="27" t="n"/>
      <c r="AY86" s="51" t="n"/>
      <c r="AZ86" s="28" t="n"/>
      <c r="BD86" s="5" t="n"/>
    </row>
    <row r="87" hidden="1" ht="24" customHeight="1" thickBot="1">
      <c r="D87" s="136" t="inlineStr">
        <is>
          <t>C-P1</t>
        </is>
      </c>
      <c r="E87" s="330" t="n"/>
      <c r="F87" s="331" t="n"/>
      <c r="G87" s="331" t="n"/>
      <c r="H87" s="331" t="n"/>
      <c r="I87" s="331" t="n"/>
      <c r="J87" s="331" t="n"/>
      <c r="K87" s="331" t="n"/>
      <c r="L87" s="331" t="n"/>
      <c r="M87" s="331" t="n"/>
      <c r="N87" s="331" t="n"/>
      <c r="O87" s="331" t="n"/>
      <c r="P87" s="331" t="n"/>
      <c r="Q87" s="331" t="n"/>
      <c r="R87" s="331" t="n"/>
      <c r="S87" s="331" t="n"/>
      <c r="T87" s="331" t="n"/>
      <c r="U87" s="331" t="n"/>
      <c r="V87" s="331" t="n"/>
      <c r="W87" s="331" t="n"/>
      <c r="X87" s="331" t="n"/>
      <c r="Y87" s="331" t="n"/>
      <c r="Z87" s="331" t="n"/>
      <c r="AA87" s="331" t="n"/>
      <c r="AB87" s="331" t="n"/>
      <c r="AC87" s="331" t="n"/>
      <c r="AD87" s="331" t="n"/>
      <c r="AE87" s="331" t="n"/>
      <c r="AF87" s="331" t="n"/>
      <c r="AG87" s="331" t="n"/>
      <c r="AH87" s="331" t="n"/>
      <c r="AI87" s="331" t="n"/>
      <c r="AJ87" s="331" t="n"/>
      <c r="AK87" s="331" t="n"/>
      <c r="AL87" s="331" t="n"/>
      <c r="AM87" s="331" t="n"/>
      <c r="AN87" s="331" t="n"/>
      <c r="AO87" s="331" t="n"/>
      <c r="AP87" s="331" t="n"/>
      <c r="AQ87" s="331" t="n"/>
      <c r="AR87" s="331" t="n"/>
      <c r="AS87" s="331" t="n"/>
      <c r="AT87" s="332" t="n"/>
      <c r="AU87" s="311" t="n"/>
      <c r="AV87" s="339" t="n"/>
      <c r="AW87" s="339" t="n"/>
      <c r="AX87" s="339" t="n"/>
      <c r="AY87" s="286" t="n"/>
      <c r="AZ87" s="4" t="n"/>
      <c r="BD87" s="5" t="n"/>
    </row>
    <row r="88" hidden="1" ht="24" customHeight="1" thickBot="1">
      <c r="D88" s="136" t="inlineStr">
        <is>
          <t>C-P2</t>
        </is>
      </c>
      <c r="E88" s="336" t="n"/>
      <c r="F88" s="337" t="n"/>
      <c r="G88" s="337" t="n"/>
      <c r="H88" s="337" t="n"/>
      <c r="I88" s="337" t="n"/>
      <c r="J88" s="337" t="n"/>
      <c r="K88" s="337" t="n"/>
      <c r="L88" s="337" t="n"/>
      <c r="M88" s="337" t="n"/>
      <c r="N88" s="337" t="n"/>
      <c r="O88" s="337" t="n"/>
      <c r="P88" s="337" t="n"/>
      <c r="Q88" s="337" t="n"/>
      <c r="R88" s="337" t="n"/>
      <c r="S88" s="337" t="n"/>
      <c r="T88" s="337" t="n"/>
      <c r="U88" s="337" t="n"/>
      <c r="V88" s="337" t="n"/>
      <c r="W88" s="337" t="n"/>
      <c r="X88" s="337" t="n"/>
      <c r="Y88" s="337" t="n"/>
      <c r="Z88" s="337" t="n"/>
      <c r="AA88" s="337" t="n"/>
      <c r="AB88" s="337" t="n"/>
      <c r="AC88" s="337" t="n"/>
      <c r="AD88" s="337" t="n"/>
      <c r="AE88" s="337" t="n"/>
      <c r="AF88" s="337" t="n"/>
      <c r="AG88" s="337" t="n"/>
      <c r="AH88" s="337" t="n"/>
      <c r="AI88" s="337" t="n"/>
      <c r="AJ88" s="337" t="n"/>
      <c r="AK88" s="337" t="n"/>
      <c r="AL88" s="337" t="n"/>
      <c r="AM88" s="337" t="n"/>
      <c r="AN88" s="337" t="n"/>
      <c r="AO88" s="337" t="n"/>
      <c r="AP88" s="337" t="n"/>
      <c r="AQ88" s="337" t="n"/>
      <c r="AR88" s="337" t="n"/>
      <c r="AS88" s="337" t="n"/>
      <c r="AT88" s="338" t="n"/>
      <c r="AU88" s="323" t="n"/>
      <c r="AV88" s="340" t="n"/>
      <c r="AW88" s="340" t="n"/>
      <c r="AX88" s="340" t="n"/>
      <c r="AY88" s="294" t="n"/>
      <c r="AZ88" s="4" t="n"/>
      <c r="BD88" s="5" t="n"/>
    </row>
    <row r="89" ht="18" customHeight="1" thickBot="1">
      <c r="A89" s="3" t="inlineStr">
        <is>
          <t>x5</t>
        </is>
      </c>
      <c r="B89" s="127" t="inlineStr">
        <is>
          <t>FIRE PROTECTION AND LIFE SAFETY SYSTEM SPECIAL INSPECTIONS</t>
        </is>
      </c>
      <c r="C89" s="51" t="n"/>
      <c r="D89" s="51" t="n"/>
      <c r="E89" s="167" t="n"/>
      <c r="F89" s="167" t="n"/>
      <c r="G89" s="167" t="n"/>
      <c r="H89" s="167" t="n"/>
      <c r="I89" s="167" t="n"/>
      <c r="J89" s="167" t="n"/>
      <c r="K89" s="167" t="n"/>
      <c r="L89" s="167" t="n"/>
      <c r="M89" s="167" t="n"/>
      <c r="N89" s="167" t="n"/>
      <c r="O89" s="167" t="n"/>
      <c r="P89" s="167" t="n"/>
      <c r="Q89" s="167" t="n"/>
      <c r="R89" s="167" t="n"/>
      <c r="S89" s="167" t="n"/>
      <c r="T89" s="167" t="n"/>
      <c r="U89" s="167" t="n"/>
      <c r="V89" s="167" t="n"/>
      <c r="W89" s="167" t="n"/>
      <c r="X89" s="167" t="n"/>
      <c r="Y89" s="167" t="n"/>
      <c r="Z89" s="167" t="n"/>
      <c r="AA89" s="167" t="n"/>
      <c r="AB89" s="167" t="n"/>
      <c r="AC89" s="167" t="n"/>
      <c r="AD89" s="167" t="n"/>
      <c r="AE89" s="167" t="n"/>
      <c r="AF89" s="167" t="n"/>
      <c r="AG89" s="167" t="n"/>
      <c r="AH89" s="167" t="n"/>
      <c r="AI89" s="167" t="n"/>
      <c r="AJ89" s="167" t="n"/>
      <c r="AK89" s="167" t="n"/>
      <c r="AL89" s="167" t="n"/>
      <c r="AM89" s="167" t="n"/>
      <c r="AN89" s="167" t="n"/>
      <c r="AO89" s="167" t="n"/>
      <c r="AP89" s="167" t="n"/>
      <c r="AQ89" s="167" t="n"/>
      <c r="AR89" s="167" t="n"/>
      <c r="AS89" s="167" t="n"/>
      <c r="AT89" s="167" t="n"/>
      <c r="AU89" s="51" t="n"/>
      <c r="AV89" s="51" t="n"/>
      <c r="AW89" s="51" t="n"/>
      <c r="AX89" s="51" t="n"/>
      <c r="AY89" s="51" t="n"/>
      <c r="AZ89" s="28" t="n"/>
      <c r="BD89" s="5" t="n"/>
    </row>
    <row r="90" hidden="1" ht="37" customHeight="1" thickBot="1">
      <c r="D90" s="136" t="inlineStr">
        <is>
          <t>C-FP1</t>
        </is>
      </c>
      <c r="E90" s="330" t="n"/>
      <c r="F90" s="331" t="n"/>
      <c r="G90" s="331" t="n"/>
      <c r="H90" s="331" t="n"/>
      <c r="I90" s="331" t="n"/>
      <c r="J90" s="331" t="n"/>
      <c r="K90" s="331" t="n"/>
      <c r="L90" s="331" t="n"/>
      <c r="M90" s="331" t="n"/>
      <c r="N90" s="331" t="n"/>
      <c r="O90" s="331" t="n"/>
      <c r="P90" s="331" t="n"/>
      <c r="Q90" s="331" t="n"/>
      <c r="R90" s="331" t="n"/>
      <c r="S90" s="331" t="n"/>
      <c r="T90" s="331" t="n"/>
      <c r="U90" s="331" t="n"/>
      <c r="V90" s="331" t="n"/>
      <c r="W90" s="331" t="n"/>
      <c r="X90" s="331" t="n"/>
      <c r="Y90" s="331" t="n"/>
      <c r="Z90" s="331" t="n"/>
      <c r="AA90" s="331" t="n"/>
      <c r="AB90" s="331" t="n"/>
      <c r="AC90" s="331" t="n"/>
      <c r="AD90" s="331" t="n"/>
      <c r="AE90" s="331" t="n"/>
      <c r="AF90" s="331" t="n"/>
      <c r="AG90" s="331" t="n"/>
      <c r="AH90" s="331" t="n"/>
      <c r="AI90" s="331" t="n"/>
      <c r="AJ90" s="331" t="n"/>
      <c r="AK90" s="331" t="n"/>
      <c r="AL90" s="331" t="n"/>
      <c r="AM90" s="331" t="n"/>
      <c r="AN90" s="331" t="n"/>
      <c r="AO90" s="331" t="n"/>
      <c r="AP90" s="331" t="n"/>
      <c r="AQ90" s="331" t="n"/>
      <c r="AR90" s="331" t="n"/>
      <c r="AS90" s="331" t="n"/>
      <c r="AT90" s="332" t="n"/>
      <c r="AU90" s="311" t="inlineStr">
        <is>
          <t>Sprayed fire-resistant materials
CBC 1705A.14
Spray-applied fireproofing</t>
        </is>
      </c>
      <c r="AV90" s="327" t="n"/>
      <c r="AW90" s="664" t="n"/>
      <c r="AX90" s="259" t="n"/>
      <c r="AY90" s="286" t="n"/>
      <c r="AZ90" s="6" t="n"/>
      <c r="BD90" s="5" t="n"/>
    </row>
    <row r="91" hidden="1" ht="37" customHeight="1" thickBot="1">
      <c r="D91" s="136" t="inlineStr">
        <is>
          <t>C-FP2</t>
        </is>
      </c>
      <c r="E91" s="333" t="n"/>
      <c r="F91" s="334" t="n"/>
      <c r="G91" s="334" t="n"/>
      <c r="H91" s="334" t="n"/>
      <c r="I91" s="334" t="n"/>
      <c r="J91" s="334" t="n"/>
      <c r="K91" s="334" t="n"/>
      <c r="L91" s="334" t="n"/>
      <c r="M91" s="334" t="n"/>
      <c r="N91" s="334" t="n"/>
      <c r="O91" s="334" t="n"/>
      <c r="P91" s="334" t="n"/>
      <c r="Q91" s="334" t="n"/>
      <c r="R91" s="334" t="n"/>
      <c r="S91" s="334" t="n"/>
      <c r="T91" s="334" t="n"/>
      <c r="U91" s="334" t="n"/>
      <c r="V91" s="334" t="n"/>
      <c r="W91" s="334" t="n"/>
      <c r="X91" s="334" t="n"/>
      <c r="Y91" s="334" t="n"/>
      <c r="Z91" s="334" t="n"/>
      <c r="AA91" s="334" t="n"/>
      <c r="AB91" s="334" t="n"/>
      <c r="AC91" s="334" t="n"/>
      <c r="AD91" s="334" t="n"/>
      <c r="AE91" s="334" t="n"/>
      <c r="AF91" s="334" t="n"/>
      <c r="AG91" s="334" t="n"/>
      <c r="AH91" s="334" t="n"/>
      <c r="AI91" s="334" t="n"/>
      <c r="AJ91" s="334" t="n"/>
      <c r="AK91" s="334" t="n"/>
      <c r="AL91" s="334" t="n"/>
      <c r="AM91" s="334" t="n"/>
      <c r="AN91" s="334" t="n"/>
      <c r="AO91" s="334" t="n"/>
      <c r="AP91" s="334" t="n"/>
      <c r="AQ91" s="334" t="n"/>
      <c r="AR91" s="334" t="n"/>
      <c r="AS91" s="334" t="n"/>
      <c r="AT91" s="335" t="n"/>
      <c r="AU91" s="289" t="inlineStr">
        <is>
          <t>Mastic and intumescent fire-resistant coatings
CBC 1705A.15
In accordance with AWCI 12-B</t>
        </is>
      </c>
      <c r="AV91" s="316" t="n"/>
      <c r="AW91" s="663" t="n"/>
      <c r="AX91" s="261" t="n"/>
      <c r="AY91" s="288" t="n"/>
      <c r="AZ91" s="6" t="n"/>
      <c r="BD91" s="5" t="n"/>
    </row>
    <row r="92" ht="53" customHeight="1" thickBot="1">
      <c r="D92" s="136" t="inlineStr">
        <is>
          <t>C-FP3</t>
        </is>
      </c>
      <c r="E92" s="333" t="n"/>
      <c r="F92" s="334" t="n"/>
      <c r="G92" s="334" t="n"/>
      <c r="H92" s="334" t="n"/>
      <c r="I92" s="334" t="n"/>
      <c r="J92" s="334" t="n"/>
      <c r="K92" s="334" t="n"/>
      <c r="L92" s="334" t="n"/>
      <c r="M92" s="334" t="n"/>
      <c r="N92" s="334" t="n"/>
      <c r="O92" s="334" t="n"/>
      <c r="P92" s="334" t="n"/>
      <c r="Q92" s="334" t="n"/>
      <c r="R92" s="334" t="n"/>
      <c r="S92" s="334" t="n"/>
      <c r="T92" s="280" t="n"/>
      <c r="U92" s="280" t="n"/>
      <c r="V92" s="334" t="n"/>
      <c r="W92" s="334" t="n">
        <v>1</v>
      </c>
      <c r="X92" s="334" t="n"/>
      <c r="Y92" s="334" t="n"/>
      <c r="Z92" s="334" t="n"/>
      <c r="AA92" s="334" t="n"/>
      <c r="AB92" s="334" t="n"/>
      <c r="AC92" s="334" t="n"/>
      <c r="AD92" s="334" t="n"/>
      <c r="AE92" s="334" t="n"/>
      <c r="AF92" s="334" t="n"/>
      <c r="AG92" s="334" t="n"/>
      <c r="AH92" s="334" t="n"/>
      <c r="AI92" s="334" t="n"/>
      <c r="AJ92" s="334" t="n"/>
      <c r="AK92" s="334" t="n"/>
      <c r="AL92" s="334" t="n"/>
      <c r="AM92" s="334" t="n"/>
      <c r="AN92" s="334" t="n"/>
      <c r="AO92" s="334" t="n"/>
      <c r="AP92" s="334" t="n"/>
      <c r="AQ92" s="334" t="n"/>
      <c r="AR92" s="334" t="n"/>
      <c r="AS92" s="334" t="n"/>
      <c r="AT92" s="335" t="n"/>
      <c r="AU92" s="289" t="inlineStr">
        <is>
          <t xml:space="preserve">Penetration firestops
CBC 1705A.17.1
Penetration firestop systems that are tested and listed
</t>
        </is>
      </c>
      <c r="AV92" s="316" t="inlineStr">
        <is>
          <t>X</t>
        </is>
      </c>
      <c r="AW92" s="663" t="n"/>
      <c r="AX92" s="264" t="inlineStr">
        <is>
          <t>CTS: Jim Hollingsworth, Brad Thomas, Benton Roumasset, Will Montavo, David (Geoff) St. John, Brandon Franklin</t>
        </is>
      </c>
      <c r="AY92" s="288" t="n"/>
      <c r="AZ92" s="402" t="n"/>
      <c r="BD92" s="5" t="n"/>
    </row>
    <row r="93" hidden="1" ht="37" customHeight="1" thickBot="1">
      <c r="D93" s="136" t="inlineStr">
        <is>
          <t>C-FP4</t>
        </is>
      </c>
      <c r="E93" s="333" t="n"/>
      <c r="F93" s="334" t="n"/>
      <c r="G93" s="334" t="n"/>
      <c r="H93" s="334" t="n"/>
      <c r="I93" s="334" t="n"/>
      <c r="J93" s="334" t="n"/>
      <c r="K93" s="334" t="n"/>
      <c r="L93" s="334" t="n"/>
      <c r="M93" s="334" t="n"/>
      <c r="N93" s="334" t="n"/>
      <c r="O93" s="334" t="n"/>
      <c r="P93" s="334" t="n"/>
      <c r="Q93" s="334" t="n"/>
      <c r="R93" s="334" t="n"/>
      <c r="S93" s="334" t="n"/>
      <c r="T93" s="334" t="n"/>
      <c r="U93" s="334" t="n"/>
      <c r="V93" s="334" t="n"/>
      <c r="W93" s="334" t="n"/>
      <c r="X93" s="334" t="n"/>
      <c r="Y93" s="334" t="n"/>
      <c r="Z93" s="334" t="n"/>
      <c r="AA93" s="334" t="n"/>
      <c r="AB93" s="334" t="n"/>
      <c r="AC93" s="334" t="n"/>
      <c r="AD93" s="334" t="n"/>
      <c r="AE93" s="334" t="n"/>
      <c r="AF93" s="334" t="n"/>
      <c r="AG93" s="334" t="n"/>
      <c r="AH93" s="334" t="n"/>
      <c r="AI93" s="334" t="n"/>
      <c r="AJ93" s="334" t="n"/>
      <c r="AK93" s="334" t="n"/>
      <c r="AL93" s="334" t="n"/>
      <c r="AM93" s="334" t="n"/>
      <c r="AN93" s="334" t="n"/>
      <c r="AO93" s="334" t="n"/>
      <c r="AP93" s="334" t="n"/>
      <c r="AQ93" s="334" t="n"/>
      <c r="AR93" s="334" t="n"/>
      <c r="AS93" s="334" t="n"/>
      <c r="AT93" s="335" t="n"/>
      <c r="AU93" s="289" t="inlineStr">
        <is>
          <t>Fire-resistant joint systems
CBC 1705A.17.2
Fire-resistant joint systems that are tested and listed</t>
        </is>
      </c>
      <c r="AV93" s="316" t="n"/>
      <c r="AW93" s="663" t="n"/>
      <c r="AX93" s="261" t="n"/>
      <c r="AY93" s="288" t="n"/>
      <c r="AZ93" s="6" t="n"/>
      <c r="BD93" s="5" t="n"/>
    </row>
    <row r="94" hidden="1" ht="37" customHeight="1" thickBot="1">
      <c r="D94" s="136" t="inlineStr">
        <is>
          <t>C-FP5</t>
        </is>
      </c>
      <c r="E94" s="333" t="n"/>
      <c r="F94" s="334" t="n"/>
      <c r="G94" s="334" t="n"/>
      <c r="H94" s="334" t="n"/>
      <c r="I94" s="334" t="n"/>
      <c r="J94" s="334" t="n"/>
      <c r="K94" s="334" t="n"/>
      <c r="L94" s="334" t="n"/>
      <c r="M94" s="334" t="n"/>
      <c r="N94" s="334" t="n"/>
      <c r="O94" s="334" t="n"/>
      <c r="P94" s="334" t="n"/>
      <c r="Q94" s="334" t="n"/>
      <c r="R94" s="334" t="n"/>
      <c r="S94" s="334" t="n"/>
      <c r="T94" s="334" t="n"/>
      <c r="U94" s="334" t="n"/>
      <c r="V94" s="334" t="n"/>
      <c r="W94" s="334" t="n"/>
      <c r="X94" s="334" t="n"/>
      <c r="Y94" s="334" t="n"/>
      <c r="Z94" s="334" t="n"/>
      <c r="AA94" s="334" t="n"/>
      <c r="AB94" s="334" t="n"/>
      <c r="AC94" s="334" t="n"/>
      <c r="AD94" s="334" t="n"/>
      <c r="AE94" s="334" t="n"/>
      <c r="AF94" s="334" t="n"/>
      <c r="AG94" s="334" t="n"/>
      <c r="AH94" s="334" t="n"/>
      <c r="AI94" s="334" t="n"/>
      <c r="AJ94" s="334" t="n"/>
      <c r="AK94" s="334" t="n"/>
      <c r="AL94" s="334" t="n"/>
      <c r="AM94" s="334" t="n"/>
      <c r="AN94" s="334" t="n"/>
      <c r="AO94" s="334" t="n"/>
      <c r="AP94" s="334" t="n"/>
      <c r="AQ94" s="334" t="n"/>
      <c r="AR94" s="334" t="n"/>
      <c r="AS94" s="334" t="n"/>
      <c r="AT94" s="335" t="n"/>
      <c r="AU94" s="289" t="inlineStr">
        <is>
          <t>Smoke control systems
CFC 909.18.8 &amp; CBC 170.17 &amp; 1705A.18
Ductwork and operation</t>
        </is>
      </c>
      <c r="AV94" s="316" t="n"/>
      <c r="AW94" s="663" t="n"/>
      <c r="AX94" s="261" t="n"/>
      <c r="AY94" s="288" t="n"/>
      <c r="AZ94" s="6" t="n"/>
      <c r="BD94" s="5" t="n"/>
    </row>
    <row r="95" hidden="1" ht="37" customHeight="1" thickBot="1">
      <c r="D95" s="136" t="inlineStr">
        <is>
          <t>C-FP6</t>
        </is>
      </c>
      <c r="E95" s="333" t="n"/>
      <c r="F95" s="334" t="n"/>
      <c r="G95" s="334" t="n"/>
      <c r="H95" s="334" t="n"/>
      <c r="I95" s="334" t="n"/>
      <c r="J95" s="334" t="n"/>
      <c r="K95" s="334" t="n"/>
      <c r="L95" s="334" t="n"/>
      <c r="M95" s="334" t="n"/>
      <c r="N95" s="334" t="n"/>
      <c r="O95" s="334" t="n"/>
      <c r="P95" s="334" t="n"/>
      <c r="Q95" s="334" t="n"/>
      <c r="R95" s="334" t="n"/>
      <c r="S95" s="334" t="n"/>
      <c r="T95" s="334" t="n"/>
      <c r="U95" s="334" t="n"/>
      <c r="V95" s="334" t="n"/>
      <c r="W95" s="334" t="n"/>
      <c r="X95" s="334" t="n"/>
      <c r="Y95" s="334" t="n"/>
      <c r="Z95" s="334" t="n"/>
      <c r="AA95" s="334" t="n"/>
      <c r="AB95" s="334" t="n"/>
      <c r="AC95" s="334" t="n"/>
      <c r="AD95" s="334" t="n"/>
      <c r="AE95" s="334" t="n"/>
      <c r="AF95" s="334" t="n"/>
      <c r="AG95" s="334" t="n"/>
      <c r="AH95" s="334" t="n"/>
      <c r="AI95" s="334" t="n"/>
      <c r="AJ95" s="334" t="n"/>
      <c r="AK95" s="334" t="n"/>
      <c r="AL95" s="334" t="n"/>
      <c r="AM95" s="334" t="n"/>
      <c r="AN95" s="334" t="n"/>
      <c r="AO95" s="334" t="n"/>
      <c r="AP95" s="334" t="n"/>
      <c r="AQ95" s="334" t="n"/>
      <c r="AR95" s="334" t="n"/>
      <c r="AS95" s="334" t="n"/>
      <c r="AT95" s="335" t="n"/>
      <c r="AU95" s="289" t="inlineStr">
        <is>
          <t>Sprinkler system piping
NFPA 13-2016 § 6.5.2
Welded pipe and fittings</t>
        </is>
      </c>
      <c r="AV95" s="316" t="n"/>
      <c r="AW95" s="663" t="n"/>
      <c r="AX95" s="261" t="n"/>
      <c r="AY95" s="288" t="n"/>
      <c r="AZ95" s="6" t="n"/>
      <c r="BD95" s="5" t="n"/>
    </row>
    <row r="96" hidden="1" ht="37" customHeight="1" thickBot="1">
      <c r="D96" s="136" t="inlineStr">
        <is>
          <t>C-FP7</t>
        </is>
      </c>
      <c r="E96" s="333" t="n"/>
      <c r="F96" s="334" t="n"/>
      <c r="G96" s="334" t="n"/>
      <c r="H96" s="334" t="n"/>
      <c r="I96" s="334" t="n"/>
      <c r="J96" s="334" t="n"/>
      <c r="K96" s="334" t="n"/>
      <c r="L96" s="334" t="n"/>
      <c r="M96" s="334" t="n"/>
      <c r="N96" s="334" t="n"/>
      <c r="O96" s="334" t="n"/>
      <c r="P96" s="334" t="n"/>
      <c r="Q96" s="334" t="n"/>
      <c r="R96" s="334" t="n"/>
      <c r="S96" s="334" t="n"/>
      <c r="T96" s="334" t="n"/>
      <c r="U96" s="334" t="n"/>
      <c r="V96" s="334" t="n"/>
      <c r="W96" s="334" t="n"/>
      <c r="X96" s="334" t="n"/>
      <c r="Y96" s="334" t="n"/>
      <c r="Z96" s="334" t="n"/>
      <c r="AA96" s="334" t="n"/>
      <c r="AB96" s="334" t="n"/>
      <c r="AC96" s="334" t="n"/>
      <c r="AD96" s="334" t="n"/>
      <c r="AE96" s="334" t="n"/>
      <c r="AF96" s="334" t="n"/>
      <c r="AG96" s="334" t="n"/>
      <c r="AH96" s="334" t="n"/>
      <c r="AI96" s="334" t="n"/>
      <c r="AJ96" s="334" t="n"/>
      <c r="AK96" s="334" t="n"/>
      <c r="AL96" s="334" t="n"/>
      <c r="AM96" s="334" t="n"/>
      <c r="AN96" s="334" t="n"/>
      <c r="AO96" s="334" t="n"/>
      <c r="AP96" s="334" t="n"/>
      <c r="AQ96" s="334" t="n"/>
      <c r="AR96" s="334" t="n"/>
      <c r="AS96" s="334" t="n"/>
      <c r="AT96" s="335" t="n"/>
      <c r="AU96" s="289" t="inlineStr">
        <is>
          <t>Standpipe system piping
NFPA 14-2016 § 4.4.2
Welded pipe and fittings</t>
        </is>
      </c>
      <c r="AV96" s="316" t="n"/>
      <c r="AW96" s="663" t="n"/>
      <c r="AX96" s="261" t="n"/>
      <c r="AY96" s="288" t="n"/>
      <c r="AZ96" s="6" t="n"/>
      <c r="BD96" s="5" t="n"/>
    </row>
    <row r="97" hidden="1" ht="29" customHeight="1" thickBot="1">
      <c r="D97" s="136" t="inlineStr">
        <is>
          <t>C-FP8</t>
        </is>
      </c>
      <c r="E97" s="333" t="n"/>
      <c r="F97" s="334" t="n"/>
      <c r="G97" s="334" t="n"/>
      <c r="H97" s="334" t="n"/>
      <c r="I97" s="334" t="n"/>
      <c r="J97" s="334" t="n"/>
      <c r="K97" s="334" t="n"/>
      <c r="L97" s="334" t="n"/>
      <c r="M97" s="334" t="n"/>
      <c r="N97" s="334" t="n"/>
      <c r="O97" s="334" t="n"/>
      <c r="P97" s="334" t="n"/>
      <c r="Q97" s="334" t="n"/>
      <c r="R97" s="334" t="n"/>
      <c r="S97" s="334" t="n"/>
      <c r="T97" s="334" t="n"/>
      <c r="U97" s="334" t="n"/>
      <c r="V97" s="334" t="n"/>
      <c r="W97" s="334" t="n"/>
      <c r="X97" s="334" t="n"/>
      <c r="Y97" s="334" t="n"/>
      <c r="Z97" s="334" t="n"/>
      <c r="AA97" s="334" t="n"/>
      <c r="AB97" s="334" t="n"/>
      <c r="AC97" s="334" t="n"/>
      <c r="AD97" s="334" t="n"/>
      <c r="AE97" s="334" t="n"/>
      <c r="AF97" s="334" t="n"/>
      <c r="AG97" s="334" t="n"/>
      <c r="AH97" s="334" t="n"/>
      <c r="AI97" s="334" t="n"/>
      <c r="AJ97" s="334" t="n"/>
      <c r="AK97" s="334" t="n"/>
      <c r="AL97" s="334" t="n"/>
      <c r="AM97" s="334" t="n"/>
      <c r="AN97" s="334" t="n"/>
      <c r="AO97" s="334" t="n"/>
      <c r="AP97" s="334" t="n"/>
      <c r="AQ97" s="334" t="n"/>
      <c r="AR97" s="334" t="n"/>
      <c r="AS97" s="334" t="n"/>
      <c r="AT97" s="335" t="n"/>
      <c r="AU97" s="289" t="n"/>
      <c r="AV97" s="322" t="n"/>
      <c r="AW97" s="322" t="n"/>
      <c r="AX97" s="322" t="n"/>
      <c r="AY97" s="288" t="n"/>
      <c r="AZ97" s="6" t="n"/>
      <c r="BD97" s="5" t="n"/>
    </row>
    <row r="98" hidden="1" ht="29" customHeight="1" thickBot="1">
      <c r="D98" s="136" t="inlineStr">
        <is>
          <t>C-FP9</t>
        </is>
      </c>
      <c r="E98" s="336" t="n"/>
      <c r="F98" s="337" t="n"/>
      <c r="G98" s="337" t="n"/>
      <c r="H98" s="337" t="n"/>
      <c r="I98" s="337" t="n"/>
      <c r="J98" s="337" t="n"/>
      <c r="K98" s="337" t="n"/>
      <c r="L98" s="337" t="n"/>
      <c r="M98" s="337" t="n"/>
      <c r="N98" s="337" t="n"/>
      <c r="O98" s="337" t="n"/>
      <c r="P98" s="337" t="n"/>
      <c r="Q98" s="337" t="n"/>
      <c r="R98" s="337" t="n"/>
      <c r="S98" s="337" t="n"/>
      <c r="T98" s="337" t="n"/>
      <c r="U98" s="337" t="n"/>
      <c r="V98" s="337" t="n"/>
      <c r="W98" s="337" t="n"/>
      <c r="X98" s="337" t="n"/>
      <c r="Y98" s="337" t="n"/>
      <c r="Z98" s="337" t="n"/>
      <c r="AA98" s="337" t="n"/>
      <c r="AB98" s="337" t="n"/>
      <c r="AC98" s="337" t="n"/>
      <c r="AD98" s="337" t="n"/>
      <c r="AE98" s="337" t="n"/>
      <c r="AF98" s="337" t="n"/>
      <c r="AG98" s="337" t="n"/>
      <c r="AH98" s="337" t="n"/>
      <c r="AI98" s="337" t="n"/>
      <c r="AJ98" s="337" t="n"/>
      <c r="AK98" s="337" t="n"/>
      <c r="AL98" s="337" t="n"/>
      <c r="AM98" s="337" t="n"/>
      <c r="AN98" s="337" t="n"/>
      <c r="AO98" s="337" t="n"/>
      <c r="AP98" s="337" t="n"/>
      <c r="AQ98" s="337" t="n"/>
      <c r="AR98" s="337" t="n"/>
      <c r="AS98" s="337" t="n"/>
      <c r="AT98" s="338" t="n"/>
      <c r="AU98" s="323" t="n"/>
      <c r="AV98" s="340" t="n"/>
      <c r="AW98" s="340" t="n"/>
      <c r="AX98" s="340" t="n"/>
      <c r="AY98" s="294" t="n"/>
      <c r="AZ98" s="6" t="n"/>
      <c r="BD98" s="5" t="n"/>
    </row>
    <row r="99" ht="18" customHeight="1" thickBot="1">
      <c r="A99" s="3" t="inlineStr">
        <is>
          <t>x6</t>
        </is>
      </c>
      <c r="B99" s="100" t="inlineStr">
        <is>
          <t>OTHER SPECIAL INSPECTIONS</t>
        </is>
      </c>
      <c r="C99" s="27" t="n"/>
      <c r="D99" s="27" t="n"/>
      <c r="E99" s="163" t="n"/>
      <c r="F99" s="163" t="n"/>
      <c r="G99" s="163" t="n"/>
      <c r="H99" s="163" t="n"/>
      <c r="I99" s="163" t="n"/>
      <c r="J99" s="163" t="n"/>
      <c r="K99" s="163" t="n"/>
      <c r="L99" s="163" t="n"/>
      <c r="M99" s="163" t="n"/>
      <c r="N99" s="163" t="n"/>
      <c r="O99" s="163" t="n"/>
      <c r="P99" s="163" t="n"/>
      <c r="Q99" s="163" t="n"/>
      <c r="R99" s="163" t="n"/>
      <c r="S99" s="163" t="n"/>
      <c r="T99" s="163" t="n"/>
      <c r="U99" s="163" t="n"/>
      <c r="V99" s="163" t="n"/>
      <c r="W99" s="163" t="n"/>
      <c r="X99" s="163" t="n"/>
      <c r="Y99" s="163" t="n"/>
      <c r="Z99" s="163" t="n"/>
      <c r="AA99" s="163" t="n"/>
      <c r="AB99" s="163" t="n"/>
      <c r="AC99" s="163" t="n"/>
      <c r="AD99" s="163" t="n"/>
      <c r="AE99" s="163" t="n"/>
      <c r="AF99" s="163" t="n"/>
      <c r="AG99" s="163" t="n"/>
      <c r="AH99" s="163" t="n"/>
      <c r="AI99" s="163" t="n"/>
      <c r="AJ99" s="163" t="n"/>
      <c r="AK99" s="163" t="n"/>
      <c r="AL99" s="163" t="n"/>
      <c r="AM99" s="163" t="n"/>
      <c r="AN99" s="163" t="n"/>
      <c r="AO99" s="163" t="n"/>
      <c r="AP99" s="163" t="n"/>
      <c r="AQ99" s="163" t="n"/>
      <c r="AR99" s="163" t="n"/>
      <c r="AS99" s="163" t="n"/>
      <c r="AT99" s="163" t="n"/>
      <c r="AU99" s="27" t="n"/>
      <c r="AV99" s="51" t="n"/>
      <c r="AW99" s="51" t="n"/>
      <c r="AX99" s="27" t="n"/>
      <c r="AY99" s="51" t="n"/>
      <c r="AZ99" s="28" t="n"/>
      <c r="BD99" s="5" t="n"/>
    </row>
    <row r="100" ht="49.75" customHeight="1" thickBot="1">
      <c r="D100" s="136" t="inlineStr">
        <is>
          <t>C-OT1</t>
        </is>
      </c>
      <c r="E100" s="330" t="n"/>
      <c r="F100" s="331" t="n"/>
      <c r="G100" s="331" t="n"/>
      <c r="H100" s="331" t="n"/>
      <c r="I100" s="331" t="inlineStr">
        <is>
          <t>X</t>
        </is>
      </c>
      <c r="J100" s="331" t="n"/>
      <c r="K100" s="331" t="n"/>
      <c r="L100" s="331" t="n"/>
      <c r="M100" s="331" t="inlineStr">
        <is>
          <t>X</t>
        </is>
      </c>
      <c r="N100" s="331" t="inlineStr">
        <is>
          <t>X</t>
        </is>
      </c>
      <c r="O100" s="331" t="n"/>
      <c r="P100" s="331" t="inlineStr">
        <is>
          <t>X</t>
        </is>
      </c>
      <c r="Q100" s="331" t="n"/>
      <c r="R100" s="331" t="inlineStr">
        <is>
          <t>X</t>
        </is>
      </c>
      <c r="S100" s="331" t="n"/>
      <c r="T100" s="331" t="n"/>
      <c r="U100" s="331" t="n"/>
      <c r="V100" s="331" t="n"/>
      <c r="W100" s="331" t="n">
        <v>1</v>
      </c>
      <c r="X100" s="331" t="n"/>
      <c r="Y100" s="331" t="n"/>
      <c r="Z100" s="331" t="n">
        <v>1</v>
      </c>
      <c r="AA100" s="331" t="n"/>
      <c r="AB100" s="331" t="n"/>
      <c r="AC100" s="331" t="n"/>
      <c r="AD100" s="331" t="n"/>
      <c r="AE100" s="331" t="n"/>
      <c r="AF100" s="331" t="n"/>
      <c r="AG100" s="331" t="n"/>
      <c r="AH100" s="331" t="n"/>
      <c r="AI100" s="331" t="n"/>
      <c r="AJ100" s="331" t="n"/>
      <c r="AK100" s="331" t="n"/>
      <c r="AL100" s="331" t="n"/>
      <c r="AM100" s="331" t="n"/>
      <c r="AN100" s="331" t="n"/>
      <c r="AO100" s="331" t="n"/>
      <c r="AP100" s="331" t="n"/>
      <c r="AQ100" s="331" t="n"/>
      <c r="AR100" s="331" t="n"/>
      <c r="AS100" s="331" t="n"/>
      <c r="AT100" s="332" t="n"/>
      <c r="AU100" s="311" t="inlineStr">
        <is>
          <t>Waterproofing
CBC 1805A.3; Specification 071360; Contract drawings
Waterproofing installation</t>
        </is>
      </c>
      <c r="AV100" s="316" t="inlineStr">
        <is>
          <t>X</t>
        </is>
      </c>
      <c r="AW100" s="339" t="n"/>
      <c r="AX100" s="339" t="inlineStr">
        <is>
          <t>IOR</t>
        </is>
      </c>
      <c r="AY100" s="286" t="n"/>
      <c r="AZ100" s="400" t="n"/>
      <c r="BD100" s="5" t="n"/>
    </row>
    <row r="101" ht="55.25" customHeight="1" thickBot="1">
      <c r="D101" s="136" t="inlineStr">
        <is>
          <t>C-OT2</t>
        </is>
      </c>
      <c r="E101" s="333" t="n"/>
      <c r="F101" s="334" t="n"/>
      <c r="G101" s="334" t="n"/>
      <c r="H101" s="334" t="n"/>
      <c r="I101" s="334" t="inlineStr">
        <is>
          <t>X</t>
        </is>
      </c>
      <c r="J101" s="334" t="n"/>
      <c r="K101" s="334" t="n"/>
      <c r="L101" s="334" t="n"/>
      <c r="M101" s="334" t="n"/>
      <c r="N101" s="334" t="n"/>
      <c r="O101" s="334" t="n"/>
      <c r="P101" s="334" t="n"/>
      <c r="Q101" s="334" t="n"/>
      <c r="R101" s="334" t="n"/>
      <c r="S101" s="334" t="n"/>
      <c r="T101" s="334" t="n"/>
      <c r="U101" s="334" t="n"/>
      <c r="V101" s="334" t="n">
        <v>1</v>
      </c>
      <c r="W101" s="334" t="n"/>
      <c r="X101" s="334" t="n"/>
      <c r="Y101" s="334" t="n"/>
      <c r="Z101" s="334" t="n"/>
      <c r="AA101" s="334" t="n"/>
      <c r="AB101" s="334" t="n"/>
      <c r="AC101" s="334" t="n"/>
      <c r="AD101" s="334" t="n"/>
      <c r="AE101" s="334" t="n">
        <v>1</v>
      </c>
      <c r="AF101" s="334" t="n"/>
      <c r="AG101" s="334" t="n">
        <v>1</v>
      </c>
      <c r="AH101" s="334" t="n"/>
      <c r="AI101" s="334" t="n"/>
      <c r="AJ101" s="334" t="n"/>
      <c r="AK101" s="334" t="n">
        <v>1</v>
      </c>
      <c r="AL101" s="334" t="n"/>
      <c r="AM101" s="334" t="n"/>
      <c r="AN101" s="334" t="n"/>
      <c r="AO101" s="334" t="n"/>
      <c r="AP101" s="334" t="n"/>
      <c r="AQ101" s="334" t="n"/>
      <c r="AR101" s="334" t="n"/>
      <c r="AS101" s="334" t="n"/>
      <c r="AT101" s="335" t="n"/>
      <c r="AU101" s="289" t="inlineStr">
        <is>
          <t>Dampproofing
CBC 1805A.2; Specification 031500; Contract drawings
Vapor barrier installation</t>
        </is>
      </c>
      <c r="AV101" s="316" t="inlineStr">
        <is>
          <t>X</t>
        </is>
      </c>
      <c r="AW101" s="322" t="n"/>
      <c r="AX101" s="322" t="inlineStr">
        <is>
          <t>IOR</t>
        </is>
      </c>
      <c r="AY101" s="288" t="n"/>
      <c r="AZ101" s="400" t="n"/>
      <c r="BD101" s="5" t="n"/>
    </row>
    <row r="102" ht="67.25" customHeight="1" thickBot="1">
      <c r="D102" s="136" t="inlineStr">
        <is>
          <t>C-OT3</t>
        </is>
      </c>
      <c r="E102" s="333" t="n"/>
      <c r="F102" s="334" t="n"/>
      <c r="G102" s="334" t="n"/>
      <c r="H102" s="334" t="n"/>
      <c r="I102" s="334" t="n"/>
      <c r="J102" s="334" t="inlineStr">
        <is>
          <t>X</t>
        </is>
      </c>
      <c r="K102" s="334" t="n"/>
      <c r="L102" s="334" t="n"/>
      <c r="M102" s="334" t="n"/>
      <c r="N102" s="334" t="n"/>
      <c r="O102" s="334" t="n"/>
      <c r="P102" s="334" t="n"/>
      <c r="Q102" s="334" t="n"/>
      <c r="R102" s="334" t="n">
        <v>1</v>
      </c>
      <c r="S102" s="334" t="n"/>
      <c r="T102" s="334" t="inlineStr">
        <is>
          <t>X</t>
        </is>
      </c>
      <c r="U102" s="334" t="n"/>
      <c r="V102" s="334" t="n"/>
      <c r="W102" s="334" t="n"/>
      <c r="X102" s="334" t="n"/>
      <c r="Y102" s="334" t="n"/>
      <c r="Z102" s="334" t="n"/>
      <c r="AA102" s="334" t="n"/>
      <c r="AB102" s="334" t="n"/>
      <c r="AC102" s="334" t="n"/>
      <c r="AD102" s="334" t="n"/>
      <c r="AE102" s="334" t="n"/>
      <c r="AF102" s="334" t="n"/>
      <c r="AG102" s="334" t="n"/>
      <c r="AH102" s="334" t="n"/>
      <c r="AI102" s="334" t="n"/>
      <c r="AJ102" s="334" t="n"/>
      <c r="AK102" s="334" t="n"/>
      <c r="AL102" s="334" t="n"/>
      <c r="AM102" s="334" t="n"/>
      <c r="AN102" s="334" t="inlineStr">
        <is>
          <t>X</t>
        </is>
      </c>
      <c r="AO102" s="334" t="n"/>
      <c r="AP102" s="334" t="inlineStr">
        <is>
          <t>X</t>
        </is>
      </c>
      <c r="AQ102" s="334" t="n"/>
      <c r="AR102" s="334" t="inlineStr">
        <is>
          <t>X</t>
        </is>
      </c>
      <c r="AS102" s="334" t="n"/>
      <c r="AT102" s="335" t="n"/>
      <c r="AU102" s="289" t="inlineStr">
        <is>
          <t>Subsoil Drainage System
CBC 1805A.1.3 &amp; 1805A.4; Specification 334600; Contract drawings
Installation of subsoil drainage system</t>
        </is>
      </c>
      <c r="AV102" s="316" t="inlineStr">
        <is>
          <t>X</t>
        </is>
      </c>
      <c r="AW102" s="322" t="n"/>
      <c r="AX102" s="322" t="inlineStr">
        <is>
          <t>IOR</t>
        </is>
      </c>
      <c r="AY102" s="288" t="n"/>
      <c r="AZ102" s="400" t="n"/>
      <c r="BD102" s="5" t="n"/>
    </row>
    <row r="103" ht="55.25" customHeight="1" thickBot="1">
      <c r="D103" s="136" t="inlineStr">
        <is>
          <t>C-OT4</t>
        </is>
      </c>
      <c r="E103" s="351" t="n"/>
      <c r="F103" s="352" t="n"/>
      <c r="G103" s="352" t="n"/>
      <c r="H103" s="352" t="n"/>
      <c r="I103" s="352" t="n"/>
      <c r="J103" s="352" t="n"/>
      <c r="K103" s="352" t="n"/>
      <c r="L103" s="352" t="n"/>
      <c r="M103" s="352" t="n"/>
      <c r="N103" s="352" t="n"/>
      <c r="O103" s="352" t="n"/>
      <c r="P103" s="352" t="inlineStr">
        <is>
          <t>X</t>
        </is>
      </c>
      <c r="Q103" s="352" t="n"/>
      <c r="R103" s="352" t="n"/>
      <c r="S103" s="352" t="n"/>
      <c r="T103" s="352" t="n"/>
      <c r="U103" s="352" t="n"/>
      <c r="V103" s="352" t="n"/>
      <c r="W103" s="352" t="n">
        <v>1</v>
      </c>
      <c r="X103" s="352" t="n"/>
      <c r="Y103" s="352" t="n"/>
      <c r="Z103" s="352" t="n"/>
      <c r="AA103" s="352" t="n"/>
      <c r="AB103" s="352" t="n"/>
      <c r="AC103" s="352" t="n"/>
      <c r="AD103" s="352" t="n"/>
      <c r="AE103" s="352" t="n"/>
      <c r="AF103" s="352" t="n"/>
      <c r="AG103" s="352" t="n"/>
      <c r="AH103" s="352" t="n"/>
      <c r="AI103" s="352" t="n"/>
      <c r="AJ103" s="352" t="n"/>
      <c r="AK103" s="352" t="n"/>
      <c r="AL103" s="352" t="n"/>
      <c r="AM103" s="352" t="n"/>
      <c r="AN103" s="352" t="n"/>
      <c r="AO103" s="352" t="n"/>
      <c r="AP103" s="352" t="n"/>
      <c r="AQ103" s="352" t="n"/>
      <c r="AR103" s="352" t="n"/>
      <c r="AS103" s="352" t="n"/>
      <c r="AT103" s="353" t="n"/>
      <c r="AU103" s="289" t="inlineStr">
        <is>
          <t>Wall Drainage
CBC  1805A.4.2 Specification 071360; Contract Drawings 
Installation of foundation 
drainage composite</t>
        </is>
      </c>
      <c r="AV103" s="663" t="inlineStr">
        <is>
          <t>X</t>
        </is>
      </c>
      <c r="AW103" s="322" t="n"/>
      <c r="AX103" s="322" t="inlineStr">
        <is>
          <t>IOR</t>
        </is>
      </c>
      <c r="AY103" s="288" t="n"/>
      <c r="AZ103" s="400" t="n"/>
      <c r="BB103" s="2" t="inlineStr">
        <is>
          <t>*confirm OSHPD signoff for C-OT4</t>
        </is>
      </c>
      <c r="BD103" s="5" t="n"/>
    </row>
    <row r="104" ht="20" customHeight="1">
      <c r="BD104" s="5" t="n"/>
    </row>
    <row r="105">
      <c r="E105" s="2">
        <f>SUM(E7:E104)</f>
        <v/>
      </c>
      <c r="F105" s="2">
        <f>SUM(F7:F104)</f>
        <v/>
      </c>
      <c r="G105" s="2">
        <f>SUM(G7:G104)</f>
        <v/>
      </c>
      <c r="H105" s="2">
        <f>SUM(H7:H104)</f>
        <v/>
      </c>
      <c r="I105" s="2">
        <f>SUM(I7:I104)</f>
        <v/>
      </c>
      <c r="J105" s="2">
        <f>SUM(J7:J104)</f>
        <v/>
      </c>
      <c r="K105" s="2">
        <f>SUM(K7:K104)</f>
        <v/>
      </c>
      <c r="L105" s="2">
        <f>SUM(L7:L104)</f>
        <v/>
      </c>
      <c r="M105" s="2">
        <f>SUM(M7:M104)</f>
        <v/>
      </c>
      <c r="N105" s="2">
        <f>SUM(N7:N104)</f>
        <v/>
      </c>
      <c r="O105" s="2">
        <f>SUM(O7:O104)</f>
        <v/>
      </c>
      <c r="P105" s="2">
        <f>SUM(P7:P104)</f>
        <v/>
      </c>
      <c r="Q105" s="2">
        <f>SUM(Q7:Q104)</f>
        <v/>
      </c>
      <c r="R105" s="2">
        <f>SUM(R7:R104)</f>
        <v/>
      </c>
      <c r="S105" s="2">
        <f>SUM(S7:S104)</f>
        <v/>
      </c>
      <c r="T105" s="2">
        <f>SUM(T7:T104)</f>
        <v/>
      </c>
      <c r="U105" s="2">
        <f>SUM(U7:U104)</f>
        <v/>
      </c>
      <c r="V105" s="2">
        <f>SUM(V7:V104)</f>
        <v/>
      </c>
      <c r="W105" s="2">
        <f>SUM(W7:W104)</f>
        <v/>
      </c>
      <c r="X105" s="2">
        <f>SUM(X7:X104)</f>
        <v/>
      </c>
      <c r="Y105" s="2">
        <f>SUM(Y7:Y104)</f>
        <v/>
      </c>
      <c r="Z105" s="2">
        <f>SUM(Z7:Z104)</f>
        <v/>
      </c>
      <c r="AA105" s="2">
        <f>SUM(AA7:AA104)</f>
        <v/>
      </c>
      <c r="AB105" s="2">
        <f>SUM(AB7:AB104)</f>
        <v/>
      </c>
      <c r="AC105" s="2">
        <f>SUM(AC7:AC104)</f>
        <v/>
      </c>
      <c r="AD105" s="2">
        <f>SUM(AD7:AD104)</f>
        <v/>
      </c>
      <c r="AE105" s="2">
        <f>SUM(AE7:AE104)</f>
        <v/>
      </c>
      <c r="AF105" s="2">
        <f>SUM(AF7:AF104)</f>
        <v/>
      </c>
      <c r="AG105" s="2">
        <f>SUM(AG7:AG104)</f>
        <v/>
      </c>
      <c r="AH105" s="2">
        <f>SUM(AH7:AH104)</f>
        <v/>
      </c>
      <c r="AI105" s="2">
        <f>SUM(AI7:AI104)</f>
        <v/>
      </c>
      <c r="AJ105" s="2">
        <f>SUM(AJ7:AJ104)</f>
        <v/>
      </c>
      <c r="AK105" s="2">
        <f>SUM(AK7:AK104)</f>
        <v/>
      </c>
      <c r="AL105" s="2">
        <f>SUM(AL7:AL104)</f>
        <v/>
      </c>
      <c r="AM105" s="2">
        <f>SUM(AM7:AM104)</f>
        <v/>
      </c>
      <c r="AN105" s="2">
        <f>SUM(AN7:AN104)</f>
        <v/>
      </c>
      <c r="AO105" s="2">
        <f>SUM(AO7:AO104)</f>
        <v/>
      </c>
      <c r="AP105" s="2">
        <f>SUM(AP7:AP104)</f>
        <v/>
      </c>
      <c r="AQ105" s="2">
        <f>SUM(AQ7:AQ104)</f>
        <v/>
      </c>
      <c r="AR105" s="2">
        <f>SUM(AR7:AR104)</f>
        <v/>
      </c>
      <c r="AS105" s="2">
        <f>SUM(AS7:AS104)</f>
        <v/>
      </c>
      <c r="AT105" s="2">
        <f>SUM(AT7:AT104)</f>
        <v/>
      </c>
      <c r="AU105" s="2">
        <f>SUM(E105:AT105)</f>
        <v/>
      </c>
    </row>
  </sheetData>
  <sheetProtection selectLockedCells="0" selectUnlockedCells="0" algorithmName="SHA-512" sheet="1" objects="1" insertRows="0" insertHyperlinks="1" autoFilter="1" scenarios="0" formatColumns="0" deleteColumns="1" insertColumns="1" pivotTables="1" deleteRows="0" formatCells="0" saltValue="ma8l0FRSFRHgfJJV1a2XOg==" formatRows="0" sort="1" spinCount="100000" hashValue="joJo91yyD4K0yULdZihw9x/YMzCo5rfUwnR/RFMAHegZJaCKrnSjaIimGpKDJ5QLzMSey3SH+ONX6kXmLprPvA=="/>
  <mergeCells count="9">
    <mergeCell ref="AV3:AZ3"/>
    <mergeCell ref="D3:AT3"/>
    <mergeCell ref="D1:AU1"/>
    <mergeCell ref="AV1:AZ1"/>
    <mergeCell ref="D4:AU4"/>
    <mergeCell ref="AV2:AZ2"/>
    <mergeCell ref="D2:AT2"/>
    <mergeCell ref="AX4:AZ4"/>
    <mergeCell ref="AV4:AW4"/>
  </mergeCells>
  <conditionalFormatting sqref="E8:AT103">
    <cfRule type="containsText" priority="3" operator="containsText" dxfId="1" text="0">
      <formula>NOT(ISERROR(SEARCH("0",E8)))</formula>
    </cfRule>
    <cfRule type="containsText" priority="4" operator="containsText" dxfId="3" text="x">
      <formula>NOT(ISERROR(SEARCH("x",E8)))</formula>
    </cfRule>
    <cfRule type="containsText" priority="5" operator="containsText" dxfId="0" text="1">
      <formula>NOT(ISERROR(SEARCH("1",E8)))</formula>
    </cfRule>
  </conditionalFormatting>
  <conditionalFormatting sqref="E105:AT105">
    <cfRule type="cellIs" priority="1" operator="equal" dxfId="1">
      <formula>0</formula>
    </cfRule>
    <cfRule type="cellIs" priority="2" operator="greaterThan" dxfId="0">
      <formula>0</formula>
    </cfRule>
  </conditionalFormatting>
  <printOptions horizontalCentered="1"/>
  <pageMargins left="0.3" right="0.3" top="1.7" bottom="0.5" header="0" footer="0"/>
  <pageSetup orientation="portrait" scale="80" fitToHeight="0" useFirstPageNumber="1"/>
  <headerFooter>
    <oddHeader>&amp;C&amp;"-,Regular"&amp;15 &amp;G_x000a_Testing, Inspection, and Observation Program_x000a_2019 California Building Standards Code - OSHPD 1</oddHeader>
    <oddFooter>&amp;CSTATE OF CALIFORNIA - HEALTH AND HUMAN SERVICES AGENCY&amp;RS-C&amp;P&amp;LOSH-FD-303A (R04.26)</oddFooter>
    <evenHeader/>
    <evenFooter/>
    <firstHeader/>
    <firstFooter/>
  </headerFooter>
  <legacyDrawing xmlns:r="http://schemas.openxmlformats.org/officeDocument/2006/relationships" r:id="anysvml"/>
</worksheet>
</file>

<file path=xl/worksheets/sheet6.xml><?xml version="1.0" encoding="utf-8"?>
<worksheet xmlns="http://schemas.openxmlformats.org/spreadsheetml/2006/main">
  <sheetPr codeName="Sheet13">
    <tabColor theme="4" tint="-0.249977111117893"/>
    <outlinePr summaryBelow="1" summaryRight="1"/>
    <pageSetUpPr/>
  </sheetPr>
  <dimension ref="A1:BG149"/>
  <sheetViews>
    <sheetView view="pageBreakPreview" zoomScale="55" zoomScaleNormal="100" zoomScaleSheetLayoutView="55" workbookViewId="0">
      <pane ySplit="5" topLeftCell="A6" activePane="bottomLeft" state="frozen"/>
      <selection activeCell="O16" sqref="O16"/>
      <selection pane="bottomLeft" activeCell="Q14" sqref="Q14"/>
    </sheetView>
  </sheetViews>
  <sheetFormatPr baseColWidth="10" defaultColWidth="9" defaultRowHeight="15"/>
  <cols>
    <col width="3.33203125" customWidth="1" style="3" min="1" max="2"/>
    <col width="1.33203125" customWidth="1" style="2" min="3" max="3"/>
    <col width="5.1640625" customWidth="1" style="2" min="4" max="46"/>
    <col width="35.6640625" customWidth="1" style="2" min="47" max="47"/>
    <col width="8.6640625" customWidth="1" style="52" min="48" max="48"/>
    <col width="11.33203125" customWidth="1" style="52" min="49" max="49"/>
    <col width="25.6640625" customWidth="1" style="2" min="50" max="50"/>
    <col width="10.6640625" customWidth="1" style="52" min="51" max="51"/>
    <col width="10.6640625" customWidth="1" style="2" min="52" max="52"/>
    <col width="3.33203125" customWidth="1" style="2" min="53" max="53"/>
    <col width="34.83203125" customWidth="1" style="2" min="54" max="54"/>
    <col width="9" customWidth="1" style="2" min="55" max="57"/>
    <col width="49" customWidth="1" style="2" min="58" max="58"/>
    <col width="9" customWidth="1" style="2" min="59" max="16384"/>
  </cols>
  <sheetData>
    <row r="1" ht="28.5" customHeight="1" thickBot="1">
      <c r="A1" s="1" t="n"/>
      <c r="B1" s="1" t="n"/>
      <c r="D1" s="799" t="inlineStr">
        <is>
          <t>SECTION D</t>
        </is>
      </c>
      <c r="E1" s="158" t="n"/>
      <c r="F1" s="158" t="n"/>
      <c r="G1" s="158" t="n"/>
      <c r="H1" s="158" t="n"/>
      <c r="I1" s="158" t="n"/>
      <c r="J1" s="158" t="n"/>
      <c r="K1" s="158" t="n"/>
      <c r="L1" s="158" t="n"/>
      <c r="M1" s="158" t="n"/>
      <c r="N1" s="158" t="n"/>
      <c r="O1" s="158" t="n"/>
      <c r="P1" s="158" t="n"/>
      <c r="Q1" s="158" t="n"/>
      <c r="R1" s="158" t="n"/>
      <c r="S1" s="158" t="n"/>
      <c r="T1" s="158" t="n"/>
      <c r="U1" s="158" t="n"/>
      <c r="V1" s="158" t="n"/>
      <c r="W1" s="158" t="n"/>
      <c r="X1" s="158" t="n"/>
      <c r="Y1" s="158" t="n"/>
      <c r="Z1" s="158" t="n"/>
      <c r="AA1" s="158" t="n"/>
      <c r="AB1" s="158" t="n"/>
      <c r="AC1" s="158" t="n"/>
      <c r="AD1" s="158" t="n"/>
      <c r="AE1" s="158" t="n"/>
      <c r="AF1" s="158" t="n"/>
      <c r="AG1" s="158" t="n"/>
      <c r="AH1" s="158" t="n"/>
      <c r="AI1" s="158" t="n"/>
      <c r="AJ1" s="158" t="n"/>
      <c r="AK1" s="158" t="n"/>
      <c r="AL1" s="158" t="n"/>
      <c r="AM1" s="158" t="n"/>
      <c r="AN1" s="158" t="n"/>
      <c r="AO1" s="158" t="n"/>
      <c r="AP1" s="158" t="n"/>
      <c r="AQ1" s="158" t="n"/>
      <c r="AR1" s="158" t="n"/>
      <c r="AS1" s="158" t="n"/>
      <c r="AT1" s="158" t="n"/>
      <c r="AU1" s="159" t="n"/>
      <c r="AV1" s="528" t="inlineStr">
        <is>
          <t>NOTE: Approved agencies, individuals, and all changes to the TIO program shall be identified, evaluated by the DPOR and approved by HCAI prior to proceeding with the related work.</t>
        </is>
      </c>
      <c r="AW1" s="158" t="n"/>
      <c r="AX1" s="158" t="n"/>
      <c r="AY1" s="158" t="n"/>
      <c r="AZ1" s="159" t="n"/>
    </row>
    <row r="2" ht="11.25" customHeight="1">
      <c r="A2" s="1" t="n"/>
      <c r="B2" s="1" t="n"/>
      <c r="D2" s="791" t="inlineStr">
        <is>
          <t>Facility #:</t>
        </is>
      </c>
      <c r="E2" s="779" t="n"/>
      <c r="F2" s="779" t="n"/>
      <c r="G2" s="779" t="n"/>
      <c r="H2" s="779" t="n"/>
      <c r="I2" s="779" t="n"/>
      <c r="J2" s="779" t="n"/>
      <c r="K2" s="779" t="n"/>
      <c r="L2" s="779" t="n"/>
      <c r="M2" s="779" t="n"/>
      <c r="N2" s="779" t="n"/>
      <c r="O2" s="779" t="n"/>
      <c r="P2" s="779" t="n"/>
      <c r="Q2" s="779" t="n"/>
      <c r="R2" s="779" t="n"/>
      <c r="S2" s="779" t="n"/>
      <c r="T2" s="779" t="n"/>
      <c r="U2" s="779" t="n"/>
      <c r="V2" s="779" t="n"/>
      <c r="W2" s="779" t="n"/>
      <c r="X2" s="779" t="n"/>
      <c r="Y2" s="779" t="n"/>
      <c r="Z2" s="779" t="n"/>
      <c r="AA2" s="779" t="n"/>
      <c r="AB2" s="779" t="n"/>
      <c r="AC2" s="779" t="n"/>
      <c r="AD2" s="779" t="n"/>
      <c r="AE2" s="779" t="n"/>
      <c r="AF2" s="779" t="n"/>
      <c r="AG2" s="779" t="n"/>
      <c r="AH2" s="779" t="n"/>
      <c r="AI2" s="779" t="n"/>
      <c r="AJ2" s="779" t="n"/>
      <c r="AK2" s="779" t="n"/>
      <c r="AL2" s="779" t="n"/>
      <c r="AM2" s="779" t="n"/>
      <c r="AN2" s="779" t="n"/>
      <c r="AO2" s="779" t="n"/>
      <c r="AP2" s="779" t="n"/>
      <c r="AQ2" s="779" t="n"/>
      <c r="AR2" s="779" t="n"/>
      <c r="AS2" s="779" t="n"/>
      <c r="AT2" s="756" t="n"/>
      <c r="AU2" s="56" t="inlineStr">
        <is>
          <t>Facility Name:</t>
        </is>
      </c>
      <c r="AV2" s="792" t="inlineStr">
        <is>
          <t>Project #:</t>
        </is>
      </c>
      <c r="AW2" s="779" t="n"/>
      <c r="AX2" s="779" t="n"/>
      <c r="AY2" s="779" t="n"/>
      <c r="AZ2" s="793" t="n"/>
    </row>
    <row r="3" ht="25.25" customHeight="1" thickBot="1">
      <c r="A3" s="1" t="n"/>
      <c r="B3" s="1" t="n"/>
      <c r="D3" s="794">
        <f>IF('A-Project Info'!D12="","",'A-Project Info'!D12)</f>
        <v/>
      </c>
      <c r="E3" s="770" t="n"/>
      <c r="F3" s="770" t="n"/>
      <c r="G3" s="770" t="n"/>
      <c r="H3" s="770" t="n"/>
      <c r="I3" s="770" t="n"/>
      <c r="J3" s="770" t="n"/>
      <c r="K3" s="770" t="n"/>
      <c r="L3" s="770" t="n"/>
      <c r="M3" s="770" t="n"/>
      <c r="N3" s="770" t="n"/>
      <c r="O3" s="770" t="n"/>
      <c r="P3" s="770" t="n"/>
      <c r="Q3" s="770" t="n"/>
      <c r="R3" s="770" t="n"/>
      <c r="S3" s="770" t="n"/>
      <c r="T3" s="770" t="n"/>
      <c r="U3" s="770" t="n"/>
      <c r="V3" s="770" t="n"/>
      <c r="W3" s="770" t="n"/>
      <c r="X3" s="770" t="n"/>
      <c r="Y3" s="770" t="n"/>
      <c r="Z3" s="770" t="n"/>
      <c r="AA3" s="770" t="n"/>
      <c r="AB3" s="770" t="n"/>
      <c r="AC3" s="770" t="n"/>
      <c r="AD3" s="770" t="n"/>
      <c r="AE3" s="770" t="n"/>
      <c r="AF3" s="770" t="n"/>
      <c r="AG3" s="770" t="n"/>
      <c r="AH3" s="770" t="n"/>
      <c r="AI3" s="770" t="n"/>
      <c r="AJ3" s="770" t="n"/>
      <c r="AK3" s="770" t="n"/>
      <c r="AL3" s="770" t="n"/>
      <c r="AM3" s="770" t="n"/>
      <c r="AN3" s="770" t="n"/>
      <c r="AO3" s="770" t="n"/>
      <c r="AP3" s="770" t="n"/>
      <c r="AQ3" s="770" t="n"/>
      <c r="AR3" s="770" t="n"/>
      <c r="AS3" s="770" t="n"/>
      <c r="AT3" s="795" t="n"/>
      <c r="AU3" s="148">
        <f>IF('A-Project Info'!F12="","",'A-Project Info'!F12)</f>
        <v/>
      </c>
      <c r="AV3" s="796">
        <f>IF('A-Project Info'!I12="","",'A-Project Info'!I12)</f>
        <v/>
      </c>
      <c r="AW3" s="770" t="n"/>
      <c r="AX3" s="770" t="n"/>
      <c r="AY3" s="770" t="n"/>
      <c r="AZ3" s="797" t="n"/>
    </row>
    <row r="4" ht="35" customFormat="1" customHeight="1" s="32" thickBot="1">
      <c r="A4" s="94" t="n"/>
      <c r="B4" s="94" t="n"/>
      <c r="D4" s="522" t="n"/>
      <c r="E4" s="776" t="n"/>
      <c r="F4" s="776" t="n"/>
      <c r="G4" s="776" t="n"/>
      <c r="H4" s="776" t="n"/>
      <c r="I4" s="776" t="n"/>
      <c r="J4" s="776" t="n"/>
      <c r="K4" s="776" t="n"/>
      <c r="L4" s="776" t="n"/>
      <c r="M4" s="776" t="n"/>
      <c r="N4" s="776" t="n"/>
      <c r="O4" s="776" t="n"/>
      <c r="P4" s="776" t="n"/>
      <c r="Q4" s="776" t="n"/>
      <c r="R4" s="776" t="n"/>
      <c r="S4" s="776" t="n"/>
      <c r="T4" s="776" t="n"/>
      <c r="U4" s="776" t="n"/>
      <c r="V4" s="776" t="n"/>
      <c r="W4" s="776" t="n"/>
      <c r="X4" s="776" t="n"/>
      <c r="Y4" s="776" t="n"/>
      <c r="Z4" s="776" t="n"/>
      <c r="AA4" s="776" t="n"/>
      <c r="AB4" s="776" t="n"/>
      <c r="AC4" s="776" t="n"/>
      <c r="AD4" s="776" t="n"/>
      <c r="AE4" s="776" t="n"/>
      <c r="AF4" s="776" t="n"/>
      <c r="AG4" s="776" t="n"/>
      <c r="AH4" s="776" t="n"/>
      <c r="AI4" s="776" t="n"/>
      <c r="AJ4" s="776" t="n"/>
      <c r="AK4" s="776" t="n"/>
      <c r="AL4" s="776" t="n"/>
      <c r="AM4" s="776" t="n"/>
      <c r="AN4" s="776" t="n"/>
      <c r="AO4" s="776" t="n"/>
      <c r="AP4" s="776" t="n"/>
      <c r="AQ4" s="776" t="n"/>
      <c r="AR4" s="776" t="n"/>
      <c r="AS4" s="776" t="n"/>
      <c r="AT4" s="776" t="n"/>
      <c r="AU4" s="778" t="n"/>
      <c r="AV4" s="529" t="inlineStr">
        <is>
          <t>Select with "X" or provide required OPAA information:</t>
        </is>
      </c>
      <c r="AW4" s="776" t="n"/>
      <c r="AX4" s="798" t="n"/>
      <c r="AY4" s="776" t="n"/>
      <c r="AZ4" s="778" t="n"/>
    </row>
    <row r="5" ht="78.75" customHeight="1" thickBot="1">
      <c r="A5" s="1" t="n"/>
      <c r="B5" s="1" t="n"/>
      <c r="D5" s="137" t="inlineStr">
        <is>
          <t>Index #</t>
        </is>
      </c>
      <c r="E5" s="70" t="inlineStr">
        <is>
          <t>Stage 1 Required
(Select with "X")</t>
        </is>
      </c>
      <c r="F5" s="70" t="inlineStr">
        <is>
          <t>Stage 2 Required
(Select with "X")</t>
        </is>
      </c>
      <c r="G5" s="70" t="inlineStr">
        <is>
          <t>Stage 3 Required
(Select with "X")</t>
        </is>
      </c>
      <c r="H5" s="70" t="inlineStr">
        <is>
          <t>Stage 4 Required
(Select with "X")</t>
        </is>
      </c>
      <c r="I5" s="70" t="inlineStr">
        <is>
          <t>Stage 5 Required
(Select with "X")</t>
        </is>
      </c>
      <c r="J5" s="70" t="inlineStr">
        <is>
          <t>Stage 6 Required
(Select with "X")</t>
        </is>
      </c>
      <c r="K5" s="70" t="inlineStr">
        <is>
          <t>Stage 7 Required
(Select with "X")</t>
        </is>
      </c>
      <c r="L5" s="70" t="inlineStr">
        <is>
          <t>Stage 8 Required
(Select with "X")</t>
        </is>
      </c>
      <c r="M5" s="70" t="inlineStr">
        <is>
          <t>Stage 9 Required
(Select with "X")</t>
        </is>
      </c>
      <c r="N5" s="70" t="inlineStr">
        <is>
          <t>Stage 10 Required
(Select with "X")</t>
        </is>
      </c>
      <c r="O5" s="70" t="inlineStr">
        <is>
          <t>Stage 11 Required
(Select with "X")</t>
        </is>
      </c>
      <c r="P5" s="70" t="inlineStr">
        <is>
          <t>Stage 12 Required
(Select with "X")</t>
        </is>
      </c>
      <c r="Q5" s="70" t="inlineStr">
        <is>
          <t>Stage 13 Required
(Select with "X")</t>
        </is>
      </c>
      <c r="R5" s="70" t="inlineStr">
        <is>
          <t>Stage 14 Required
(Select with "X")</t>
        </is>
      </c>
      <c r="S5" s="70" t="inlineStr">
        <is>
          <t>Stage 15 Required
(Select with "X")</t>
        </is>
      </c>
      <c r="T5" s="70" t="inlineStr">
        <is>
          <t>Stage 16 Required
(Select with "X")</t>
        </is>
      </c>
      <c r="U5" s="70" t="inlineStr">
        <is>
          <t>Stage 17 Required
(Select with "X")</t>
        </is>
      </c>
      <c r="V5" s="70" t="inlineStr">
        <is>
          <t>Stage 18 Required
(Select with "X")</t>
        </is>
      </c>
      <c r="W5" s="70" t="inlineStr">
        <is>
          <t>Stage 19 Required
(Select with "X")</t>
        </is>
      </c>
      <c r="X5" s="70" t="inlineStr">
        <is>
          <t>Stage 20 Required
(Select with "X")</t>
        </is>
      </c>
      <c r="Y5" s="70" t="inlineStr">
        <is>
          <t>Stage 21 Required
(Select with "X")</t>
        </is>
      </c>
      <c r="Z5" s="70" t="inlineStr">
        <is>
          <t>Stage 22 Required
(Select with "X")</t>
        </is>
      </c>
      <c r="AA5" s="70" t="inlineStr">
        <is>
          <t>Stage 23 Required
(Select with "X")</t>
        </is>
      </c>
      <c r="AB5" s="70" t="inlineStr">
        <is>
          <t>Stage 24 Required
(Select with "X")</t>
        </is>
      </c>
      <c r="AC5" s="70" t="inlineStr">
        <is>
          <t>Stage 25 Required
(Select with "X")</t>
        </is>
      </c>
      <c r="AD5" s="70" t="inlineStr">
        <is>
          <t>Stage 26 Required
(Select with "X")</t>
        </is>
      </c>
      <c r="AE5" s="70" t="inlineStr">
        <is>
          <t>Stage 27 Required
(Select with "X")</t>
        </is>
      </c>
      <c r="AF5" s="70" t="inlineStr">
        <is>
          <t>Stage 28 Required
(Select with "X")</t>
        </is>
      </c>
      <c r="AG5" s="70" t="inlineStr">
        <is>
          <t>Stage 29 Required
(Select with "X")</t>
        </is>
      </c>
      <c r="AH5" s="70" t="inlineStr">
        <is>
          <t>Stage 30 Required
(Select with "X")</t>
        </is>
      </c>
      <c r="AI5" s="70" t="inlineStr">
        <is>
          <t>Stage 31 Required
(Select with "X")</t>
        </is>
      </c>
      <c r="AJ5" s="70" t="inlineStr">
        <is>
          <t>Stage 32 Required
(Select with "X")</t>
        </is>
      </c>
      <c r="AK5" s="70" t="inlineStr">
        <is>
          <t>Stage 33 Required
(Select with "X")</t>
        </is>
      </c>
      <c r="AL5" s="70" t="inlineStr">
        <is>
          <t>Stage 34 Required
(Select with "X")</t>
        </is>
      </c>
      <c r="AM5" s="70" t="inlineStr">
        <is>
          <t>Stage 35 Required
(Select with "X")</t>
        </is>
      </c>
      <c r="AN5" s="70" t="inlineStr">
        <is>
          <t>Stage 36 Required
(Select with "X")</t>
        </is>
      </c>
      <c r="AO5" s="70" t="inlineStr">
        <is>
          <t>Stage 37 Required
(Select with "X")</t>
        </is>
      </c>
      <c r="AP5" s="70" t="inlineStr">
        <is>
          <t>Stage 38 Required
(Select with "X")</t>
        </is>
      </c>
      <c r="AQ5" s="70" t="inlineStr">
        <is>
          <t>Stage 39 Required
(Select with "X")</t>
        </is>
      </c>
      <c r="AR5" s="70" t="inlineStr">
        <is>
          <t>Stage 40 Required
(Select with "X")</t>
        </is>
      </c>
      <c r="AS5" s="70" t="inlineStr">
        <is>
          <t>Stage 41 Required
(Select with "X")</t>
        </is>
      </c>
      <c r="AT5" s="70" t="inlineStr">
        <is>
          <t>Stage 42 Required
(Select with "X")</t>
        </is>
      </c>
      <c r="AU5" s="11" t="inlineStr">
        <is>
          <t>OFF-SITE SPECIAL
INSPECTIONS</t>
        </is>
      </c>
      <c r="AV5" s="147" t="inlineStr">
        <is>
          <t>Samples of test &amp; inspection reports included</t>
        </is>
      </c>
      <c r="AW5" s="57" t="inlineStr">
        <is>
          <t>OPAA No. and Expiration Date</t>
        </is>
      </c>
      <c r="AX5" s="627" t="inlineStr">
        <is>
          <t>RESPONSIBLE APPROVED                        AGENCY AND/OR INDIVIDUAL (IDENTIFY SPECIAL INSPECTOR)</t>
        </is>
      </c>
      <c r="AY5" s="70" t="inlineStr">
        <is>
          <t>COMPLIANCE VERIFICATION BY IOR   (Initial/Date)</t>
        </is>
      </c>
      <c r="AZ5" s="70" t="inlineStr">
        <is>
          <t>HCAI/FDD USE   (Initial/Date)</t>
        </is>
      </c>
      <c r="BB5" s="169" t="n"/>
    </row>
    <row r="6" ht="18" customHeight="1" thickBot="1">
      <c r="A6" s="3" t="inlineStr">
        <is>
          <t>x1</t>
        </is>
      </c>
      <c r="B6" s="99" t="inlineStr">
        <is>
          <t>STRUCTURAL SPECIAL INSPECTIONS</t>
        </is>
      </c>
      <c r="C6" s="24" t="n"/>
      <c r="D6" s="24" t="n"/>
      <c r="E6" s="20" t="n"/>
      <c r="F6" s="163" t="n"/>
      <c r="G6" s="163" t="n"/>
      <c r="H6" s="163" t="n"/>
      <c r="I6" s="163" t="n"/>
      <c r="J6" s="163" t="n"/>
      <c r="K6" s="163" t="n"/>
      <c r="L6" s="163" t="n"/>
      <c r="M6" s="163" t="n"/>
      <c r="N6" s="163" t="n"/>
      <c r="O6" s="163" t="n"/>
      <c r="P6" s="163" t="n"/>
      <c r="Q6" s="163" t="n"/>
      <c r="R6" s="163" t="n"/>
      <c r="S6" s="163" t="n"/>
      <c r="T6" s="163" t="n"/>
      <c r="U6" s="163" t="n"/>
      <c r="V6" s="163" t="n"/>
      <c r="W6" s="163" t="n"/>
      <c r="X6" s="163" t="n"/>
      <c r="Y6" s="163" t="n"/>
      <c r="Z6" s="163" t="n"/>
      <c r="AA6" s="163" t="n"/>
      <c r="AB6" s="163" t="n"/>
      <c r="AC6" s="163" t="n"/>
      <c r="AD6" s="163" t="n"/>
      <c r="AE6" s="163" t="n"/>
      <c r="AF6" s="163" t="n"/>
      <c r="AG6" s="163" t="n"/>
      <c r="AH6" s="163" t="n"/>
      <c r="AI6" s="163" t="n"/>
      <c r="AJ6" s="163" t="n"/>
      <c r="AK6" s="163" t="n"/>
      <c r="AL6" s="163" t="n"/>
      <c r="AM6" s="163" t="n"/>
      <c r="AN6" s="163" t="n"/>
      <c r="AO6" s="163" t="n"/>
      <c r="AP6" s="163" t="n"/>
      <c r="AQ6" s="163" t="n"/>
      <c r="AR6" s="163" t="n"/>
      <c r="AS6" s="163" t="n"/>
      <c r="AT6" s="163" t="n"/>
      <c r="AU6" s="24" t="n"/>
      <c r="AV6" s="50" t="n"/>
      <c r="AW6" s="50" t="n"/>
      <c r="AX6" s="24" t="n"/>
      <c r="AY6" s="50" t="n"/>
      <c r="AZ6" s="25" t="n"/>
    </row>
    <row r="7" ht="18" customHeight="1" thickBot="1">
      <c r="B7" s="3" t="inlineStr">
        <is>
          <t>x11</t>
        </is>
      </c>
      <c r="C7" s="19" t="inlineStr">
        <is>
          <t>Concrete</t>
        </is>
      </c>
      <c r="D7" s="20" t="n"/>
      <c r="E7" s="163" t="n"/>
      <c r="F7" s="163" t="n"/>
      <c r="G7" s="163" t="n"/>
      <c r="H7" s="163" t="n"/>
      <c r="I7" s="163" t="n"/>
      <c r="J7" s="163" t="n"/>
      <c r="K7" s="163" t="n"/>
      <c r="L7" s="163" t="n"/>
      <c r="M7" s="163" t="n"/>
      <c r="N7" s="163" t="n"/>
      <c r="O7" s="163" t="n"/>
      <c r="P7" s="163" t="n"/>
      <c r="Q7" s="163" t="n"/>
      <c r="R7" s="163" t="n"/>
      <c r="S7" s="163" t="n"/>
      <c r="T7" s="163" t="n"/>
      <c r="U7" s="163" t="n"/>
      <c r="V7" s="163" t="n"/>
      <c r="W7" s="163" t="n"/>
      <c r="X7" s="163" t="n"/>
      <c r="Y7" s="163" t="n"/>
      <c r="Z7" s="163" t="n"/>
      <c r="AA7" s="163" t="n"/>
      <c r="AB7" s="163" t="n"/>
      <c r="AC7" s="163" t="n"/>
      <c r="AD7" s="163" t="n"/>
      <c r="AE7" s="163" t="n"/>
      <c r="AF7" s="163" t="n"/>
      <c r="AG7" s="163" t="n"/>
      <c r="AH7" s="163" t="n"/>
      <c r="AI7" s="163" t="n"/>
      <c r="AJ7" s="163" t="n"/>
      <c r="AK7" s="163" t="n"/>
      <c r="AL7" s="163" t="n"/>
      <c r="AM7" s="163" t="n"/>
      <c r="AN7" s="163" t="n"/>
      <c r="AO7" s="163" t="n"/>
      <c r="AP7" s="163" t="n"/>
      <c r="AQ7" s="163" t="n"/>
      <c r="AR7" s="163" t="n"/>
      <c r="AS7" s="163" t="n"/>
      <c r="AT7" s="163" t="n"/>
      <c r="AU7" s="21" t="n"/>
      <c r="AV7" s="84" t="n"/>
      <c r="AW7" s="84" t="n"/>
      <c r="AX7" s="21" t="n"/>
      <c r="AY7" s="49" t="n"/>
      <c r="AZ7" s="22" t="n"/>
      <c r="BD7" s="5" t="n"/>
      <c r="BE7" s="385" t="n"/>
      <c r="BF7" s="509" t="n"/>
      <c r="BG7" s="507" t="n"/>
    </row>
    <row r="8" hidden="1" ht="37" customHeight="1" thickBot="1">
      <c r="D8" s="136" t="inlineStr">
        <is>
          <t>D-C1</t>
        </is>
      </c>
      <c r="E8" s="330" t="n"/>
      <c r="F8" s="331" t="n"/>
      <c r="G8" s="331" t="n"/>
      <c r="H8" s="331" t="n"/>
      <c r="I8" s="331" t="n"/>
      <c r="J8" s="331" t="n"/>
      <c r="K8" s="331" t="n"/>
      <c r="L8" s="331" t="n"/>
      <c r="M8" s="331" t="n"/>
      <c r="N8" s="331" t="n"/>
      <c r="O8" s="331" t="n"/>
      <c r="P8" s="331" t="n"/>
      <c r="Q8" s="331" t="n"/>
      <c r="R8" s="331" t="n"/>
      <c r="S8" s="331" t="n"/>
      <c r="T8" s="331" t="n"/>
      <c r="U8" s="331" t="n"/>
      <c r="V8" s="331" t="n"/>
      <c r="W8" s="331" t="n"/>
      <c r="X8" s="331" t="n"/>
      <c r="Y8" s="331" t="n"/>
      <c r="Z8" s="331" t="n"/>
      <c r="AA8" s="331" t="n"/>
      <c r="AB8" s="331" t="n"/>
      <c r="AC8" s="331" t="n"/>
      <c r="AD8" s="331" t="n"/>
      <c r="AE8" s="331" t="n"/>
      <c r="AF8" s="331" t="n"/>
      <c r="AG8" s="331" t="n"/>
      <c r="AH8" s="331" t="n"/>
      <c r="AI8" s="331" t="n"/>
      <c r="AJ8" s="331" t="n"/>
      <c r="AK8" s="331" t="n"/>
      <c r="AL8" s="331" t="n"/>
      <c r="AM8" s="331" t="n"/>
      <c r="AN8" s="331" t="n"/>
      <c r="AO8" s="331" t="n"/>
      <c r="AP8" s="331" t="n"/>
      <c r="AQ8" s="331" t="n"/>
      <c r="AR8" s="331" t="n"/>
      <c r="AS8" s="331" t="n"/>
      <c r="AT8" s="332" t="n"/>
      <c r="AU8" s="311" t="inlineStr">
        <is>
          <t>Concrete
CBC 1705A.3; ACI-318 26.5.2 &amp; 26.13
Placement of concrete</t>
        </is>
      </c>
      <c r="AV8" s="339" t="n"/>
      <c r="AW8" s="339" t="n"/>
      <c r="AX8" s="339" t="n"/>
      <c r="AY8" s="286" t="n"/>
      <c r="AZ8" s="4" t="n"/>
      <c r="BB8" s="128" t="n"/>
      <c r="BD8" s="5" t="n"/>
    </row>
    <row r="9" ht="37" customHeight="1" thickBot="1">
      <c r="A9" s="3" t="inlineStr">
        <is>
          <t>A</t>
        </is>
      </c>
      <c r="D9" s="136" t="inlineStr">
        <is>
          <t>D-C2</t>
        </is>
      </c>
      <c r="E9" s="333" t="n"/>
      <c r="F9" s="334" t="n"/>
      <c r="G9" s="334" t="n"/>
      <c r="H9" s="334" t="n"/>
      <c r="I9" s="334" t="n"/>
      <c r="J9" s="334" t="n"/>
      <c r="K9" s="334" t="inlineStr">
        <is>
          <t>X</t>
        </is>
      </c>
      <c r="L9" s="334" t="n"/>
      <c r="M9" s="334" t="inlineStr">
        <is>
          <t>X</t>
        </is>
      </c>
      <c r="N9" s="334" t="inlineStr">
        <is>
          <t>X</t>
        </is>
      </c>
      <c r="O9" s="334" t="n"/>
      <c r="P9" s="334" t="n"/>
      <c r="Q9" s="334" t="n"/>
      <c r="R9" s="334" t="n">
        <v>1</v>
      </c>
      <c r="S9" s="334" t="n"/>
      <c r="T9" s="334" t="n"/>
      <c r="U9" s="334" t="n"/>
      <c r="V9" s="334" t="n">
        <v>1</v>
      </c>
      <c r="W9" s="334" t="n">
        <v>1</v>
      </c>
      <c r="X9" s="334" t="n">
        <v>1</v>
      </c>
      <c r="Y9" s="334" t="n"/>
      <c r="Z9" s="334" t="n"/>
      <c r="AA9" s="334" t="n"/>
      <c r="AB9" s="334" t="n">
        <v>1</v>
      </c>
      <c r="AC9" s="334" t="n">
        <v>1</v>
      </c>
      <c r="AD9" s="334" t="n"/>
      <c r="AE9" s="334" t="n">
        <v>1</v>
      </c>
      <c r="AF9" s="334" t="n">
        <v>1</v>
      </c>
      <c r="AG9" s="334" t="n">
        <v>1</v>
      </c>
      <c r="AH9" s="334" t="n"/>
      <c r="AI9" s="334" t="n"/>
      <c r="AJ9" s="334" t="n"/>
      <c r="AK9" s="334" t="n">
        <v>1</v>
      </c>
      <c r="AL9" s="334" t="n"/>
      <c r="AM9" s="334" t="n"/>
      <c r="AN9" s="334" t="n"/>
      <c r="AO9" s="334" t="n"/>
      <c r="AP9" s="334" t="n"/>
      <c r="AQ9" s="334" t="n"/>
      <c r="AR9" s="334" t="n"/>
      <c r="AS9" s="334" t="n"/>
      <c r="AT9" s="335" t="n"/>
      <c r="AU9" s="289" t="inlineStr">
        <is>
          <t>Concrete
CBC 1705A.3; ACI-318 26.4.1.5
Admixtures</t>
        </is>
      </c>
      <c r="AV9" s="322" t="n"/>
      <c r="AW9" s="322" t="inlineStr">
        <is>
          <t>OPAA-0020</t>
        </is>
      </c>
      <c r="AX9" s="322" t="inlineStr">
        <is>
          <t>CTS</t>
        </is>
      </c>
      <c r="AY9" s="288" t="n"/>
      <c r="AZ9" s="400" t="n"/>
      <c r="BB9" s="128" t="n"/>
      <c r="BD9" s="5" t="n"/>
      <c r="BE9" s="385" t="n"/>
      <c r="BG9" s="387" t="n"/>
    </row>
    <row r="10" ht="37" customHeight="1" thickBot="1">
      <c r="D10" s="136" t="inlineStr">
        <is>
          <t>D-C3</t>
        </is>
      </c>
      <c r="E10" s="333" t="n"/>
      <c r="F10" s="334" t="n"/>
      <c r="G10" s="334" t="n"/>
      <c r="H10" s="334" t="n"/>
      <c r="I10" s="334" t="n"/>
      <c r="J10" s="334" t="n"/>
      <c r="K10" s="334" t="inlineStr">
        <is>
          <t>X</t>
        </is>
      </c>
      <c r="L10" s="334" t="n"/>
      <c r="M10" s="334" t="inlineStr">
        <is>
          <t>X</t>
        </is>
      </c>
      <c r="N10" s="334" t="inlineStr">
        <is>
          <t>X</t>
        </is>
      </c>
      <c r="O10" s="334" t="n"/>
      <c r="P10" s="334" t="n"/>
      <c r="Q10" s="334" t="n"/>
      <c r="R10" s="334" t="n">
        <v>1</v>
      </c>
      <c r="S10" s="334" t="n"/>
      <c r="T10" s="334" t="n"/>
      <c r="U10" s="334" t="n"/>
      <c r="V10" s="334" t="n">
        <v>1</v>
      </c>
      <c r="W10" s="334" t="n">
        <v>1</v>
      </c>
      <c r="X10" s="334" t="n">
        <v>1</v>
      </c>
      <c r="Y10" s="334" t="n"/>
      <c r="Z10" s="334" t="n"/>
      <c r="AA10" s="334" t="n"/>
      <c r="AB10" s="334" t="n">
        <v>1</v>
      </c>
      <c r="AC10" s="334" t="n">
        <v>1</v>
      </c>
      <c r="AD10" s="334" t="n"/>
      <c r="AE10" s="334" t="n">
        <v>1</v>
      </c>
      <c r="AF10" s="334" t="n">
        <v>1</v>
      </c>
      <c r="AG10" s="334" t="n">
        <v>1</v>
      </c>
      <c r="AH10" s="334" t="n"/>
      <c r="AI10" s="334" t="n"/>
      <c r="AJ10" s="334" t="n"/>
      <c r="AK10" s="334" t="n">
        <v>1</v>
      </c>
      <c r="AL10" s="334" t="n"/>
      <c r="AM10" s="334" t="n"/>
      <c r="AN10" s="334" t="n"/>
      <c r="AO10" s="334" t="n"/>
      <c r="AP10" s="334" t="n"/>
      <c r="AQ10" s="334" t="n"/>
      <c r="AR10" s="334" t="n"/>
      <c r="AS10" s="334" t="n"/>
      <c r="AT10" s="335" t="n"/>
      <c r="AU10" s="289" t="inlineStr">
        <is>
          <t>Concrete
CBC 1705A.3; ACI-318 26.4
Mix Design</t>
        </is>
      </c>
      <c r="AV10" s="322" t="n"/>
      <c r="AW10" s="322" t="inlineStr">
        <is>
          <t>OPAA-0020</t>
        </is>
      </c>
      <c r="AX10" s="322" t="inlineStr">
        <is>
          <t>CTS</t>
        </is>
      </c>
      <c r="AY10" s="288" t="n"/>
      <c r="AZ10" s="400" t="n"/>
      <c r="BB10" s="128" t="n"/>
      <c r="BD10" s="5" t="n"/>
      <c r="BE10" s="385" t="n"/>
      <c r="BG10" s="387" t="n"/>
    </row>
    <row r="11" ht="37" customHeight="1" thickBot="1">
      <c r="D11" s="136" t="inlineStr">
        <is>
          <t>D-C4</t>
        </is>
      </c>
      <c r="E11" s="333" t="n"/>
      <c r="F11" s="334" t="n"/>
      <c r="G11" s="334" t="inlineStr">
        <is>
          <t>X</t>
        </is>
      </c>
      <c r="H11" s="334" t="inlineStr">
        <is>
          <t>X</t>
        </is>
      </c>
      <c r="I11" s="334" t="n"/>
      <c r="J11" s="334" t="n"/>
      <c r="K11" s="334" t="inlineStr">
        <is>
          <t>X</t>
        </is>
      </c>
      <c r="L11" s="334" t="inlineStr">
        <is>
          <t>X</t>
        </is>
      </c>
      <c r="M11" s="334" t="inlineStr">
        <is>
          <t>X</t>
        </is>
      </c>
      <c r="N11" s="334" t="inlineStr">
        <is>
          <t>X</t>
        </is>
      </c>
      <c r="O11" s="334" t="inlineStr">
        <is>
          <t>X</t>
        </is>
      </c>
      <c r="P11" s="334" t="inlineStr">
        <is>
          <t>X</t>
        </is>
      </c>
      <c r="Q11" s="334" t="inlineStr">
        <is>
          <t>X</t>
        </is>
      </c>
      <c r="R11" s="334" t="n">
        <v>1</v>
      </c>
      <c r="S11" s="334" t="n"/>
      <c r="T11" s="334" t="n"/>
      <c r="U11" s="334" t="n"/>
      <c r="V11" s="334" t="n">
        <v>1</v>
      </c>
      <c r="W11" s="334" t="n">
        <v>1</v>
      </c>
      <c r="X11" s="334" t="n">
        <v>1</v>
      </c>
      <c r="Y11" s="334" t="n"/>
      <c r="Z11" s="334" t="n"/>
      <c r="AA11" s="334" t="n"/>
      <c r="AB11" s="334" t="n">
        <v>1</v>
      </c>
      <c r="AC11" s="334" t="n">
        <v>1</v>
      </c>
      <c r="AD11" s="334" t="n"/>
      <c r="AE11" s="334" t="n">
        <v>1</v>
      </c>
      <c r="AF11" s="334" t="n">
        <v>1</v>
      </c>
      <c r="AG11" s="334" t="n">
        <v>1</v>
      </c>
      <c r="AH11" s="334" t="n"/>
      <c r="AI11" s="334" t="n"/>
      <c r="AJ11" s="334" t="n"/>
      <c r="AK11" s="334" t="n">
        <v>1</v>
      </c>
      <c r="AL11" s="334" t="n"/>
      <c r="AM11" s="334" t="n"/>
      <c r="AN11" s="334" t="n"/>
      <c r="AO11" s="334" t="n"/>
      <c r="AP11" s="334" t="n"/>
      <c r="AQ11" s="334" t="n"/>
      <c r="AR11" s="334" t="n"/>
      <c r="AS11" s="334" t="n"/>
      <c r="AT11" s="335" t="n"/>
      <c r="AU11" s="289" t="inlineStr">
        <is>
          <t>Concrete
CBC 1705A.3; ACI-318  26.13
Reinforcing steel &amp; prestressing steel</t>
        </is>
      </c>
      <c r="AV11" s="322" t="n"/>
      <c r="AW11" s="322" t="inlineStr">
        <is>
          <t>OPAA-0020</t>
        </is>
      </c>
      <c r="AX11" s="322" t="inlineStr">
        <is>
          <t>CTS</t>
        </is>
      </c>
      <c r="AY11" s="288" t="n"/>
      <c r="AZ11" s="400" t="n"/>
      <c r="BB11" s="128" t="n"/>
      <c r="BD11" s="5" t="n"/>
      <c r="BE11" s="385" t="n"/>
      <c r="BG11" s="387" t="n"/>
    </row>
    <row r="12" hidden="1" ht="37" customHeight="1" thickBot="1">
      <c r="D12" s="136" t="inlineStr">
        <is>
          <t>D-C5</t>
        </is>
      </c>
      <c r="E12" s="333" t="n"/>
      <c r="F12" s="334" t="n"/>
      <c r="G12" s="334" t="inlineStr">
        <is>
          <t>X</t>
        </is>
      </c>
      <c r="H12" s="334" t="inlineStr">
        <is>
          <t>X</t>
        </is>
      </c>
      <c r="I12" s="334" t="n"/>
      <c r="J12" s="334" t="n"/>
      <c r="K12" s="334" t="inlineStr">
        <is>
          <t>X</t>
        </is>
      </c>
      <c r="L12" s="334" t="inlineStr">
        <is>
          <t>X</t>
        </is>
      </c>
      <c r="M12" s="334" t="inlineStr">
        <is>
          <t>X</t>
        </is>
      </c>
      <c r="N12" s="334" t="inlineStr">
        <is>
          <t>X</t>
        </is>
      </c>
      <c r="O12" s="334" t="inlineStr">
        <is>
          <t>X</t>
        </is>
      </c>
      <c r="P12" s="334" t="inlineStr">
        <is>
          <t>X</t>
        </is>
      </c>
      <c r="Q12" s="334" t="inlineStr">
        <is>
          <t>X</t>
        </is>
      </c>
      <c r="R12" s="334" t="n"/>
      <c r="S12" s="334" t="n"/>
      <c r="T12" s="334" t="n"/>
      <c r="U12" s="334" t="n"/>
      <c r="V12" s="334" t="n"/>
      <c r="W12" s="334" t="n"/>
      <c r="X12" s="334" t="n"/>
      <c r="Y12" s="334" t="n"/>
      <c r="Z12" s="334" t="n"/>
      <c r="AA12" s="334" t="n"/>
      <c r="AB12" s="334" t="n"/>
      <c r="AC12" s="334" t="n"/>
      <c r="AD12" s="334" t="n"/>
      <c r="AE12" s="334" t="n"/>
      <c r="AF12" s="334" t="n"/>
      <c r="AG12" s="334" t="n"/>
      <c r="AH12" s="334" t="n"/>
      <c r="AI12" s="334" t="n"/>
      <c r="AJ12" s="334" t="n"/>
      <c r="AK12" s="334" t="n"/>
      <c r="AL12" s="334" t="n"/>
      <c r="AM12" s="334" t="n"/>
      <c r="AN12" s="334" t="n"/>
      <c r="AO12" s="334" t="n"/>
      <c r="AP12" s="334" t="n"/>
      <c r="AQ12" s="334" t="n"/>
      <c r="AR12" s="334" t="n"/>
      <c r="AS12" s="334" t="n"/>
      <c r="AT12" s="335" t="n"/>
      <c r="AU12" s="289" t="inlineStr">
        <is>
          <t>Concrete
CBC 1705A.3
CIP &amp; Post-installed anchors</t>
        </is>
      </c>
      <c r="AV12" s="322" t="n"/>
      <c r="AW12" s="322" t="n"/>
      <c r="AX12" s="322" t="n"/>
      <c r="AY12" s="288" t="n"/>
      <c r="AZ12" s="400" t="n"/>
      <c r="BB12" s="128" t="n"/>
      <c r="BD12" s="5" t="n"/>
      <c r="BE12" s="385" t="n"/>
      <c r="BG12" s="387" t="n"/>
    </row>
    <row r="13" hidden="1" ht="49" customHeight="1" thickBot="1">
      <c r="D13" s="136" t="inlineStr">
        <is>
          <t>D-C6</t>
        </is>
      </c>
      <c r="E13" s="333" t="n"/>
      <c r="F13" s="334" t="n"/>
      <c r="G13" s="334" t="inlineStr">
        <is>
          <t>X</t>
        </is>
      </c>
      <c r="H13" s="334" t="inlineStr">
        <is>
          <t>X</t>
        </is>
      </c>
      <c r="I13" s="334" t="n"/>
      <c r="J13" s="334" t="n"/>
      <c r="K13" s="334" t="inlineStr">
        <is>
          <t>X</t>
        </is>
      </c>
      <c r="L13" s="334" t="inlineStr">
        <is>
          <t>X</t>
        </is>
      </c>
      <c r="M13" s="334" t="inlineStr">
        <is>
          <t>X</t>
        </is>
      </c>
      <c r="N13" s="334" t="inlineStr">
        <is>
          <t>X</t>
        </is>
      </c>
      <c r="O13" s="334" t="inlineStr">
        <is>
          <t>X</t>
        </is>
      </c>
      <c r="P13" s="334" t="inlineStr">
        <is>
          <t>X</t>
        </is>
      </c>
      <c r="Q13" s="334" t="inlineStr">
        <is>
          <t>X</t>
        </is>
      </c>
      <c r="R13" s="334" t="n"/>
      <c r="S13" s="334" t="n"/>
      <c r="T13" s="334" t="n"/>
      <c r="U13" s="334" t="n"/>
      <c r="V13" s="334" t="n"/>
      <c r="W13" s="334" t="n"/>
      <c r="X13" s="334" t="n"/>
      <c r="Y13" s="334" t="n"/>
      <c r="Z13" s="334" t="n"/>
      <c r="AA13" s="334" t="n"/>
      <c r="AB13" s="334" t="n"/>
      <c r="AC13" s="334" t="n"/>
      <c r="AD13" s="334" t="n"/>
      <c r="AE13" s="334" t="n"/>
      <c r="AF13" s="334" t="n"/>
      <c r="AG13" s="334" t="n"/>
      <c r="AH13" s="334" t="n"/>
      <c r="AI13" s="334" t="n"/>
      <c r="AJ13" s="334" t="n"/>
      <c r="AK13" s="334" t="n"/>
      <c r="AL13" s="334" t="n"/>
      <c r="AM13" s="334" t="n"/>
      <c r="AN13" s="334" t="n"/>
      <c r="AO13" s="334" t="n"/>
      <c r="AP13" s="334" t="n"/>
      <c r="AQ13" s="334" t="n"/>
      <c r="AR13" s="334" t="n"/>
      <c r="AS13" s="334" t="n"/>
      <c r="AT13" s="335" t="n"/>
      <c r="AU13" s="289" t="inlineStr">
        <is>
          <t>Concrete
CBC Table 1705A.3
Adhesive anchors in horizontal and upwardly inclined positions with sustained tension load</t>
        </is>
      </c>
      <c r="AV13" s="322" t="n"/>
      <c r="AW13" s="322" t="n"/>
      <c r="AX13" s="322" t="n"/>
      <c r="AY13" s="288" t="n"/>
      <c r="AZ13" s="400" t="n"/>
      <c r="BB13" s="128" t="n"/>
      <c r="BD13" s="5" t="n"/>
      <c r="BE13" s="385" t="n"/>
      <c r="BG13" s="387" t="n"/>
    </row>
    <row r="14" ht="49" customHeight="1" thickBot="1">
      <c r="D14" s="136" t="inlineStr">
        <is>
          <t>D-C7</t>
        </is>
      </c>
      <c r="E14" s="333" t="n"/>
      <c r="F14" s="334" t="n"/>
      <c r="G14" s="334" t="inlineStr">
        <is>
          <t>X</t>
        </is>
      </c>
      <c r="H14" s="334" t="inlineStr">
        <is>
          <t>X</t>
        </is>
      </c>
      <c r="I14" s="334" t="n"/>
      <c r="J14" s="334" t="n"/>
      <c r="K14" s="334" t="inlineStr">
        <is>
          <t>X</t>
        </is>
      </c>
      <c r="L14" s="334" t="inlineStr">
        <is>
          <t>X</t>
        </is>
      </c>
      <c r="M14" s="334" t="inlineStr">
        <is>
          <t>X</t>
        </is>
      </c>
      <c r="N14" s="334" t="inlineStr">
        <is>
          <t>X</t>
        </is>
      </c>
      <c r="O14" s="334" t="inlineStr">
        <is>
          <t>X</t>
        </is>
      </c>
      <c r="P14" s="334" t="inlineStr">
        <is>
          <t>X</t>
        </is>
      </c>
      <c r="Q14" s="334" t="inlineStr">
        <is>
          <t>X</t>
        </is>
      </c>
      <c r="R14" s="334" t="n">
        <v>1</v>
      </c>
      <c r="S14" s="334" t="n"/>
      <c r="T14" s="334" t="n"/>
      <c r="U14" s="334" t="n"/>
      <c r="V14" s="334" t="n">
        <v>1</v>
      </c>
      <c r="W14" s="334" t="n">
        <v>1</v>
      </c>
      <c r="X14" s="334" t="n">
        <v>1</v>
      </c>
      <c r="Y14" s="280" t="n"/>
      <c r="Z14" s="280" t="n"/>
      <c r="AA14" s="280" t="n"/>
      <c r="AB14" s="334" t="n">
        <v>1</v>
      </c>
      <c r="AC14" s="334" t="n">
        <v>1</v>
      </c>
      <c r="AD14" s="334" t="n"/>
      <c r="AE14" s="334" t="n">
        <v>1</v>
      </c>
      <c r="AF14" s="334" t="n">
        <v>1</v>
      </c>
      <c r="AG14" s="334" t="n">
        <v>1</v>
      </c>
      <c r="AH14" s="334" t="n"/>
      <c r="AI14" s="334" t="n"/>
      <c r="AJ14" s="334" t="n"/>
      <c r="AK14" s="334" t="n">
        <v>1</v>
      </c>
      <c r="AL14" s="280" t="n"/>
      <c r="AM14" s="280" t="n"/>
      <c r="AN14" s="280" t="n"/>
      <c r="AO14" s="280" t="n"/>
      <c r="AP14" s="280" t="n"/>
      <c r="AQ14" s="280" t="n"/>
      <c r="AR14" s="280" t="n"/>
      <c r="AS14" s="280" t="n"/>
      <c r="AT14" s="281" t="n"/>
      <c r="AU14" s="289" t="inlineStr">
        <is>
          <t>Concrete
CBC 1705A.3; ACI-318 26.13
Specialty inserts, Stud rails, Rebar mechanical conn., Headed rebar</t>
        </is>
      </c>
      <c r="AV14" s="322" t="n"/>
      <c r="AW14" s="663" t="inlineStr">
        <is>
          <t>OPAA-0020</t>
        </is>
      </c>
      <c r="AX14" s="322" t="inlineStr">
        <is>
          <t>CTS</t>
        </is>
      </c>
      <c r="AY14" s="288" t="n"/>
      <c r="AZ14" s="400" t="n"/>
      <c r="BB14" s="128" t="n"/>
      <c r="BD14" s="5" t="n"/>
      <c r="BE14" s="385" t="n"/>
      <c r="BG14" s="387" t="n"/>
    </row>
    <row r="15" ht="37" customHeight="1" thickBot="1">
      <c r="D15" s="136" t="inlineStr">
        <is>
          <t>D-C8</t>
        </is>
      </c>
      <c r="E15" s="333" t="inlineStr">
        <is>
          <t>X</t>
        </is>
      </c>
      <c r="F15" s="334" t="n"/>
      <c r="G15" s="334" t="n"/>
      <c r="H15" s="334" t="n"/>
      <c r="I15" s="334" t="n"/>
      <c r="J15" s="334" t="n"/>
      <c r="K15" s="334" t="inlineStr">
        <is>
          <t>X</t>
        </is>
      </c>
      <c r="L15" s="334" t="n"/>
      <c r="M15" s="334" t="inlineStr">
        <is>
          <t>X</t>
        </is>
      </c>
      <c r="N15" s="334" t="inlineStr">
        <is>
          <t>X</t>
        </is>
      </c>
      <c r="O15" s="334" t="n"/>
      <c r="P15" s="334" t="n"/>
      <c r="Q15" s="334" t="n"/>
      <c r="R15" s="334" t="n">
        <v>1</v>
      </c>
      <c r="S15" s="334" t="n"/>
      <c r="T15" s="334" t="n"/>
      <c r="U15" s="334" t="n"/>
      <c r="V15" s="334" t="n">
        <v>1</v>
      </c>
      <c r="W15" s="334" t="n">
        <v>1</v>
      </c>
      <c r="X15" s="334" t="n">
        <v>1</v>
      </c>
      <c r="Y15" s="280" t="n"/>
      <c r="Z15" s="280" t="n"/>
      <c r="AA15" s="280" t="n"/>
      <c r="AB15" s="334" t="n">
        <v>1</v>
      </c>
      <c r="AC15" s="334" t="n">
        <v>1</v>
      </c>
      <c r="AD15" s="334" t="n"/>
      <c r="AE15" s="334" t="n">
        <v>1</v>
      </c>
      <c r="AF15" s="334" t="n">
        <v>1</v>
      </c>
      <c r="AG15" s="334" t="n">
        <v>1</v>
      </c>
      <c r="AH15" s="334" t="n"/>
      <c r="AI15" s="334" t="n"/>
      <c r="AJ15" s="334" t="n"/>
      <c r="AK15" s="334" t="n">
        <v>1</v>
      </c>
      <c r="AL15" s="280" t="n"/>
      <c r="AM15" s="280" t="n"/>
      <c r="AN15" s="280" t="n"/>
      <c r="AO15" s="280" t="n"/>
      <c r="AP15" s="280" t="n"/>
      <c r="AQ15" s="280" t="n"/>
      <c r="AR15" s="280" t="n"/>
      <c r="AS15" s="280" t="n"/>
      <c r="AT15" s="281" t="n"/>
      <c r="AU15" s="289" t="inlineStr">
        <is>
          <t>Concrete
CBC 1705A.3.3
Batch plant inspection</t>
        </is>
      </c>
      <c r="AV15" s="322" t="n"/>
      <c r="AW15" s="322" t="inlineStr">
        <is>
          <t>OPAA-0020</t>
        </is>
      </c>
      <c r="AX15" s="322" t="inlineStr">
        <is>
          <t>CTS</t>
        </is>
      </c>
      <c r="AY15" s="288" t="n"/>
      <c r="AZ15" s="400" t="n"/>
      <c r="BB15" s="128" t="n"/>
      <c r="BD15" s="5" t="n"/>
      <c r="BE15" s="385" t="n"/>
      <c r="BG15" s="387" t="n"/>
    </row>
    <row r="16" hidden="1" ht="37" customHeight="1" thickBot="1">
      <c r="D16" s="136" t="inlineStr">
        <is>
          <t>D-C9</t>
        </is>
      </c>
      <c r="E16" s="333" t="n"/>
      <c r="F16" s="334" t="n"/>
      <c r="G16" s="334" t="n"/>
      <c r="H16" s="334" t="n"/>
      <c r="I16" s="334" t="n"/>
      <c r="J16" s="334" t="n"/>
      <c r="K16" s="334" t="n"/>
      <c r="L16" s="334" t="n"/>
      <c r="M16" s="334" t="n"/>
      <c r="N16" s="334" t="n"/>
      <c r="O16" s="334" t="n"/>
      <c r="P16" s="334" t="n"/>
      <c r="Q16" s="334" t="n"/>
      <c r="R16" s="334" t="n"/>
      <c r="S16" s="334" t="n"/>
      <c r="T16" s="334" t="n"/>
      <c r="U16" s="334" t="n"/>
      <c r="V16" s="334" t="n"/>
      <c r="W16" s="334" t="n"/>
      <c r="X16" s="334" t="n"/>
      <c r="Y16" s="334" t="n"/>
      <c r="Z16" s="334" t="n"/>
      <c r="AA16" s="334" t="n"/>
      <c r="AB16" s="334" t="n"/>
      <c r="AC16" s="334" t="n"/>
      <c r="AD16" s="334" t="n"/>
      <c r="AE16" s="334" t="n"/>
      <c r="AF16" s="334" t="n"/>
      <c r="AG16" s="334" t="n"/>
      <c r="AH16" s="334" t="n"/>
      <c r="AI16" s="334" t="n"/>
      <c r="AJ16" s="334" t="n"/>
      <c r="AK16" s="334" t="n"/>
      <c r="AL16" s="334" t="n"/>
      <c r="AM16" s="334" t="n"/>
      <c r="AN16" s="334" t="n"/>
      <c r="AO16" s="334" t="n"/>
      <c r="AP16" s="334" t="n"/>
      <c r="AQ16" s="334" t="n"/>
      <c r="AR16" s="334" t="n"/>
      <c r="AS16" s="334" t="n"/>
      <c r="AT16" s="335" t="n"/>
      <c r="AU16" s="289" t="inlineStr">
        <is>
          <t>Concrete
CBC 1705A.3.4; ACI-318 26.13
Prestressed concrete</t>
        </is>
      </c>
      <c r="AV16" s="322" t="n"/>
      <c r="AW16" s="322" t="n"/>
      <c r="AX16" s="322" t="n"/>
      <c r="AY16" s="288" t="n"/>
      <c r="AZ16" s="400" t="n"/>
      <c r="BB16" s="128" t="n"/>
      <c r="BD16" s="5" t="n"/>
      <c r="BE16" s="385" t="n"/>
      <c r="BG16" s="387" t="n"/>
    </row>
    <row r="17" hidden="1" ht="37" customHeight="1" thickBot="1">
      <c r="D17" s="136" t="inlineStr">
        <is>
          <t>D-C10</t>
        </is>
      </c>
      <c r="E17" s="333" t="n"/>
      <c r="F17" s="334" t="n"/>
      <c r="G17" s="334" t="n"/>
      <c r="H17" s="334" t="n"/>
      <c r="I17" s="334" t="n"/>
      <c r="J17" s="334" t="n"/>
      <c r="K17" s="334" t="n"/>
      <c r="L17" s="334" t="n"/>
      <c r="M17" s="334" t="n"/>
      <c r="N17" s="334" t="n"/>
      <c r="O17" s="334" t="n"/>
      <c r="P17" s="334" t="n"/>
      <c r="Q17" s="334" t="n"/>
      <c r="R17" s="334" t="n"/>
      <c r="S17" s="334" t="n"/>
      <c r="T17" s="334" t="n"/>
      <c r="U17" s="334" t="n"/>
      <c r="V17" s="334" t="n"/>
      <c r="W17" s="334" t="n"/>
      <c r="X17" s="334" t="n"/>
      <c r="Y17" s="334" t="n"/>
      <c r="Z17" s="334" t="n"/>
      <c r="AA17" s="334" t="n"/>
      <c r="AB17" s="334" t="n"/>
      <c r="AC17" s="334" t="n"/>
      <c r="AD17" s="334" t="n"/>
      <c r="AE17" s="334" t="n"/>
      <c r="AF17" s="334" t="n"/>
      <c r="AG17" s="334" t="n"/>
      <c r="AH17" s="334" t="n"/>
      <c r="AI17" s="334" t="n"/>
      <c r="AJ17" s="334" t="n"/>
      <c r="AK17" s="334" t="n"/>
      <c r="AL17" s="334" t="n"/>
      <c r="AM17" s="334" t="n"/>
      <c r="AN17" s="334" t="n"/>
      <c r="AO17" s="334" t="n"/>
      <c r="AP17" s="334" t="n"/>
      <c r="AQ17" s="334" t="n"/>
      <c r="AR17" s="334" t="n"/>
      <c r="AS17" s="334" t="n"/>
      <c r="AT17" s="335" t="n"/>
      <c r="AU17" s="289" t="inlineStr">
        <is>
          <t>Concrete
CBC 1705A.3
Precast concrete fabrication &amp; precast panels</t>
        </is>
      </c>
      <c r="AV17" s="322" t="n"/>
      <c r="AW17" s="322" t="n"/>
      <c r="AX17" s="322" t="n"/>
      <c r="AY17" s="288" t="n"/>
      <c r="AZ17" s="400" t="n"/>
      <c r="BB17" s="128" t="n"/>
      <c r="BD17" s="5" t="n"/>
      <c r="BE17" s="385" t="n"/>
      <c r="BG17" s="387" t="n"/>
    </row>
    <row r="18" hidden="1" ht="37" customHeight="1" thickBot="1">
      <c r="D18" s="136" t="inlineStr">
        <is>
          <t>D-C11</t>
        </is>
      </c>
      <c r="E18" s="333" t="n"/>
      <c r="F18" s="334" t="n"/>
      <c r="G18" s="334" t="n"/>
      <c r="H18" s="334" t="n"/>
      <c r="I18" s="334" t="n"/>
      <c r="J18" s="334" t="n"/>
      <c r="K18" s="334" t="n"/>
      <c r="L18" s="334" t="n"/>
      <c r="M18" s="334" t="n"/>
      <c r="N18" s="334" t="n"/>
      <c r="O18" s="334" t="n"/>
      <c r="P18" s="334" t="n"/>
      <c r="Q18" s="334" t="n"/>
      <c r="R18" s="334" t="n"/>
      <c r="S18" s="334" t="n"/>
      <c r="T18" s="334" t="n"/>
      <c r="U18" s="334" t="n"/>
      <c r="V18" s="334" t="n"/>
      <c r="W18" s="334" t="n"/>
      <c r="X18" s="334" t="n"/>
      <c r="Y18" s="334" t="n"/>
      <c r="Z18" s="334" t="n"/>
      <c r="AA18" s="334" t="n"/>
      <c r="AB18" s="334" t="n"/>
      <c r="AC18" s="334" t="n"/>
      <c r="AD18" s="334" t="n"/>
      <c r="AE18" s="334" t="n"/>
      <c r="AF18" s="334" t="n"/>
      <c r="AG18" s="334" t="n"/>
      <c r="AH18" s="334" t="n"/>
      <c r="AI18" s="334" t="n"/>
      <c r="AJ18" s="334" t="n"/>
      <c r="AK18" s="334" t="n"/>
      <c r="AL18" s="334" t="n"/>
      <c r="AM18" s="334" t="n"/>
      <c r="AN18" s="334" t="n"/>
      <c r="AO18" s="334" t="n"/>
      <c r="AP18" s="334" t="n"/>
      <c r="AQ18" s="334" t="n"/>
      <c r="AR18" s="334" t="n"/>
      <c r="AS18" s="334" t="n"/>
      <c r="AT18" s="335" t="n"/>
      <c r="AU18" s="289" t="inlineStr">
        <is>
          <t>Concrete
CBC 1705A.3
Insulating concrete</t>
        </is>
      </c>
      <c r="AV18" s="322" t="n"/>
      <c r="AW18" s="322" t="n"/>
      <c r="AX18" s="322" t="n"/>
      <c r="AY18" s="288" t="n"/>
      <c r="AZ18" s="400" t="n"/>
      <c r="BB18" s="128" t="n"/>
      <c r="BD18" s="5" t="n"/>
      <c r="BE18" s="385" t="n"/>
      <c r="BG18" s="387" t="n"/>
    </row>
    <row r="19" ht="37" customHeight="1" thickBot="1">
      <c r="D19" s="136" t="inlineStr">
        <is>
          <t>D-C12</t>
        </is>
      </c>
      <c r="E19" s="333" t="n"/>
      <c r="F19" s="334" t="n"/>
      <c r="G19" s="334" t="n"/>
      <c r="H19" s="334" t="n"/>
      <c r="I19" s="334" t="n"/>
      <c r="J19" s="334" t="n"/>
      <c r="K19" s="334" t="n"/>
      <c r="L19" s="334" t="n"/>
      <c r="M19" s="334" t="n"/>
      <c r="N19" s="334" t="n"/>
      <c r="O19" s="334" t="n"/>
      <c r="P19" s="334" t="n"/>
      <c r="Q19" s="334" t="n"/>
      <c r="R19" s="334" t="n"/>
      <c r="S19" s="334" t="n"/>
      <c r="T19" s="334" t="n"/>
      <c r="U19" s="334" t="n"/>
      <c r="V19" s="334" t="n"/>
      <c r="W19" s="334" t="n"/>
      <c r="X19" s="334" t="n">
        <v>1</v>
      </c>
      <c r="Y19" s="334" t="n"/>
      <c r="Z19" s="334" t="n"/>
      <c r="AA19" s="334" t="n"/>
      <c r="AB19" s="334" t="n"/>
      <c r="AC19" s="334" t="n"/>
      <c r="AD19" s="334" t="n"/>
      <c r="AE19" s="334" t="n"/>
      <c r="AF19" s="334" t="n"/>
      <c r="AG19" s="334" t="n"/>
      <c r="AH19" s="334" t="n"/>
      <c r="AI19" s="334" t="n"/>
      <c r="AJ19" s="334" t="n"/>
      <c r="AK19" s="334" t="n"/>
      <c r="AL19" s="334" t="n"/>
      <c r="AM19" s="334" t="n"/>
      <c r="AN19" s="334" t="n"/>
      <c r="AO19" s="334" t="n"/>
      <c r="AP19" s="334" t="n"/>
      <c r="AQ19" s="334" t="n"/>
      <c r="AR19" s="334" t="n"/>
      <c r="AS19" s="334" t="n"/>
      <c r="AT19" s="335" t="n"/>
      <c r="AU19" s="289" t="inlineStr">
        <is>
          <t>Concrete
CBC 1705A.3, 1705A.3.1 &amp; 1903A.8
Welding of reinforcing bars</t>
        </is>
      </c>
      <c r="AV19" s="322" t="n"/>
      <c r="AW19" s="322" t="inlineStr">
        <is>
          <t>OPAA-0020</t>
        </is>
      </c>
      <c r="AX19" s="322" t="inlineStr">
        <is>
          <t>CTS</t>
        </is>
      </c>
      <c r="AY19" s="288" t="n"/>
      <c r="AZ19" s="400" t="n"/>
      <c r="BB19" s="128" t="n"/>
      <c r="BD19" s="5" t="n"/>
      <c r="BE19" s="385" t="n"/>
      <c r="BG19" s="387" t="n"/>
    </row>
    <row r="20" hidden="1" ht="37" customHeight="1" thickBot="1">
      <c r="D20" s="136" t="inlineStr">
        <is>
          <t>D-C13</t>
        </is>
      </c>
      <c r="E20" s="333" t="n"/>
      <c r="F20" s="334" t="n"/>
      <c r="G20" s="334" t="n"/>
      <c r="H20" s="334" t="n"/>
      <c r="I20" s="334" t="n"/>
      <c r="J20" s="334" t="n"/>
      <c r="K20" s="334" t="n"/>
      <c r="L20" s="334" t="n"/>
      <c r="M20" s="334" t="n"/>
      <c r="N20" s="334" t="n"/>
      <c r="O20" s="334" t="n"/>
      <c r="P20" s="334" t="n"/>
      <c r="Q20" s="334" t="n"/>
      <c r="R20" s="334" t="n"/>
      <c r="S20" s="334" t="n"/>
      <c r="T20" s="334" t="n"/>
      <c r="U20" s="334" t="n"/>
      <c r="V20" s="334" t="n"/>
      <c r="W20" s="334" t="n"/>
      <c r="X20" s="334" t="n"/>
      <c r="Y20" s="334" t="n"/>
      <c r="Z20" s="334" t="n"/>
      <c r="AA20" s="334" t="n"/>
      <c r="AB20" s="334" t="n"/>
      <c r="AC20" s="334" t="n"/>
      <c r="AD20" s="334" t="n"/>
      <c r="AE20" s="334" t="n"/>
      <c r="AF20" s="334" t="n"/>
      <c r="AG20" s="334" t="n"/>
      <c r="AH20" s="334" t="n"/>
      <c r="AI20" s="334" t="n"/>
      <c r="AJ20" s="334" t="n"/>
      <c r="AK20" s="334" t="n"/>
      <c r="AL20" s="334" t="n"/>
      <c r="AM20" s="334" t="n"/>
      <c r="AN20" s="334" t="n"/>
      <c r="AO20" s="334" t="n"/>
      <c r="AP20" s="334" t="n"/>
      <c r="AQ20" s="334" t="n"/>
      <c r="AR20" s="334" t="n"/>
      <c r="AS20" s="334" t="n"/>
      <c r="AT20" s="335" t="n"/>
      <c r="AU20" s="289" t="inlineStr">
        <is>
          <t>Concrete
CBC 1705A.12.5
GFRC panels</t>
        </is>
      </c>
      <c r="AV20" s="322" t="n"/>
      <c r="AW20" s="322" t="n"/>
      <c r="AX20" s="322" t="n"/>
      <c r="AY20" s="288" t="n"/>
      <c r="AZ20" s="400" t="n"/>
      <c r="BB20" s="128" t="n"/>
      <c r="BD20" s="5" t="n"/>
      <c r="BE20" s="385" t="n"/>
      <c r="BG20" s="387" t="n"/>
    </row>
    <row r="21" hidden="1" ht="37" customHeight="1" thickBot="1">
      <c r="D21" s="136" t="inlineStr">
        <is>
          <t>D-C14</t>
        </is>
      </c>
      <c r="E21" s="333" t="n"/>
      <c r="F21" s="334" t="n"/>
      <c r="G21" s="334" t="n"/>
      <c r="H21" s="334" t="n"/>
      <c r="I21" s="334" t="n"/>
      <c r="J21" s="334" t="n"/>
      <c r="K21" s="334" t="n"/>
      <c r="L21" s="334" t="n"/>
      <c r="M21" s="334" t="n"/>
      <c r="N21" s="334" t="n"/>
      <c r="O21" s="334" t="n"/>
      <c r="P21" s="334" t="n"/>
      <c r="Q21" s="334" t="n"/>
      <c r="R21" s="334" t="n"/>
      <c r="S21" s="334" t="n"/>
      <c r="T21" s="334" t="n"/>
      <c r="U21" s="334" t="n"/>
      <c r="V21" s="334" t="n"/>
      <c r="W21" s="334" t="n"/>
      <c r="X21" s="334" t="n"/>
      <c r="Y21" s="334" t="n"/>
      <c r="Z21" s="334" t="n"/>
      <c r="AA21" s="334" t="n"/>
      <c r="AB21" s="334" t="n"/>
      <c r="AC21" s="334" t="n"/>
      <c r="AD21" s="334" t="n"/>
      <c r="AE21" s="334" t="n"/>
      <c r="AF21" s="334" t="n"/>
      <c r="AG21" s="334" t="n"/>
      <c r="AH21" s="334" t="n"/>
      <c r="AI21" s="334" t="n"/>
      <c r="AJ21" s="334" t="n"/>
      <c r="AK21" s="334" t="n"/>
      <c r="AL21" s="334" t="n"/>
      <c r="AM21" s="334" t="n"/>
      <c r="AN21" s="334" t="n"/>
      <c r="AO21" s="334" t="n"/>
      <c r="AP21" s="334" t="n"/>
      <c r="AQ21" s="334" t="n"/>
      <c r="AR21" s="334" t="n"/>
      <c r="AS21" s="334" t="n"/>
      <c r="AT21" s="335" t="n"/>
      <c r="AU21" s="289" t="inlineStr">
        <is>
          <t>Concrete
CBC 1911A.3, ICC AC178 Sec. 3 to 8
Strengthening by externally bonded FRP</t>
        </is>
      </c>
      <c r="AV21" s="322" t="n"/>
      <c r="AW21" s="322" t="n"/>
      <c r="AX21" s="322" t="n"/>
      <c r="AY21" s="288" t="n"/>
      <c r="AZ21" s="400" t="n"/>
      <c r="BB21" s="128" t="n"/>
      <c r="BD21" s="5" t="n"/>
      <c r="BE21" s="385" t="n"/>
      <c r="BG21" s="387" t="n"/>
    </row>
    <row r="22" ht="73" customHeight="1" thickBot="1">
      <c r="D22" s="136" t="inlineStr">
        <is>
          <t>D-C15</t>
        </is>
      </c>
      <c r="E22" s="333" t="n"/>
      <c r="F22" s="334" t="n"/>
      <c r="G22" s="334" t="inlineStr">
        <is>
          <t>X</t>
        </is>
      </c>
      <c r="H22" s="334" t="inlineStr">
        <is>
          <t>X</t>
        </is>
      </c>
      <c r="I22" s="334" t="n"/>
      <c r="J22" s="334" t="n"/>
      <c r="K22" s="334" t="inlineStr">
        <is>
          <t>X</t>
        </is>
      </c>
      <c r="L22" s="334" t="n"/>
      <c r="M22" s="334" t="n"/>
      <c r="N22" s="334" t="n"/>
      <c r="O22" s="334" t="n"/>
      <c r="P22" s="334" t="n"/>
      <c r="Q22" s="334" t="n"/>
      <c r="R22" s="334" t="n">
        <v>1</v>
      </c>
      <c r="S22" s="334" t="n"/>
      <c r="T22" s="334" t="n"/>
      <c r="U22" s="334" t="n"/>
      <c r="V22" s="334" t="n"/>
      <c r="W22" s="334" t="n"/>
      <c r="X22" s="334" t="n"/>
      <c r="Y22" s="334" t="n"/>
      <c r="Z22" s="334" t="n"/>
      <c r="AA22" s="334" t="n"/>
      <c r="AB22" s="334" t="n"/>
      <c r="AC22" s="334" t="n"/>
      <c r="AD22" s="334" t="n"/>
      <c r="AE22" s="334" t="n"/>
      <c r="AF22" s="334" t="n"/>
      <c r="AG22" s="334" t="n"/>
      <c r="AH22" s="334" t="n"/>
      <c r="AI22" s="334" t="n"/>
      <c r="AJ22" s="334" t="n"/>
      <c r="AK22" s="334" t="n"/>
      <c r="AL22" s="334" t="n"/>
      <c r="AM22" s="334" t="n"/>
      <c r="AN22" s="334" t="n"/>
      <c r="AO22" s="334" t="n"/>
      <c r="AP22" s="334" t="n"/>
      <c r="AQ22" s="334" t="n"/>
      <c r="AR22" s="334" t="n"/>
      <c r="AS22" s="334" t="n"/>
      <c r="AT22" s="335" t="n"/>
      <c r="AU22" s="287" t="inlineStr">
        <is>
          <t>Concrete
Tests for welded hoop resistance welding defined in reinforcement notes of structural drawing S5.201-1, CalTrans California Test (CT) 670, and Inc 1 specification section 03 20 00 CONCRETE REINFORCING
Shop Welding</t>
        </is>
      </c>
      <c r="AV22" s="322" t="n"/>
      <c r="AW22" s="322" t="inlineStr">
        <is>
          <t>OPAA-0020</t>
        </is>
      </c>
      <c r="AX22" s="322" t="inlineStr">
        <is>
          <t>CTS</t>
        </is>
      </c>
      <c r="AY22" s="354" t="n"/>
      <c r="AZ22" s="400" t="n"/>
      <c r="BB22" s="128" t="n"/>
      <c r="BD22" s="5" t="n"/>
      <c r="BE22" s="385" t="n"/>
      <c r="BG22" s="387" t="n"/>
    </row>
    <row r="23" ht="73" customHeight="1" thickBot="1">
      <c r="D23" s="136" t="inlineStr">
        <is>
          <t>D-C16</t>
        </is>
      </c>
      <c r="E23" s="336" t="n"/>
      <c r="F23" s="337" t="n"/>
      <c r="G23" s="337" t="inlineStr">
        <is>
          <t>X</t>
        </is>
      </c>
      <c r="H23" s="337" t="inlineStr">
        <is>
          <t>X</t>
        </is>
      </c>
      <c r="I23" s="337" t="n"/>
      <c r="J23" s="337" t="n"/>
      <c r="K23" s="337" t="inlineStr">
        <is>
          <t>X</t>
        </is>
      </c>
      <c r="L23" s="337" t="n"/>
      <c r="M23" s="337" t="n"/>
      <c r="N23" s="337" t="n"/>
      <c r="O23" s="337" t="n"/>
      <c r="P23" s="337" t="n"/>
      <c r="Q23" s="337" t="n"/>
      <c r="R23" s="337" t="n">
        <v>1</v>
      </c>
      <c r="S23" s="337" t="n"/>
      <c r="T23" s="337" t="n"/>
      <c r="U23" s="337" t="n"/>
      <c r="V23" s="337" t="n"/>
      <c r="W23" s="337" t="n"/>
      <c r="X23" s="337" t="n"/>
      <c r="Y23" s="337" t="n"/>
      <c r="Z23" s="337" t="n"/>
      <c r="AA23" s="337" t="n"/>
      <c r="AB23" s="337" t="n"/>
      <c r="AC23" s="337" t="n"/>
      <c r="AD23" s="337" t="n"/>
      <c r="AE23" s="337" t="n"/>
      <c r="AF23" s="337" t="n"/>
      <c r="AG23" s="337" t="n"/>
      <c r="AH23" s="337" t="n"/>
      <c r="AI23" s="337" t="n"/>
      <c r="AJ23" s="337" t="n"/>
      <c r="AK23" s="337" t="n"/>
      <c r="AL23" s="337" t="n"/>
      <c r="AM23" s="337" t="n"/>
      <c r="AN23" s="337" t="n"/>
      <c r="AO23" s="337" t="n"/>
      <c r="AP23" s="337" t="n"/>
      <c r="AQ23" s="337" t="n"/>
      <c r="AR23" s="337" t="n"/>
      <c r="AS23" s="337" t="n"/>
      <c r="AT23" s="338" t="n"/>
      <c r="AU23" s="291" t="inlineStr">
        <is>
          <t>Concrete
Tests for welded hoop resistance welding defined in reinforcement notes of structural drawing S5.201-1, CalTrans California Test (CT) 670, and Inc 1 specification section 03 20 00 CONCRETE REINFORCING
Shop Welding - WPS/WPQR</t>
        </is>
      </c>
      <c r="AV23" s="340" t="n"/>
      <c r="AW23" s="340" t="inlineStr">
        <is>
          <t>OPAA-0020</t>
        </is>
      </c>
      <c r="AX23" s="340" t="inlineStr">
        <is>
          <t>CTS</t>
        </is>
      </c>
      <c r="AY23" s="355" t="n"/>
      <c r="AZ23" s="400" t="n"/>
      <c r="BB23" s="128" t="n"/>
      <c r="BD23" s="5" t="n"/>
      <c r="BE23" s="385" t="n"/>
      <c r="BG23" s="387" t="n"/>
    </row>
    <row r="24" hidden="1" ht="18" customHeight="1" thickBot="1">
      <c r="B24" s="3" t="inlineStr">
        <is>
          <t>x12</t>
        </is>
      </c>
      <c r="C24" s="19" t="inlineStr">
        <is>
          <t>Masonry</t>
        </is>
      </c>
      <c r="D24" s="20" t="n"/>
      <c r="E24" s="163" t="n"/>
      <c r="F24" s="163" t="n"/>
      <c r="G24" s="163" t="n"/>
      <c r="H24" s="163" t="n"/>
      <c r="I24" s="163" t="n"/>
      <c r="J24" s="163" t="n"/>
      <c r="K24" s="163" t="n"/>
      <c r="L24" s="163" t="n"/>
      <c r="M24" s="163" t="n"/>
      <c r="N24" s="163" t="n"/>
      <c r="O24" s="163" t="n"/>
      <c r="P24" s="163" t="n"/>
      <c r="Q24" s="163" t="n"/>
      <c r="R24" s="163" t="n"/>
      <c r="S24" s="163" t="n"/>
      <c r="T24" s="163" t="n"/>
      <c r="U24" s="163" t="n"/>
      <c r="V24" s="163" t="n"/>
      <c r="W24" s="163" t="n"/>
      <c r="X24" s="163" t="n"/>
      <c r="Y24" s="163" t="n"/>
      <c r="Z24" s="163" t="n"/>
      <c r="AA24" s="163" t="n"/>
      <c r="AB24" s="163" t="n"/>
      <c r="AC24" s="163" t="n"/>
      <c r="AD24" s="163" t="n"/>
      <c r="AE24" s="163" t="n"/>
      <c r="AF24" s="163" t="n"/>
      <c r="AG24" s="163" t="n"/>
      <c r="AH24" s="163" t="n"/>
      <c r="AI24" s="163" t="n"/>
      <c r="AJ24" s="163" t="n"/>
      <c r="AK24" s="163" t="n"/>
      <c r="AL24" s="163" t="n"/>
      <c r="AM24" s="163" t="n"/>
      <c r="AN24" s="163" t="n"/>
      <c r="AO24" s="163" t="n"/>
      <c r="AP24" s="163" t="n"/>
      <c r="AQ24" s="163" t="n"/>
      <c r="AR24" s="163" t="n"/>
      <c r="AS24" s="163" t="n"/>
      <c r="AT24" s="163" t="n"/>
      <c r="AU24" s="20" t="n"/>
      <c r="AV24" s="49" t="n"/>
      <c r="AW24" s="49" t="n"/>
      <c r="AX24" s="20" t="n"/>
      <c r="AY24" s="49" t="n"/>
      <c r="AZ24" s="22" t="n"/>
      <c r="BB24" s="128" t="n"/>
      <c r="BD24" s="5" t="n"/>
      <c r="BE24" s="385" t="n"/>
      <c r="BG24" s="387" t="n"/>
    </row>
    <row r="25" hidden="1" ht="37" customHeight="1" thickBot="1">
      <c r="D25" s="136" t="inlineStr">
        <is>
          <t>D-MA1</t>
        </is>
      </c>
      <c r="E25" s="330" t="n"/>
      <c r="F25" s="331" t="n"/>
      <c r="G25" s="331" t="n"/>
      <c r="H25" s="331" t="n"/>
      <c r="I25" s="331" t="n"/>
      <c r="J25" s="331" t="n"/>
      <c r="K25" s="331" t="n"/>
      <c r="L25" s="331" t="n"/>
      <c r="M25" s="331" t="n"/>
      <c r="N25" s="331" t="n"/>
      <c r="O25" s="331" t="n"/>
      <c r="P25" s="331" t="n"/>
      <c r="Q25" s="331" t="n"/>
      <c r="R25" s="331" t="n"/>
      <c r="S25" s="331" t="n"/>
      <c r="T25" s="331" t="n"/>
      <c r="U25" s="331" t="n"/>
      <c r="V25" s="331" t="n"/>
      <c r="W25" s="331" t="n"/>
      <c r="X25" s="331" t="n"/>
      <c r="Y25" s="331" t="n"/>
      <c r="Z25" s="331" t="n"/>
      <c r="AA25" s="331" t="n"/>
      <c r="AB25" s="331" t="n"/>
      <c r="AC25" s="331" t="n"/>
      <c r="AD25" s="331" t="n"/>
      <c r="AE25" s="331" t="n"/>
      <c r="AF25" s="331" t="n"/>
      <c r="AG25" s="331" t="n"/>
      <c r="AH25" s="331" t="n"/>
      <c r="AI25" s="331" t="n"/>
      <c r="AJ25" s="331" t="n"/>
      <c r="AK25" s="331" t="n"/>
      <c r="AL25" s="331" t="n"/>
      <c r="AM25" s="331" t="n"/>
      <c r="AN25" s="331" t="n"/>
      <c r="AO25" s="331" t="n"/>
      <c r="AP25" s="331" t="n"/>
      <c r="AQ25" s="331" t="n"/>
      <c r="AR25" s="331" t="n"/>
      <c r="AS25" s="331" t="n"/>
      <c r="AT25" s="332" t="n"/>
      <c r="AU25" s="311" t="inlineStr">
        <is>
          <t>Masonry
CBC 1705A.4
Masonry anchors</t>
        </is>
      </c>
      <c r="AV25" s="339" t="n"/>
      <c r="AW25" s="339" t="n"/>
      <c r="AX25" s="339" t="n"/>
      <c r="AY25" s="286" t="n"/>
      <c r="AZ25" s="4" t="n"/>
      <c r="BB25" s="128" t="n"/>
      <c r="BD25" s="5" t="n"/>
      <c r="BE25" s="385" t="n"/>
      <c r="BG25" s="387" t="n"/>
    </row>
    <row r="26" hidden="1" ht="32" customHeight="1" thickBot="1">
      <c r="D26" s="136" t="inlineStr">
        <is>
          <t>D-MA2</t>
        </is>
      </c>
      <c r="E26" s="333" t="n"/>
      <c r="F26" s="334" t="n"/>
      <c r="G26" s="334" t="n"/>
      <c r="H26" s="334" t="n"/>
      <c r="I26" s="334" t="n"/>
      <c r="J26" s="334" t="n"/>
      <c r="K26" s="334" t="n"/>
      <c r="L26" s="334" t="n"/>
      <c r="M26" s="334" t="n"/>
      <c r="N26" s="334" t="n"/>
      <c r="O26" s="334" t="n"/>
      <c r="P26" s="334" t="n"/>
      <c r="Q26" s="334" t="n"/>
      <c r="R26" s="334" t="n"/>
      <c r="S26" s="334" t="n"/>
      <c r="T26" s="334" t="n"/>
      <c r="U26" s="334" t="n"/>
      <c r="V26" s="334" t="n"/>
      <c r="W26" s="334" t="n"/>
      <c r="X26" s="334" t="n"/>
      <c r="Y26" s="334" t="n"/>
      <c r="Z26" s="334" t="n"/>
      <c r="AA26" s="334" t="n"/>
      <c r="AB26" s="334" t="n"/>
      <c r="AC26" s="334" t="n"/>
      <c r="AD26" s="334" t="n"/>
      <c r="AE26" s="334" t="n"/>
      <c r="AF26" s="334" t="n"/>
      <c r="AG26" s="334" t="n"/>
      <c r="AH26" s="334" t="n"/>
      <c r="AI26" s="334" t="n"/>
      <c r="AJ26" s="334" t="n"/>
      <c r="AK26" s="334" t="n"/>
      <c r="AL26" s="334" t="n"/>
      <c r="AM26" s="334" t="n"/>
      <c r="AN26" s="334" t="n"/>
      <c r="AO26" s="334" t="n"/>
      <c r="AP26" s="334" t="n"/>
      <c r="AQ26" s="334" t="n"/>
      <c r="AR26" s="334" t="n"/>
      <c r="AS26" s="334" t="n"/>
      <c r="AT26" s="335" t="n"/>
      <c r="AU26" s="289" t="n"/>
      <c r="AV26" s="322" t="n"/>
      <c r="AW26" s="322" t="n"/>
      <c r="AX26" s="322" t="n"/>
      <c r="AY26" s="288" t="n"/>
      <c r="AZ26" s="4" t="n"/>
      <c r="BB26" s="128" t="n"/>
      <c r="BD26" s="5" t="n"/>
      <c r="BE26" s="385" t="n"/>
      <c r="BG26" s="387" t="n"/>
    </row>
    <row r="27" hidden="1" ht="32" customHeight="1" thickBot="1">
      <c r="D27" s="136" t="inlineStr">
        <is>
          <t>D-MA3</t>
        </is>
      </c>
      <c r="E27" s="336" t="n"/>
      <c r="F27" s="337" t="n"/>
      <c r="G27" s="337" t="n"/>
      <c r="H27" s="337" t="n"/>
      <c r="I27" s="337" t="n"/>
      <c r="J27" s="337" t="n"/>
      <c r="K27" s="337" t="n"/>
      <c r="L27" s="337" t="n"/>
      <c r="M27" s="337" t="n"/>
      <c r="N27" s="337" t="n"/>
      <c r="O27" s="337" t="n"/>
      <c r="P27" s="337" t="n"/>
      <c r="Q27" s="337" t="n"/>
      <c r="R27" s="337" t="n"/>
      <c r="S27" s="337" t="n"/>
      <c r="T27" s="337" t="n"/>
      <c r="U27" s="337" t="n"/>
      <c r="V27" s="337" t="n"/>
      <c r="W27" s="337" t="n"/>
      <c r="X27" s="337" t="n"/>
      <c r="Y27" s="337" t="n"/>
      <c r="Z27" s="337" t="n"/>
      <c r="AA27" s="337" t="n"/>
      <c r="AB27" s="337" t="n"/>
      <c r="AC27" s="337" t="n"/>
      <c r="AD27" s="337" t="n"/>
      <c r="AE27" s="337" t="n"/>
      <c r="AF27" s="337" t="n"/>
      <c r="AG27" s="337" t="n"/>
      <c r="AH27" s="337" t="n"/>
      <c r="AI27" s="337" t="n"/>
      <c r="AJ27" s="337" t="n"/>
      <c r="AK27" s="337" t="n"/>
      <c r="AL27" s="337" t="n"/>
      <c r="AM27" s="337" t="n"/>
      <c r="AN27" s="337" t="n"/>
      <c r="AO27" s="337" t="n"/>
      <c r="AP27" s="337" t="n"/>
      <c r="AQ27" s="337" t="n"/>
      <c r="AR27" s="337" t="n"/>
      <c r="AS27" s="337" t="n"/>
      <c r="AT27" s="338" t="n"/>
      <c r="AU27" s="323" t="n"/>
      <c r="AV27" s="340" t="n"/>
      <c r="AW27" s="340" t="n"/>
      <c r="AX27" s="340" t="n"/>
      <c r="AY27" s="294" t="n"/>
      <c r="AZ27" s="4" t="n"/>
      <c r="BB27" s="128" t="n"/>
      <c r="BD27" s="5" t="n"/>
      <c r="BE27" s="385" t="n"/>
      <c r="BG27" s="387" t="n"/>
    </row>
    <row r="28" ht="18" customHeight="1" thickBot="1">
      <c r="B28" s="3" t="inlineStr">
        <is>
          <t>x13</t>
        </is>
      </c>
      <c r="C28" s="19" t="inlineStr">
        <is>
          <t>Steel</t>
        </is>
      </c>
      <c r="D28" s="20" t="n"/>
      <c r="E28" s="163" t="n"/>
      <c r="F28" s="163" t="n"/>
      <c r="G28" s="163" t="n"/>
      <c r="H28" s="163" t="n"/>
      <c r="I28" s="163" t="n"/>
      <c r="J28" s="163" t="n"/>
      <c r="K28" s="163" t="n"/>
      <c r="L28" s="163" t="n"/>
      <c r="M28" s="163" t="n"/>
      <c r="N28" s="163" t="n"/>
      <c r="O28" s="163" t="n"/>
      <c r="P28" s="163" t="n"/>
      <c r="Q28" s="163" t="n"/>
      <c r="R28" s="163" t="n"/>
      <c r="S28" s="163" t="n"/>
      <c r="T28" s="163" t="n"/>
      <c r="U28" s="163" t="n"/>
      <c r="V28" s="163" t="n"/>
      <c r="W28" s="163" t="n"/>
      <c r="X28" s="163" t="n"/>
      <c r="Y28" s="163" t="n"/>
      <c r="Z28" s="163" t="n"/>
      <c r="AA28" s="163" t="n"/>
      <c r="AB28" s="163" t="n"/>
      <c r="AC28" s="163" t="n"/>
      <c r="AD28" s="163" t="n"/>
      <c r="AE28" s="163" t="n"/>
      <c r="AF28" s="163" t="n"/>
      <c r="AG28" s="163" t="n"/>
      <c r="AH28" s="163" t="n"/>
      <c r="AI28" s="163" t="n"/>
      <c r="AJ28" s="163" t="n"/>
      <c r="AK28" s="163" t="n"/>
      <c r="AL28" s="163" t="n"/>
      <c r="AM28" s="163" t="n"/>
      <c r="AN28" s="163" t="n"/>
      <c r="AO28" s="163" t="n"/>
      <c r="AP28" s="163" t="n"/>
      <c r="AQ28" s="163" t="n"/>
      <c r="AR28" s="163" t="n"/>
      <c r="AS28" s="163" t="n"/>
      <c r="AT28" s="163" t="n"/>
      <c r="AU28" s="20" t="n"/>
      <c r="AV28" s="49" t="n"/>
      <c r="AW28" s="49" t="n"/>
      <c r="AX28" s="20" t="n"/>
      <c r="AY28" s="49" t="n"/>
      <c r="AZ28" s="22" t="n"/>
      <c r="BB28" s="128" t="n"/>
      <c r="BD28" s="5" t="n"/>
      <c r="BE28" s="385" t="n"/>
      <c r="BG28" s="387" t="n"/>
    </row>
    <row r="29" ht="37" customHeight="1" thickBot="1">
      <c r="D29" s="136" t="inlineStr">
        <is>
          <t>D-S1</t>
        </is>
      </c>
      <c r="E29" s="356" t="n"/>
      <c r="F29" s="357" t="n"/>
      <c r="G29" s="357" t="inlineStr">
        <is>
          <t>X</t>
        </is>
      </c>
      <c r="H29" s="357" t="n"/>
      <c r="I29" s="357" t="n"/>
      <c r="J29" s="357" t="n"/>
      <c r="K29" s="357" t="inlineStr">
        <is>
          <t>X</t>
        </is>
      </c>
      <c r="L29" s="357" t="n"/>
      <c r="M29" s="357" t="inlineStr">
        <is>
          <t>X</t>
        </is>
      </c>
      <c r="N29" s="357" t="inlineStr">
        <is>
          <t>X</t>
        </is>
      </c>
      <c r="O29" s="357" t="inlineStr">
        <is>
          <t>X</t>
        </is>
      </c>
      <c r="P29" s="357" t="inlineStr">
        <is>
          <t>X</t>
        </is>
      </c>
      <c r="Q29" s="357" t="inlineStr">
        <is>
          <t>X</t>
        </is>
      </c>
      <c r="R29" s="357" t="n">
        <v>1</v>
      </c>
      <c r="S29" s="357" t="n">
        <v>1</v>
      </c>
      <c r="T29" s="357" t="n"/>
      <c r="U29" s="357" t="n"/>
      <c r="V29" s="357" t="n">
        <v>1</v>
      </c>
      <c r="W29" s="357" t="n">
        <v>1</v>
      </c>
      <c r="X29" s="357" t="n">
        <v>1</v>
      </c>
      <c r="Y29" s="358" t="n"/>
      <c r="Z29" s="358" t="n"/>
      <c r="AA29" s="358" t="n"/>
      <c r="AB29" s="357" t="n">
        <v>1</v>
      </c>
      <c r="AC29" s="357" t="n">
        <v>1</v>
      </c>
      <c r="AD29" s="357" t="inlineStr">
        <is>
          <t>X</t>
        </is>
      </c>
      <c r="AE29" s="357" t="n">
        <v>1</v>
      </c>
      <c r="AF29" s="357" t="n">
        <v>1</v>
      </c>
      <c r="AG29" s="357" t="n">
        <v>1</v>
      </c>
      <c r="AH29" s="357" t="n"/>
      <c r="AI29" s="357" t="n"/>
      <c r="AJ29" s="357" t="n"/>
      <c r="AK29" s="357" t="n">
        <v>1</v>
      </c>
      <c r="AL29" s="358" t="n"/>
      <c r="AM29" s="358" t="n"/>
      <c r="AN29" s="358" t="n"/>
      <c r="AO29" s="358" t="n"/>
      <c r="AP29" s="358" t="n"/>
      <c r="AQ29" s="358" t="n"/>
      <c r="AR29" s="358" t="n"/>
      <c r="AS29" s="358" t="n">
        <v>1</v>
      </c>
      <c r="AT29" s="359" t="n"/>
      <c r="AU29" s="341" t="inlineStr">
        <is>
          <t>Steel
CBC 1705A.2 &amp; 1705A.12.1, AISC-360 &amp; AISC-341
Steel shop fabrication</t>
        </is>
      </c>
      <c r="AV29" s="368" t="n"/>
      <c r="AW29" s="297" t="inlineStr">
        <is>
          <t xml:space="preserve">OPAA-0016,
OPAA-0020 </t>
        </is>
      </c>
      <c r="AX29" s="343" t="inlineStr">
        <is>
          <t>Fenagh, 
CTS</t>
        </is>
      </c>
      <c r="AY29" s="299" t="n"/>
      <c r="AZ29" s="402" t="n"/>
      <c r="BB29" s="128" t="n"/>
      <c r="BD29" s="5" t="n"/>
      <c r="BE29" s="385" t="n"/>
      <c r="BG29" s="387" t="n"/>
    </row>
    <row r="30" ht="37" customHeight="1" thickBot="1">
      <c r="D30" s="136" t="inlineStr">
        <is>
          <t>D-S2</t>
        </is>
      </c>
      <c r="E30" s="360" t="n"/>
      <c r="F30" s="361" t="n"/>
      <c r="G30" s="361" t="n"/>
      <c r="H30" s="361" t="n"/>
      <c r="I30" s="361" t="n"/>
      <c r="J30" s="361" t="n"/>
      <c r="K30" s="362" t="n"/>
      <c r="L30" s="361" t="n"/>
      <c r="M30" s="361" t="inlineStr">
        <is>
          <t>X</t>
        </is>
      </c>
      <c r="N30" s="361" t="inlineStr">
        <is>
          <t>X</t>
        </is>
      </c>
      <c r="O30" s="361" t="inlineStr">
        <is>
          <t>X</t>
        </is>
      </c>
      <c r="P30" s="361" t="inlineStr">
        <is>
          <t>X</t>
        </is>
      </c>
      <c r="Q30" s="361" t="inlineStr">
        <is>
          <t>X</t>
        </is>
      </c>
      <c r="R30" s="361" t="n">
        <v>1</v>
      </c>
      <c r="S30" s="361" t="n"/>
      <c r="T30" s="361" t="n"/>
      <c r="U30" s="361" t="n"/>
      <c r="V30" s="361" t="n">
        <v>1</v>
      </c>
      <c r="W30" s="361" t="n">
        <v>1</v>
      </c>
      <c r="X30" s="361" t="n">
        <v>1</v>
      </c>
      <c r="Y30" s="362" t="n"/>
      <c r="Z30" s="362" t="n"/>
      <c r="AA30" s="362" t="n"/>
      <c r="AB30" s="361" t="n">
        <v>1</v>
      </c>
      <c r="AC30" s="361" t="n">
        <v>1</v>
      </c>
      <c r="AD30" s="361" t="inlineStr">
        <is>
          <t>X</t>
        </is>
      </c>
      <c r="AE30" s="361" t="n">
        <v>1</v>
      </c>
      <c r="AF30" s="361" t="n">
        <v>1</v>
      </c>
      <c r="AG30" s="361" t="n">
        <v>1</v>
      </c>
      <c r="AH30" s="361" t="n"/>
      <c r="AI30" s="361" t="n"/>
      <c r="AJ30" s="361" t="n"/>
      <c r="AK30" s="361" t="n">
        <v>1</v>
      </c>
      <c r="AL30" s="362" t="n"/>
      <c r="AM30" s="362" t="n"/>
      <c r="AN30" s="362" t="n"/>
      <c r="AO30" s="362" t="n"/>
      <c r="AP30" s="362" t="n"/>
      <c r="AQ30" s="362" t="n"/>
      <c r="AR30" s="362" t="n"/>
      <c r="AS30" s="362" t="n"/>
      <c r="AT30" s="363" t="n"/>
      <c r="AU30" s="344" t="inlineStr">
        <is>
          <t>Steel
CBC 1705A.2.5 &amp; 1705A.12.1
Automatic end-welded studs</t>
        </is>
      </c>
      <c r="AV30" s="345" t="n"/>
      <c r="AW30" s="301" t="inlineStr">
        <is>
          <t xml:space="preserve">OPAA-0016,
OPAA-0020 </t>
        </is>
      </c>
      <c r="AX30" s="304" t="inlineStr">
        <is>
          <t>Fenagh, 
CTS</t>
        </is>
      </c>
      <c r="AY30" s="303" t="n"/>
      <c r="AZ30" s="402" t="n"/>
      <c r="BB30" s="128" t="n"/>
      <c r="BD30" s="5" t="n"/>
      <c r="BE30" s="385" t="n"/>
      <c r="BG30" s="387" t="n"/>
    </row>
    <row r="31" ht="37" customHeight="1" thickBot="1">
      <c r="D31" s="136" t="inlineStr">
        <is>
          <t>D-S3</t>
        </is>
      </c>
      <c r="E31" s="360" t="n"/>
      <c r="F31" s="361" t="n"/>
      <c r="G31" s="361" t="n"/>
      <c r="H31" s="361" t="n"/>
      <c r="I31" s="361" t="n"/>
      <c r="J31" s="361" t="n"/>
      <c r="K31" s="362" t="inlineStr">
        <is>
          <t>X</t>
        </is>
      </c>
      <c r="L31" s="361" t="n"/>
      <c r="M31" s="361" t="n"/>
      <c r="N31" s="361" t="n"/>
      <c r="O31" s="361" t="n"/>
      <c r="P31" s="361" t="inlineStr">
        <is>
          <t>X</t>
        </is>
      </c>
      <c r="Q31" s="361" t="inlineStr">
        <is>
          <t>X</t>
        </is>
      </c>
      <c r="R31" s="361" t="n">
        <v>1</v>
      </c>
      <c r="S31" s="361" t="n">
        <v>1</v>
      </c>
      <c r="T31" s="361" t="n"/>
      <c r="U31" s="361" t="n"/>
      <c r="V31" s="361" t="n"/>
      <c r="W31" s="361" t="n">
        <v>1</v>
      </c>
      <c r="X31" s="361" t="n">
        <v>1</v>
      </c>
      <c r="Y31" s="362" t="n"/>
      <c r="Z31" s="362" t="n"/>
      <c r="AA31" s="362" t="n"/>
      <c r="AB31" s="361" t="n">
        <v>1</v>
      </c>
      <c r="AC31" s="361" t="n">
        <v>1</v>
      </c>
      <c r="AD31" s="361" t="inlineStr">
        <is>
          <t>X</t>
        </is>
      </c>
      <c r="AE31" s="361" t="n"/>
      <c r="AF31" s="361" t="n">
        <v>1</v>
      </c>
      <c r="AG31" s="361" t="n"/>
      <c r="AH31" s="361" t="n"/>
      <c r="AI31" s="361" t="n"/>
      <c r="AJ31" s="361" t="n"/>
      <c r="AK31" s="361" t="n"/>
      <c r="AL31" s="362" t="n"/>
      <c r="AM31" s="362" t="n"/>
      <c r="AN31" s="362" t="n"/>
      <c r="AO31" s="362" t="n"/>
      <c r="AP31" s="362" t="n"/>
      <c r="AQ31" s="362" t="n"/>
      <c r="AR31" s="362" t="n"/>
      <c r="AS31" s="362" t="n">
        <v>1</v>
      </c>
      <c r="AT31" s="363" t="n"/>
      <c r="AU31" s="344" t="inlineStr">
        <is>
          <t>Steel
CBC 1705A.2.5 &amp; 1705A.12.1
Shop welding</t>
        </is>
      </c>
      <c r="AV31" s="345" t="n"/>
      <c r="AW31" s="301" t="inlineStr">
        <is>
          <t xml:space="preserve">OPAA-0016,
OPAA-0020 </t>
        </is>
      </c>
      <c r="AX31" s="304" t="inlineStr">
        <is>
          <t>Fenagh, 
CTS</t>
        </is>
      </c>
      <c r="AY31" s="303" t="n"/>
      <c r="AZ31" s="402" t="n"/>
      <c r="BB31" s="128" t="n"/>
      <c r="BD31" s="5" t="n"/>
      <c r="BE31" s="385" t="n"/>
      <c r="BG31" s="387" t="n"/>
    </row>
    <row r="32" ht="37" customHeight="1" thickBot="1">
      <c r="D32" s="136" t="inlineStr">
        <is>
          <t>D-S4</t>
        </is>
      </c>
      <c r="E32" s="360" t="n"/>
      <c r="F32" s="361" t="n"/>
      <c r="G32" s="361" t="n"/>
      <c r="H32" s="361" t="n"/>
      <c r="I32" s="361" t="n"/>
      <c r="J32" s="361" t="n"/>
      <c r="K32" s="362" t="inlineStr">
        <is>
          <t>X</t>
        </is>
      </c>
      <c r="L32" s="361" t="n"/>
      <c r="M32" s="361" t="n"/>
      <c r="N32" s="361" t="n"/>
      <c r="O32" s="361" t="n"/>
      <c r="P32" s="361" t="inlineStr">
        <is>
          <t>X</t>
        </is>
      </c>
      <c r="Q32" s="361" t="inlineStr">
        <is>
          <t>X</t>
        </is>
      </c>
      <c r="R32" s="361" t="n">
        <v>1</v>
      </c>
      <c r="S32" s="361" t="n">
        <v>1</v>
      </c>
      <c r="T32" s="361" t="n"/>
      <c r="U32" s="361" t="n"/>
      <c r="V32" s="361" t="n"/>
      <c r="W32" s="361" t="n">
        <v>1</v>
      </c>
      <c r="X32" s="361" t="n">
        <v>1</v>
      </c>
      <c r="Y32" s="362" t="n"/>
      <c r="Z32" s="362" t="n"/>
      <c r="AA32" s="362" t="n"/>
      <c r="AB32" s="361" t="n">
        <v>1</v>
      </c>
      <c r="AC32" s="361" t="n">
        <v>1</v>
      </c>
      <c r="AD32" s="361" t="inlineStr">
        <is>
          <t>X</t>
        </is>
      </c>
      <c r="AE32" s="361" t="n"/>
      <c r="AF32" s="361" t="n">
        <v>1</v>
      </c>
      <c r="AG32" s="361" t="n"/>
      <c r="AH32" s="361" t="n"/>
      <c r="AI32" s="361" t="n"/>
      <c r="AJ32" s="361" t="n"/>
      <c r="AK32" s="361" t="n"/>
      <c r="AL32" s="362" t="n"/>
      <c r="AM32" s="362" t="n"/>
      <c r="AN32" s="362" t="n"/>
      <c r="AO32" s="362" t="n"/>
      <c r="AP32" s="362" t="n"/>
      <c r="AQ32" s="362" t="n"/>
      <c r="AR32" s="362" t="n"/>
      <c r="AS32" s="362" t="n">
        <v>1</v>
      </c>
      <c r="AT32" s="363" t="n"/>
      <c r="AU32" s="344" t="inlineStr">
        <is>
          <t>Steel
AWS D1.1 3 &amp; 4 and AWS D1.8 6.1
Shop welding - WPS / WPQR</t>
        </is>
      </c>
      <c r="AV32" s="345" t="n"/>
      <c r="AW32" s="301" t="inlineStr">
        <is>
          <t xml:space="preserve">OPAA-0016,
OPAA-0020 </t>
        </is>
      </c>
      <c r="AX32" s="304" t="inlineStr">
        <is>
          <t>Fenagh, 
CTS</t>
        </is>
      </c>
      <c r="AY32" s="303" t="n"/>
      <c r="AZ32" s="402" t="n"/>
      <c r="BB32" s="128" t="n"/>
      <c r="BD32" s="5" t="n"/>
      <c r="BE32" s="385" t="n"/>
      <c r="BG32" s="387" t="n"/>
    </row>
    <row r="33" hidden="1" ht="37" customHeight="1" thickBot="1">
      <c r="D33" s="136" t="inlineStr">
        <is>
          <t>D-S5</t>
        </is>
      </c>
      <c r="E33" s="360" t="n"/>
      <c r="F33" s="361" t="n"/>
      <c r="G33" s="361" t="n"/>
      <c r="H33" s="361" t="n"/>
      <c r="I33" s="361" t="n"/>
      <c r="J33" s="361" t="n"/>
      <c r="K33" s="362" t="n"/>
      <c r="L33" s="361" t="n"/>
      <c r="M33" s="361" t="n"/>
      <c r="N33" s="361" t="n"/>
      <c r="O33" s="361" t="n"/>
      <c r="P33" s="361" t="n"/>
      <c r="Q33" s="361" t="n"/>
      <c r="R33" s="361" t="n"/>
      <c r="S33" s="361" t="n"/>
      <c r="T33" s="361" t="n"/>
      <c r="U33" s="361" t="n"/>
      <c r="V33" s="361" t="n"/>
      <c r="W33" s="361" t="n"/>
      <c r="X33" s="361" t="n"/>
      <c r="Y33" s="362" t="n"/>
      <c r="Z33" s="362" t="n"/>
      <c r="AA33" s="362" t="n"/>
      <c r="AB33" s="361" t="n"/>
      <c r="AC33" s="361" t="n"/>
      <c r="AD33" s="361" t="n"/>
      <c r="AE33" s="361" t="n"/>
      <c r="AF33" s="361" t="n"/>
      <c r="AG33" s="361" t="n"/>
      <c r="AH33" s="361" t="n"/>
      <c r="AI33" s="361" t="n"/>
      <c r="AJ33" s="361" t="n"/>
      <c r="AK33" s="361" t="n"/>
      <c r="AL33" s="362" t="n"/>
      <c r="AM33" s="362" t="n"/>
      <c r="AN33" s="362" t="n"/>
      <c r="AO33" s="362" t="n"/>
      <c r="AP33" s="362" t="n"/>
      <c r="AQ33" s="362" t="n"/>
      <c r="AR33" s="362" t="n"/>
      <c r="AS33" s="362" t="n"/>
      <c r="AT33" s="363" t="n"/>
      <c r="AU33" s="344" t="inlineStr">
        <is>
          <t>Steel
CBC 1705A.2 &amp; 1705A.12.1
High strength bolt installation</t>
        </is>
      </c>
      <c r="AV33" s="346" t="n"/>
      <c r="AW33" s="301" t="inlineStr">
        <is>
          <t>OPAA-0015</t>
        </is>
      </c>
      <c r="AX33" s="302" t="inlineStr">
        <is>
          <t>RMA</t>
        </is>
      </c>
      <c r="AY33" s="303" t="n"/>
      <c r="AZ33" s="6" t="n"/>
      <c r="BB33" s="128" t="n"/>
      <c r="BD33" s="5" t="n"/>
      <c r="BE33" s="385" t="n"/>
      <c r="BG33" s="387" t="n"/>
    </row>
    <row r="34" hidden="1" ht="37" customHeight="1" thickBot="1">
      <c r="D34" s="136" t="inlineStr">
        <is>
          <t>D-S6</t>
        </is>
      </c>
      <c r="E34" s="360" t="n"/>
      <c r="F34" s="361" t="n"/>
      <c r="G34" s="361" t="n"/>
      <c r="H34" s="361" t="n"/>
      <c r="I34" s="361" t="n"/>
      <c r="J34" s="361" t="n"/>
      <c r="K34" s="361" t="n"/>
      <c r="L34" s="361" t="n"/>
      <c r="M34" s="361" t="n"/>
      <c r="N34" s="361" t="n"/>
      <c r="O34" s="361" t="n"/>
      <c r="P34" s="361" t="n"/>
      <c r="Q34" s="361" t="n"/>
      <c r="R34" s="361" t="n"/>
      <c r="S34" s="361" t="n"/>
      <c r="T34" s="361" t="n"/>
      <c r="U34" s="361" t="n"/>
      <c r="V34" s="361" t="n"/>
      <c r="W34" s="361" t="n"/>
      <c r="X34" s="361" t="n"/>
      <c r="Y34" s="361" t="n"/>
      <c r="Z34" s="361" t="n"/>
      <c r="AA34" s="361" t="n"/>
      <c r="AB34" s="361" t="n"/>
      <c r="AC34" s="361" t="n"/>
      <c r="AD34" s="361" t="n"/>
      <c r="AE34" s="361" t="n"/>
      <c r="AF34" s="361" t="n"/>
      <c r="AG34" s="361" t="n"/>
      <c r="AH34" s="361" t="n"/>
      <c r="AI34" s="361" t="n"/>
      <c r="AJ34" s="361" t="n"/>
      <c r="AK34" s="361" t="n"/>
      <c r="AL34" s="361" t="n"/>
      <c r="AM34" s="361" t="n"/>
      <c r="AN34" s="361" t="n"/>
      <c r="AO34" s="361" t="n"/>
      <c r="AP34" s="361" t="n"/>
      <c r="AQ34" s="361" t="n"/>
      <c r="AR34" s="361" t="n"/>
      <c r="AS34" s="361" t="n"/>
      <c r="AT34" s="364" t="n"/>
      <c r="AU34" s="344" t="inlineStr">
        <is>
          <t>Steel
CBC 1705A.2, 1705A.11.2 &amp; 1705A.12.3
Cold-formed steel light frame construction</t>
        </is>
      </c>
      <c r="AV34" s="346" t="n"/>
      <c r="AW34" s="346" t="n"/>
      <c r="AX34" s="346" t="n"/>
      <c r="AY34" s="303" t="n"/>
      <c r="AZ34" s="6" t="n"/>
      <c r="BB34" s="128" t="n"/>
      <c r="BD34" s="5" t="n"/>
      <c r="BE34" s="385" t="n"/>
      <c r="BG34" s="387" t="n"/>
    </row>
    <row r="35" hidden="1" ht="24" customHeight="1" thickBot="1">
      <c r="D35" s="136" t="inlineStr">
        <is>
          <t>D-S7</t>
        </is>
      </c>
      <c r="E35" s="360" t="n"/>
      <c r="F35" s="361" t="n"/>
      <c r="G35" s="361" t="n"/>
      <c r="H35" s="361" t="n"/>
      <c r="I35" s="361" t="n"/>
      <c r="J35" s="361" t="n"/>
      <c r="K35" s="361" t="n"/>
      <c r="L35" s="361" t="n"/>
      <c r="M35" s="361" t="n"/>
      <c r="N35" s="361" t="n"/>
      <c r="O35" s="361" t="n"/>
      <c r="P35" s="361" t="n"/>
      <c r="Q35" s="361" t="n"/>
      <c r="R35" s="361" t="n"/>
      <c r="S35" s="361" t="n"/>
      <c r="T35" s="361" t="n"/>
      <c r="U35" s="361" t="n"/>
      <c r="V35" s="361" t="n"/>
      <c r="W35" s="361" t="n"/>
      <c r="X35" s="361" t="n"/>
      <c r="Y35" s="361" t="n"/>
      <c r="Z35" s="361" t="n"/>
      <c r="AA35" s="361" t="n"/>
      <c r="AB35" s="361" t="n"/>
      <c r="AC35" s="361" t="n"/>
      <c r="AD35" s="361" t="n"/>
      <c r="AE35" s="361" t="n"/>
      <c r="AF35" s="361" t="n"/>
      <c r="AG35" s="361" t="n"/>
      <c r="AH35" s="361" t="n"/>
      <c r="AI35" s="361" t="n"/>
      <c r="AJ35" s="361" t="n"/>
      <c r="AK35" s="361" t="n"/>
      <c r="AL35" s="361" t="n"/>
      <c r="AM35" s="361" t="n"/>
      <c r="AN35" s="361" t="n"/>
      <c r="AO35" s="361" t="n"/>
      <c r="AP35" s="361" t="n"/>
      <c r="AQ35" s="361" t="n"/>
      <c r="AR35" s="361" t="n"/>
      <c r="AS35" s="361" t="n"/>
      <c r="AT35" s="364" t="n"/>
      <c r="AU35" s="344" t="n"/>
      <c r="AV35" s="346" t="n"/>
      <c r="AW35" s="346" t="n"/>
      <c r="AX35" s="346" t="n"/>
      <c r="AY35" s="303" t="n"/>
      <c r="AZ35" s="6" t="n"/>
      <c r="BB35" s="128" t="n"/>
      <c r="BD35" s="5" t="n"/>
      <c r="BE35" s="385" t="n"/>
      <c r="BG35" s="387" t="n"/>
    </row>
    <row r="36" hidden="1" ht="24" customHeight="1" thickBot="1">
      <c r="D36" s="136" t="inlineStr">
        <is>
          <t>D-S8</t>
        </is>
      </c>
      <c r="E36" s="365" t="n"/>
      <c r="F36" s="366" t="n"/>
      <c r="G36" s="366" t="n"/>
      <c r="H36" s="366" t="n"/>
      <c r="I36" s="366" t="n"/>
      <c r="J36" s="366" t="n"/>
      <c r="K36" s="366" t="n"/>
      <c r="L36" s="366" t="n"/>
      <c r="M36" s="366" t="n"/>
      <c r="N36" s="366" t="n"/>
      <c r="O36" s="366" t="n"/>
      <c r="P36" s="366" t="n"/>
      <c r="Q36" s="366" t="n"/>
      <c r="R36" s="366" t="n"/>
      <c r="S36" s="366" t="n"/>
      <c r="T36" s="366" t="n"/>
      <c r="U36" s="366" t="n"/>
      <c r="V36" s="366" t="n"/>
      <c r="W36" s="366" t="n"/>
      <c r="X36" s="366" t="n"/>
      <c r="Y36" s="366" t="n"/>
      <c r="Z36" s="366" t="n"/>
      <c r="AA36" s="366" t="n"/>
      <c r="AB36" s="366" t="n"/>
      <c r="AC36" s="366" t="n"/>
      <c r="AD36" s="366" t="n"/>
      <c r="AE36" s="366" t="n"/>
      <c r="AF36" s="366" t="n"/>
      <c r="AG36" s="366" t="n"/>
      <c r="AH36" s="366" t="n"/>
      <c r="AI36" s="366" t="n"/>
      <c r="AJ36" s="366" t="n"/>
      <c r="AK36" s="366" t="n"/>
      <c r="AL36" s="366" t="n"/>
      <c r="AM36" s="366" t="n"/>
      <c r="AN36" s="366" t="n"/>
      <c r="AO36" s="366" t="n"/>
      <c r="AP36" s="366" t="n"/>
      <c r="AQ36" s="366" t="n"/>
      <c r="AR36" s="366" t="n"/>
      <c r="AS36" s="366" t="n"/>
      <c r="AT36" s="367" t="n"/>
      <c r="AU36" s="347" t="n"/>
      <c r="AV36" s="348" t="n"/>
      <c r="AW36" s="348" t="n"/>
      <c r="AX36" s="348" t="n"/>
      <c r="AY36" s="308" t="n"/>
      <c r="AZ36" s="6" t="n"/>
      <c r="BB36" s="128" t="n"/>
      <c r="BD36" s="5" t="n"/>
      <c r="BE36" s="385" t="n"/>
      <c r="BG36" s="387" t="n"/>
    </row>
    <row r="37" hidden="1" ht="18" customHeight="1" thickBot="1">
      <c r="B37" s="3" t="inlineStr">
        <is>
          <t>x14</t>
        </is>
      </c>
      <c r="C37" s="19" t="inlineStr">
        <is>
          <t>Wood</t>
        </is>
      </c>
      <c r="D37" s="20" t="n"/>
      <c r="E37" s="163" t="n"/>
      <c r="F37" s="163" t="n"/>
      <c r="G37" s="163" t="n"/>
      <c r="H37" s="163" t="n"/>
      <c r="I37" s="163" t="n"/>
      <c r="J37" s="163" t="n"/>
      <c r="K37" s="163" t="n"/>
      <c r="L37" s="163" t="n"/>
      <c r="M37" s="163" t="n"/>
      <c r="N37" s="163" t="n"/>
      <c r="O37" s="163" t="n"/>
      <c r="P37" s="163" t="n"/>
      <c r="Q37" s="163" t="n"/>
      <c r="R37" s="163" t="n"/>
      <c r="S37" s="163" t="n"/>
      <c r="T37" s="163" t="n"/>
      <c r="U37" s="163" t="n"/>
      <c r="V37" s="163" t="n"/>
      <c r="W37" s="163" t="n"/>
      <c r="X37" s="163" t="n"/>
      <c r="Y37" s="163" t="n"/>
      <c r="Z37" s="163" t="n"/>
      <c r="AA37" s="163" t="n"/>
      <c r="AB37" s="163" t="n"/>
      <c r="AC37" s="163" t="n"/>
      <c r="AD37" s="163" t="n"/>
      <c r="AE37" s="163" t="n"/>
      <c r="AF37" s="163" t="n"/>
      <c r="AG37" s="163" t="n"/>
      <c r="AH37" s="163" t="n"/>
      <c r="AI37" s="163" t="n"/>
      <c r="AJ37" s="163" t="n"/>
      <c r="AK37" s="163" t="n"/>
      <c r="AL37" s="163" t="n"/>
      <c r="AM37" s="163" t="n"/>
      <c r="AN37" s="163" t="n"/>
      <c r="AO37" s="163" t="n"/>
      <c r="AP37" s="163" t="n"/>
      <c r="AQ37" s="163" t="n"/>
      <c r="AR37" s="163" t="n"/>
      <c r="AS37" s="163" t="n"/>
      <c r="AT37" s="163" t="n"/>
      <c r="AU37" s="20" t="n"/>
      <c r="AV37" s="49" t="n"/>
      <c r="AW37" s="49" t="n"/>
      <c r="AX37" s="20" t="n"/>
      <c r="AY37" s="49" t="n"/>
      <c r="AZ37" s="22" t="n"/>
      <c r="BB37" s="128" t="n"/>
      <c r="BD37" s="5" t="n"/>
      <c r="BE37" s="385" t="n"/>
      <c r="BG37" s="387" t="n"/>
    </row>
    <row r="38" hidden="1" ht="37" customHeight="1" thickBot="1">
      <c r="C38" s="92" t="n"/>
      <c r="D38" s="136" t="inlineStr">
        <is>
          <t>D-W1</t>
        </is>
      </c>
      <c r="E38" s="330" t="n"/>
      <c r="F38" s="331" t="n"/>
      <c r="G38" s="331" t="n"/>
      <c r="H38" s="331" t="n"/>
      <c r="I38" s="331" t="n"/>
      <c r="J38" s="331" t="n"/>
      <c r="K38" s="331" t="n"/>
      <c r="L38" s="331" t="n"/>
      <c r="M38" s="331" t="n"/>
      <c r="N38" s="331" t="n"/>
      <c r="O38" s="331" t="n"/>
      <c r="P38" s="331" t="n"/>
      <c r="Q38" s="331" t="n"/>
      <c r="R38" s="331" t="n"/>
      <c r="S38" s="331" t="n"/>
      <c r="T38" s="331" t="n"/>
      <c r="U38" s="331" t="n"/>
      <c r="V38" s="331" t="n"/>
      <c r="W38" s="331" t="n"/>
      <c r="X38" s="331" t="n"/>
      <c r="Y38" s="331" t="n"/>
      <c r="Z38" s="331" t="n"/>
      <c r="AA38" s="331" t="n"/>
      <c r="AB38" s="331" t="n"/>
      <c r="AC38" s="331" t="n"/>
      <c r="AD38" s="331" t="n"/>
      <c r="AE38" s="331" t="n"/>
      <c r="AF38" s="331" t="n"/>
      <c r="AG38" s="331" t="n"/>
      <c r="AH38" s="331" t="n"/>
      <c r="AI38" s="331" t="n"/>
      <c r="AJ38" s="331" t="n"/>
      <c r="AK38" s="331" t="n"/>
      <c r="AL38" s="331" t="n"/>
      <c r="AM38" s="331" t="n"/>
      <c r="AN38" s="331" t="n"/>
      <c r="AO38" s="331" t="n"/>
      <c r="AP38" s="331" t="n"/>
      <c r="AQ38" s="331" t="n"/>
      <c r="AR38" s="331" t="n"/>
      <c r="AS38" s="331" t="n"/>
      <c r="AT38" s="332" t="n"/>
      <c r="AU38" s="311" t="inlineStr">
        <is>
          <t>Wood
CBC 1705A.5, 1705A.5.4, 1705A.11.1 &amp; 1705A.12.2
Glue laminated timber</t>
        </is>
      </c>
      <c r="AV38" s="339" t="n"/>
      <c r="AW38" s="339" t="n"/>
      <c r="AX38" s="339" t="n"/>
      <c r="AY38" s="286" t="n"/>
      <c r="AZ38" s="4" t="n"/>
      <c r="BB38" s="128" t="n"/>
      <c r="BD38" s="5" t="n"/>
      <c r="BE38" s="385" t="n"/>
      <c r="BG38" s="387" t="n"/>
    </row>
    <row r="39" hidden="1" ht="37" customHeight="1" thickBot="1">
      <c r="D39" s="136" t="inlineStr">
        <is>
          <t>D-W2</t>
        </is>
      </c>
      <c r="E39" s="333" t="n"/>
      <c r="F39" s="334" t="n"/>
      <c r="G39" s="334" t="n"/>
      <c r="H39" s="334" t="n"/>
      <c r="I39" s="334" t="n"/>
      <c r="J39" s="334" t="n"/>
      <c r="K39" s="334" t="n"/>
      <c r="L39" s="334" t="n"/>
      <c r="M39" s="334" t="n"/>
      <c r="N39" s="334" t="n"/>
      <c r="O39" s="334" t="n"/>
      <c r="P39" s="334" t="n"/>
      <c r="Q39" s="334" t="n"/>
      <c r="R39" s="334" t="n"/>
      <c r="S39" s="334" t="n"/>
      <c r="T39" s="334" t="n"/>
      <c r="U39" s="334" t="n"/>
      <c r="V39" s="334" t="n"/>
      <c r="W39" s="334" t="n"/>
      <c r="X39" s="334" t="n"/>
      <c r="Y39" s="334" t="n"/>
      <c r="Z39" s="334" t="n"/>
      <c r="AA39" s="334" t="n"/>
      <c r="AB39" s="334" t="n"/>
      <c r="AC39" s="334" t="n"/>
      <c r="AD39" s="334" t="n"/>
      <c r="AE39" s="334" t="n"/>
      <c r="AF39" s="334" t="n"/>
      <c r="AG39" s="334" t="n"/>
      <c r="AH39" s="334" t="n"/>
      <c r="AI39" s="334" t="n"/>
      <c r="AJ39" s="334" t="n"/>
      <c r="AK39" s="334" t="n"/>
      <c r="AL39" s="334" t="n"/>
      <c r="AM39" s="334" t="n"/>
      <c r="AN39" s="334" t="n"/>
      <c r="AO39" s="334" t="n"/>
      <c r="AP39" s="334" t="n"/>
      <c r="AQ39" s="334" t="n"/>
      <c r="AR39" s="334" t="n"/>
      <c r="AS39" s="334" t="n"/>
      <c r="AT39" s="335" t="n"/>
      <c r="AU39" s="289" t="inlineStr">
        <is>
          <t>Wood
CBC 1705A.5.6, 1705A.11.1 &amp; 1705A.12.2
Installation of timber connectors</t>
        </is>
      </c>
      <c r="AV39" s="322" t="n"/>
      <c r="AW39" s="322" t="n"/>
      <c r="AX39" s="322" t="n"/>
      <c r="AY39" s="288" t="n"/>
      <c r="AZ39" s="4" t="n"/>
      <c r="BB39" s="128" t="n"/>
      <c r="BD39" s="5" t="n"/>
      <c r="BE39" s="385" t="n"/>
      <c r="BG39" s="387" t="n"/>
    </row>
    <row r="40" hidden="1" ht="37" customHeight="1" thickBot="1">
      <c r="D40" s="136" t="inlineStr">
        <is>
          <t>D-W3</t>
        </is>
      </c>
      <c r="E40" s="333" t="n"/>
      <c r="F40" s="334" t="n"/>
      <c r="G40" s="334" t="n"/>
      <c r="H40" s="334" t="n"/>
      <c r="I40" s="334" t="n"/>
      <c r="J40" s="334" t="n"/>
      <c r="K40" s="334" t="n"/>
      <c r="L40" s="334" t="n"/>
      <c r="M40" s="334" t="n"/>
      <c r="N40" s="334" t="n"/>
      <c r="O40" s="334" t="n"/>
      <c r="P40" s="334" t="n"/>
      <c r="Q40" s="334" t="n"/>
      <c r="R40" s="334" t="n"/>
      <c r="S40" s="334" t="n"/>
      <c r="T40" s="334" t="n"/>
      <c r="U40" s="334" t="n"/>
      <c r="V40" s="334" t="n"/>
      <c r="W40" s="334" t="n"/>
      <c r="X40" s="334" t="n"/>
      <c r="Y40" s="334" t="n"/>
      <c r="Z40" s="334" t="n"/>
      <c r="AA40" s="334" t="n"/>
      <c r="AB40" s="334" t="n"/>
      <c r="AC40" s="334" t="n"/>
      <c r="AD40" s="334" t="n"/>
      <c r="AE40" s="334" t="n"/>
      <c r="AF40" s="334" t="n"/>
      <c r="AG40" s="334" t="n"/>
      <c r="AH40" s="334" t="n"/>
      <c r="AI40" s="334" t="n"/>
      <c r="AJ40" s="334" t="n"/>
      <c r="AK40" s="334" t="n"/>
      <c r="AL40" s="334" t="n"/>
      <c r="AM40" s="334" t="n"/>
      <c r="AN40" s="334" t="n"/>
      <c r="AO40" s="334" t="n"/>
      <c r="AP40" s="334" t="n"/>
      <c r="AQ40" s="334" t="n"/>
      <c r="AR40" s="334" t="n"/>
      <c r="AS40" s="334" t="n"/>
      <c r="AT40" s="335" t="n"/>
      <c r="AU40" s="289" t="inlineStr">
        <is>
          <t>Wood
CBC 1705A.5, 1705A.5.2 &amp; 1705A.5.5
Manufactured trusses</t>
        </is>
      </c>
      <c r="AV40" s="322" t="n"/>
      <c r="AW40" s="322" t="n"/>
      <c r="AX40" s="322" t="n"/>
      <c r="AY40" s="288" t="n"/>
      <c r="AZ40" s="4" t="n"/>
      <c r="BB40" s="128" t="n"/>
      <c r="BD40" s="5" t="n"/>
      <c r="BE40" s="385" t="n"/>
      <c r="BG40" s="387" t="n"/>
    </row>
    <row r="41" hidden="1" ht="49" customHeight="1" thickBot="1">
      <c r="D41" s="136" t="inlineStr">
        <is>
          <t>D-W4</t>
        </is>
      </c>
      <c r="E41" s="333" t="n"/>
      <c r="F41" s="334" t="n"/>
      <c r="G41" s="334" t="n"/>
      <c r="H41" s="334" t="n"/>
      <c r="I41" s="334" t="n"/>
      <c r="J41" s="334" t="n"/>
      <c r="K41" s="334" t="n"/>
      <c r="L41" s="334" t="n"/>
      <c r="M41" s="334" t="n"/>
      <c r="N41" s="334" t="n"/>
      <c r="O41" s="334" t="n"/>
      <c r="P41" s="334" t="n"/>
      <c r="Q41" s="334" t="n"/>
      <c r="R41" s="334" t="n"/>
      <c r="S41" s="334" t="n"/>
      <c r="T41" s="334" t="n"/>
      <c r="U41" s="334" t="n"/>
      <c r="V41" s="334" t="n"/>
      <c r="W41" s="334" t="n"/>
      <c r="X41" s="334" t="n"/>
      <c r="Y41" s="334" t="n"/>
      <c r="Z41" s="334" t="n"/>
      <c r="AA41" s="334" t="n"/>
      <c r="AB41" s="334" t="n"/>
      <c r="AC41" s="334" t="n"/>
      <c r="AD41" s="334" t="n"/>
      <c r="AE41" s="334" t="n"/>
      <c r="AF41" s="334" t="n"/>
      <c r="AG41" s="334" t="n"/>
      <c r="AH41" s="334" t="n"/>
      <c r="AI41" s="334" t="n"/>
      <c r="AJ41" s="334" t="n"/>
      <c r="AK41" s="334" t="n"/>
      <c r="AL41" s="334" t="n"/>
      <c r="AM41" s="334" t="n"/>
      <c r="AN41" s="334" t="n"/>
      <c r="AO41" s="334" t="n"/>
      <c r="AP41" s="334" t="n"/>
      <c r="AQ41" s="334" t="n"/>
      <c r="AR41" s="334" t="n"/>
      <c r="AS41" s="334" t="n"/>
      <c r="AT41" s="335" t="n"/>
      <c r="AU41" s="289" t="inlineStr">
        <is>
          <t>Wood
CBC 1705A.11.1 &amp; 1705A.12.2
Nailing, screw attachment, bolting, anchoring, field gluing operations and other fastening</t>
        </is>
      </c>
      <c r="AV41" s="322" t="n"/>
      <c r="AW41" s="322" t="n"/>
      <c r="AX41" s="322" t="n"/>
      <c r="AY41" s="288" t="n"/>
      <c r="AZ41" s="4" t="n"/>
      <c r="BB41" s="128" t="n"/>
      <c r="BD41" s="5" t="n"/>
      <c r="BE41" s="385" t="n"/>
      <c r="BG41" s="387" t="n"/>
    </row>
    <row r="42" hidden="1" ht="27" customHeight="1" thickBot="1">
      <c r="D42" s="136" t="inlineStr">
        <is>
          <t>D-W5</t>
        </is>
      </c>
      <c r="E42" s="333" t="n"/>
      <c r="F42" s="334" t="n"/>
      <c r="G42" s="334" t="n"/>
      <c r="H42" s="334" t="n"/>
      <c r="I42" s="334" t="n"/>
      <c r="J42" s="334" t="n"/>
      <c r="K42" s="334" t="n"/>
      <c r="L42" s="334" t="n"/>
      <c r="M42" s="334" t="n"/>
      <c r="N42" s="334" t="n"/>
      <c r="O42" s="334" t="n"/>
      <c r="P42" s="334" t="n"/>
      <c r="Q42" s="334" t="n"/>
      <c r="R42" s="334" t="n"/>
      <c r="S42" s="334" t="n"/>
      <c r="T42" s="334" t="n"/>
      <c r="U42" s="334" t="n"/>
      <c r="V42" s="334" t="n"/>
      <c r="W42" s="334" t="n"/>
      <c r="X42" s="334" t="n"/>
      <c r="Y42" s="334" t="n"/>
      <c r="Z42" s="334" t="n"/>
      <c r="AA42" s="334" t="n"/>
      <c r="AB42" s="334" t="n"/>
      <c r="AC42" s="334" t="n"/>
      <c r="AD42" s="334" t="n"/>
      <c r="AE42" s="334" t="n"/>
      <c r="AF42" s="334" t="n"/>
      <c r="AG42" s="334" t="n"/>
      <c r="AH42" s="334" t="n"/>
      <c r="AI42" s="334" t="n"/>
      <c r="AJ42" s="334" t="n"/>
      <c r="AK42" s="334" t="n"/>
      <c r="AL42" s="334" t="n"/>
      <c r="AM42" s="334" t="n"/>
      <c r="AN42" s="334" t="n"/>
      <c r="AO42" s="334" t="n"/>
      <c r="AP42" s="334" t="n"/>
      <c r="AQ42" s="334" t="n"/>
      <c r="AR42" s="334" t="n"/>
      <c r="AS42" s="334" t="n"/>
      <c r="AT42" s="335" t="n"/>
      <c r="AU42" s="289" t="n"/>
      <c r="AV42" s="322" t="n"/>
      <c r="AW42" s="322" t="n"/>
      <c r="AX42" s="322" t="n"/>
      <c r="AY42" s="288" t="n"/>
      <c r="AZ42" s="4" t="n"/>
      <c r="BB42" s="128" t="n"/>
      <c r="BD42" s="5" t="n"/>
      <c r="BE42" s="385" t="n"/>
      <c r="BG42" s="387" t="n"/>
    </row>
    <row r="43" hidden="1" ht="27" customHeight="1" thickBot="1">
      <c r="D43" s="136" t="inlineStr">
        <is>
          <t>D-W6</t>
        </is>
      </c>
      <c r="E43" s="336" t="n"/>
      <c r="F43" s="337" t="n"/>
      <c r="G43" s="337" t="n"/>
      <c r="H43" s="337" t="n"/>
      <c r="I43" s="337" t="n"/>
      <c r="J43" s="337" t="n"/>
      <c r="K43" s="337" t="n"/>
      <c r="L43" s="337" t="n"/>
      <c r="M43" s="337" t="n"/>
      <c r="N43" s="337" t="n"/>
      <c r="O43" s="337" t="n"/>
      <c r="P43" s="337" t="n"/>
      <c r="Q43" s="337" t="n"/>
      <c r="R43" s="337" t="n"/>
      <c r="S43" s="337" t="n"/>
      <c r="T43" s="337" t="n"/>
      <c r="U43" s="337" t="n"/>
      <c r="V43" s="337" t="n"/>
      <c r="W43" s="337" t="n"/>
      <c r="X43" s="337" t="n"/>
      <c r="Y43" s="337" t="n"/>
      <c r="Z43" s="337" t="n"/>
      <c r="AA43" s="337" t="n"/>
      <c r="AB43" s="337" t="n"/>
      <c r="AC43" s="337" t="n"/>
      <c r="AD43" s="337" t="n"/>
      <c r="AE43" s="337" t="n"/>
      <c r="AF43" s="337" t="n"/>
      <c r="AG43" s="337" t="n"/>
      <c r="AH43" s="337" t="n"/>
      <c r="AI43" s="337" t="n"/>
      <c r="AJ43" s="337" t="n"/>
      <c r="AK43" s="337" t="n"/>
      <c r="AL43" s="337" t="n"/>
      <c r="AM43" s="337" t="n"/>
      <c r="AN43" s="337" t="n"/>
      <c r="AO43" s="337" t="n"/>
      <c r="AP43" s="337" t="n"/>
      <c r="AQ43" s="337" t="n"/>
      <c r="AR43" s="337" t="n"/>
      <c r="AS43" s="337" t="n"/>
      <c r="AT43" s="338" t="n"/>
      <c r="AU43" s="323" t="n"/>
      <c r="AV43" s="340" t="n"/>
      <c r="AW43" s="340" t="n"/>
      <c r="AX43" s="340" t="n"/>
      <c r="AY43" s="294" t="n"/>
      <c r="AZ43" s="4" t="n"/>
      <c r="BB43" s="128" t="n"/>
      <c r="BD43" s="5" t="n"/>
      <c r="BE43" s="385" t="n"/>
      <c r="BG43" s="387" t="n"/>
    </row>
    <row r="44" hidden="1" ht="18" customHeight="1" thickBot="1">
      <c r="B44" s="3" t="inlineStr">
        <is>
          <t>x15</t>
        </is>
      </c>
      <c r="C44" s="19" t="inlineStr">
        <is>
          <t>Other Structural Materials</t>
        </is>
      </c>
      <c r="D44" s="20" t="n"/>
      <c r="E44" s="163" t="n"/>
      <c r="F44" s="163" t="n"/>
      <c r="G44" s="163" t="n"/>
      <c r="H44" s="163" t="n"/>
      <c r="I44" s="163" t="n"/>
      <c r="J44" s="163" t="n"/>
      <c r="K44" s="163" t="n"/>
      <c r="L44" s="163" t="n"/>
      <c r="M44" s="163" t="n"/>
      <c r="N44" s="163" t="n"/>
      <c r="O44" s="163" t="n"/>
      <c r="P44" s="163" t="n"/>
      <c r="Q44" s="163" t="n"/>
      <c r="R44" s="163" t="n"/>
      <c r="S44" s="163" t="n"/>
      <c r="T44" s="163" t="n"/>
      <c r="U44" s="163" t="n"/>
      <c r="V44" s="163" t="n"/>
      <c r="W44" s="163" t="n"/>
      <c r="X44" s="163" t="n"/>
      <c r="Y44" s="163" t="n"/>
      <c r="Z44" s="163" t="n"/>
      <c r="AA44" s="163" t="n"/>
      <c r="AB44" s="163" t="n"/>
      <c r="AC44" s="163" t="n"/>
      <c r="AD44" s="163" t="n"/>
      <c r="AE44" s="163" t="n"/>
      <c r="AF44" s="163" t="n"/>
      <c r="AG44" s="163" t="n"/>
      <c r="AH44" s="163" t="n"/>
      <c r="AI44" s="163" t="n"/>
      <c r="AJ44" s="163" t="n"/>
      <c r="AK44" s="163" t="n"/>
      <c r="AL44" s="163" t="n"/>
      <c r="AM44" s="163" t="n"/>
      <c r="AN44" s="163" t="n"/>
      <c r="AO44" s="163" t="n"/>
      <c r="AP44" s="163" t="n"/>
      <c r="AQ44" s="163" t="n"/>
      <c r="AR44" s="163" t="n"/>
      <c r="AS44" s="163" t="n"/>
      <c r="AT44" s="163" t="n"/>
      <c r="AU44" s="20" t="n"/>
      <c r="AV44" s="49" t="n"/>
      <c r="AW44" s="49" t="n"/>
      <c r="AX44" s="20" t="n"/>
      <c r="AY44" s="49" t="n"/>
      <c r="AZ44" s="22" t="n"/>
      <c r="BB44" s="128" t="n"/>
      <c r="BD44" s="5" t="n"/>
      <c r="BE44" s="385" t="n"/>
      <c r="BG44" s="387" t="n"/>
    </row>
    <row r="45" hidden="1" ht="37" customHeight="1" thickBot="1">
      <c r="D45" s="136" t="inlineStr">
        <is>
          <t>D-OM1</t>
        </is>
      </c>
      <c r="E45" s="330" t="n"/>
      <c r="F45" s="331" t="n"/>
      <c r="G45" s="331" t="n"/>
      <c r="H45" s="331" t="n"/>
      <c r="I45" s="331" t="n"/>
      <c r="J45" s="331" t="n"/>
      <c r="K45" s="331" t="n"/>
      <c r="L45" s="331" t="n"/>
      <c r="M45" s="331" t="n"/>
      <c r="N45" s="331" t="n"/>
      <c r="O45" s="331" t="n"/>
      <c r="P45" s="331" t="n"/>
      <c r="Q45" s="331" t="n"/>
      <c r="R45" s="331" t="n"/>
      <c r="S45" s="331" t="n"/>
      <c r="T45" s="331" t="n"/>
      <c r="U45" s="331" t="n"/>
      <c r="V45" s="331" t="n"/>
      <c r="W45" s="331" t="n"/>
      <c r="X45" s="331" t="n"/>
      <c r="Y45" s="331" t="n"/>
      <c r="Z45" s="331" t="n"/>
      <c r="AA45" s="331" t="n"/>
      <c r="AB45" s="331" t="n"/>
      <c r="AC45" s="331" t="n"/>
      <c r="AD45" s="331" t="n"/>
      <c r="AE45" s="331" t="n"/>
      <c r="AF45" s="331" t="n"/>
      <c r="AG45" s="331" t="n"/>
      <c r="AH45" s="331" t="n"/>
      <c r="AI45" s="331" t="n"/>
      <c r="AJ45" s="331" t="n"/>
      <c r="AK45" s="331" t="n"/>
      <c r="AL45" s="331" t="n"/>
      <c r="AM45" s="331" t="n"/>
      <c r="AN45" s="331" t="n"/>
      <c r="AO45" s="331" t="n"/>
      <c r="AP45" s="331" t="n"/>
      <c r="AQ45" s="331" t="n"/>
      <c r="AR45" s="331" t="n"/>
      <c r="AS45" s="331" t="n"/>
      <c r="AT45" s="332" t="n"/>
      <c r="AU45" s="311" t="inlineStr">
        <is>
          <t>Aluminum
CBC 2003.1
Inspection</t>
        </is>
      </c>
      <c r="AV45" s="339" t="n"/>
      <c r="AW45" s="339" t="n"/>
      <c r="AX45" s="339" t="n"/>
      <c r="AY45" s="286" t="n"/>
      <c r="AZ45" s="4" t="n"/>
      <c r="BB45" s="128" t="n"/>
      <c r="BD45" s="5" t="n"/>
      <c r="BE45" s="385" t="n"/>
      <c r="BG45" s="387" t="n"/>
    </row>
    <row r="46" hidden="1" ht="37" customHeight="1" thickBot="1">
      <c r="D46" s="136" t="inlineStr">
        <is>
          <t>D-OM2</t>
        </is>
      </c>
      <c r="E46" s="333" t="n"/>
      <c r="F46" s="334" t="n"/>
      <c r="G46" s="334" t="n"/>
      <c r="H46" s="334" t="n"/>
      <c r="I46" s="334" t="n"/>
      <c r="J46" s="334" t="n"/>
      <c r="K46" s="334" t="n"/>
      <c r="L46" s="334" t="n"/>
      <c r="M46" s="334" t="n"/>
      <c r="N46" s="334" t="n"/>
      <c r="O46" s="334" t="n"/>
      <c r="P46" s="334" t="n"/>
      <c r="Q46" s="334" t="n"/>
      <c r="R46" s="334" t="n"/>
      <c r="S46" s="334" t="n"/>
      <c r="T46" s="334" t="n"/>
      <c r="U46" s="334" t="n"/>
      <c r="V46" s="334" t="n"/>
      <c r="W46" s="334" t="n"/>
      <c r="X46" s="334" t="n"/>
      <c r="Y46" s="334" t="n"/>
      <c r="Z46" s="334" t="n"/>
      <c r="AA46" s="334" t="n"/>
      <c r="AB46" s="334" t="n"/>
      <c r="AC46" s="334" t="n"/>
      <c r="AD46" s="334" t="n"/>
      <c r="AE46" s="334" t="n"/>
      <c r="AF46" s="334" t="n"/>
      <c r="AG46" s="334" t="n"/>
      <c r="AH46" s="334" t="n"/>
      <c r="AI46" s="334" t="n"/>
      <c r="AJ46" s="334" t="n"/>
      <c r="AK46" s="334" t="n"/>
      <c r="AL46" s="334" t="n"/>
      <c r="AM46" s="334" t="n"/>
      <c r="AN46" s="334" t="n"/>
      <c r="AO46" s="334" t="n"/>
      <c r="AP46" s="334" t="n"/>
      <c r="AQ46" s="334" t="n"/>
      <c r="AR46" s="334" t="n"/>
      <c r="AS46" s="334" t="n"/>
      <c r="AT46" s="335" t="n"/>
      <c r="AU46" s="289" t="inlineStr">
        <is>
          <t>Structural Sealant Glazing
CBC 2410.1.2
Structural sealants for exterior glass curtain walls</t>
        </is>
      </c>
      <c r="AV46" s="322" t="n"/>
      <c r="AW46" s="322" t="n"/>
      <c r="AX46" s="322" t="n"/>
      <c r="AY46" s="288" t="n"/>
      <c r="AZ46" s="4" t="n"/>
      <c r="BB46" s="128" t="n"/>
      <c r="BD46" s="5" t="n"/>
      <c r="BE46" s="385" t="n"/>
      <c r="BG46" s="387" t="n"/>
    </row>
    <row r="47" hidden="1" ht="32" customHeight="1" thickBot="1">
      <c r="D47" s="136" t="inlineStr">
        <is>
          <t>D-OM3</t>
        </is>
      </c>
      <c r="E47" s="336" t="n"/>
      <c r="F47" s="337" t="n"/>
      <c r="G47" s="337" t="n"/>
      <c r="H47" s="337" t="n"/>
      <c r="I47" s="337" t="n"/>
      <c r="J47" s="337" t="n"/>
      <c r="K47" s="337" t="n"/>
      <c r="L47" s="337" t="n"/>
      <c r="M47" s="337" t="n"/>
      <c r="N47" s="337" t="n"/>
      <c r="O47" s="337" t="n"/>
      <c r="P47" s="337" t="n"/>
      <c r="Q47" s="337" t="n"/>
      <c r="R47" s="337" t="n"/>
      <c r="S47" s="337" t="n"/>
      <c r="T47" s="337" t="n"/>
      <c r="U47" s="337" t="n"/>
      <c r="V47" s="337" t="n"/>
      <c r="W47" s="337" t="n"/>
      <c r="X47" s="337" t="n"/>
      <c r="Y47" s="337" t="n"/>
      <c r="Z47" s="337" t="n"/>
      <c r="AA47" s="337" t="n"/>
      <c r="AB47" s="337" t="n"/>
      <c r="AC47" s="337" t="n"/>
      <c r="AD47" s="337" t="n"/>
      <c r="AE47" s="337" t="n"/>
      <c r="AF47" s="337" t="n"/>
      <c r="AG47" s="337" t="n"/>
      <c r="AH47" s="337" t="n"/>
      <c r="AI47" s="337" t="n"/>
      <c r="AJ47" s="337" t="n"/>
      <c r="AK47" s="337" t="n"/>
      <c r="AL47" s="337" t="n"/>
      <c r="AM47" s="337" t="n"/>
      <c r="AN47" s="337" t="n"/>
      <c r="AO47" s="337" t="n"/>
      <c r="AP47" s="337" t="n"/>
      <c r="AQ47" s="337" t="n"/>
      <c r="AR47" s="337" t="n"/>
      <c r="AS47" s="337" t="n"/>
      <c r="AT47" s="338" t="n"/>
      <c r="AU47" s="323" t="n"/>
      <c r="AV47" s="340" t="n"/>
      <c r="AW47" s="340" t="n"/>
      <c r="AX47" s="340" t="n"/>
      <c r="AY47" s="294" t="n"/>
      <c r="AZ47" s="4" t="n"/>
      <c r="BB47" s="128" t="n"/>
      <c r="BD47" s="5" t="n"/>
      <c r="BE47" s="385" t="n"/>
      <c r="BG47" s="387" t="n"/>
    </row>
    <row r="48" hidden="1" ht="18" customHeight="1" thickBot="1">
      <c r="B48" s="101" t="inlineStr">
        <is>
          <t>x16</t>
        </is>
      </c>
      <c r="C48" s="19" t="inlineStr">
        <is>
          <t>Alternative Systems</t>
        </is>
      </c>
      <c r="D48" s="20" t="n"/>
      <c r="E48" s="163" t="n"/>
      <c r="F48" s="163" t="n"/>
      <c r="G48" s="163" t="n"/>
      <c r="H48" s="163" t="n"/>
      <c r="I48" s="163" t="n"/>
      <c r="J48" s="163" t="n"/>
      <c r="K48" s="163" t="n"/>
      <c r="L48" s="163" t="n"/>
      <c r="M48" s="163" t="n"/>
      <c r="N48" s="163" t="n"/>
      <c r="O48" s="163" t="n"/>
      <c r="P48" s="163" t="n"/>
      <c r="Q48" s="163" t="n"/>
      <c r="R48" s="163" t="n"/>
      <c r="S48" s="163" t="n"/>
      <c r="T48" s="163" t="n"/>
      <c r="U48" s="163" t="n"/>
      <c r="V48" s="163" t="n"/>
      <c r="W48" s="163" t="n"/>
      <c r="X48" s="163" t="n"/>
      <c r="Y48" s="163" t="n"/>
      <c r="Z48" s="163" t="n"/>
      <c r="AA48" s="163" t="n"/>
      <c r="AB48" s="163" t="n"/>
      <c r="AC48" s="163" t="n"/>
      <c r="AD48" s="163" t="n"/>
      <c r="AE48" s="163" t="n"/>
      <c r="AF48" s="163" t="n"/>
      <c r="AG48" s="163" t="n"/>
      <c r="AH48" s="163" t="n"/>
      <c r="AI48" s="163" t="n"/>
      <c r="AJ48" s="163" t="n"/>
      <c r="AK48" s="163" t="n"/>
      <c r="AL48" s="163" t="n"/>
      <c r="AM48" s="163" t="n"/>
      <c r="AN48" s="163" t="n"/>
      <c r="AO48" s="163" t="n"/>
      <c r="AP48" s="163" t="n"/>
      <c r="AQ48" s="163" t="n"/>
      <c r="AR48" s="163" t="n"/>
      <c r="AS48" s="163" t="n"/>
      <c r="AT48" s="163" t="n"/>
      <c r="AU48" s="20" t="n"/>
      <c r="AV48" s="20" t="n"/>
      <c r="AW48" s="20" t="n"/>
      <c r="AX48" s="49" t="n"/>
      <c r="AY48" s="49" t="n"/>
      <c r="AZ48" s="20" t="n"/>
      <c r="BB48" s="128" t="n"/>
      <c r="BD48" s="5" t="n"/>
      <c r="BE48" s="385" t="n"/>
      <c r="BG48" s="387" t="n"/>
    </row>
    <row r="49" hidden="1" ht="37" customHeight="1" thickBot="1">
      <c r="D49" s="136" t="inlineStr">
        <is>
          <t>D-AS1</t>
        </is>
      </c>
      <c r="E49" s="330" t="n"/>
      <c r="F49" s="331" t="n"/>
      <c r="G49" s="331" t="n"/>
      <c r="H49" s="331" t="n"/>
      <c r="I49" s="331" t="n"/>
      <c r="J49" s="331" t="n"/>
      <c r="K49" s="331" t="n"/>
      <c r="L49" s="331" t="n"/>
      <c r="M49" s="331" t="n"/>
      <c r="N49" s="331" t="n"/>
      <c r="O49" s="331" t="n"/>
      <c r="P49" s="331" t="n"/>
      <c r="Q49" s="331" t="n"/>
      <c r="R49" s="331" t="n"/>
      <c r="S49" s="331" t="n"/>
      <c r="T49" s="331" t="n"/>
      <c r="U49" s="331" t="n"/>
      <c r="V49" s="331" t="n"/>
      <c r="W49" s="331" t="n"/>
      <c r="X49" s="331" t="n"/>
      <c r="Y49" s="331" t="n"/>
      <c r="Z49" s="331" t="n"/>
      <c r="AA49" s="331" t="n"/>
      <c r="AB49" s="331" t="n"/>
      <c r="AC49" s="331" t="n"/>
      <c r="AD49" s="331" t="n"/>
      <c r="AE49" s="331" t="n"/>
      <c r="AF49" s="331" t="n"/>
      <c r="AG49" s="331" t="n"/>
      <c r="AH49" s="331" t="n"/>
      <c r="AI49" s="331" t="n"/>
      <c r="AJ49" s="331" t="n"/>
      <c r="AK49" s="331" t="n"/>
      <c r="AL49" s="331" t="n"/>
      <c r="AM49" s="331" t="n"/>
      <c r="AN49" s="331" t="n"/>
      <c r="AO49" s="331" t="n"/>
      <c r="AP49" s="331" t="n"/>
      <c r="AQ49" s="331" t="n"/>
      <c r="AR49" s="331" t="n"/>
      <c r="AS49" s="331" t="n"/>
      <c r="AT49" s="332" t="n"/>
      <c r="AU49" s="311" t="inlineStr">
        <is>
          <t>Alternative system
CBC 1705A.1.1
Construction materials and methods for alternative system</t>
        </is>
      </c>
      <c r="AV49" s="339" t="n"/>
      <c r="AW49" s="339" t="n"/>
      <c r="AX49" s="339" t="n"/>
      <c r="AY49" s="286" t="n"/>
      <c r="AZ49" s="4" t="n"/>
      <c r="BB49" s="128" t="n"/>
      <c r="BD49" s="5" t="n"/>
      <c r="BE49" s="385" t="n"/>
      <c r="BG49" s="387" t="n"/>
    </row>
    <row r="50" hidden="1" ht="37" customHeight="1" thickBot="1">
      <c r="D50" s="136" t="inlineStr">
        <is>
          <t>D-AS2</t>
        </is>
      </c>
      <c r="E50" s="333" t="n"/>
      <c r="F50" s="334" t="n"/>
      <c r="G50" s="334" t="n"/>
      <c r="H50" s="334" t="n"/>
      <c r="I50" s="334" t="n"/>
      <c r="J50" s="334" t="n"/>
      <c r="K50" s="334" t="n"/>
      <c r="L50" s="334" t="n"/>
      <c r="M50" s="334" t="n"/>
      <c r="N50" s="334" t="n"/>
      <c r="O50" s="334" t="n"/>
      <c r="P50" s="334" t="n"/>
      <c r="Q50" s="334" t="n"/>
      <c r="R50" s="334" t="n"/>
      <c r="S50" s="334" t="n"/>
      <c r="T50" s="334" t="n"/>
      <c r="U50" s="334" t="n"/>
      <c r="V50" s="334" t="n"/>
      <c r="W50" s="334" t="n"/>
      <c r="X50" s="334" t="n"/>
      <c r="Y50" s="334" t="n"/>
      <c r="Z50" s="334" t="n"/>
      <c r="AA50" s="334" t="n"/>
      <c r="AB50" s="334" t="n"/>
      <c r="AC50" s="334" t="n"/>
      <c r="AD50" s="334" t="n"/>
      <c r="AE50" s="334" t="n"/>
      <c r="AF50" s="334" t="n"/>
      <c r="AG50" s="334" t="n"/>
      <c r="AH50" s="334" t="n"/>
      <c r="AI50" s="334" t="n"/>
      <c r="AJ50" s="334" t="n"/>
      <c r="AK50" s="334" t="n"/>
      <c r="AL50" s="334" t="n"/>
      <c r="AM50" s="334" t="n"/>
      <c r="AN50" s="334" t="n"/>
      <c r="AO50" s="334" t="n"/>
      <c r="AP50" s="334" t="n"/>
      <c r="AQ50" s="334" t="n"/>
      <c r="AR50" s="334" t="n"/>
      <c r="AS50" s="334" t="n"/>
      <c r="AT50" s="335" t="n"/>
      <c r="AU50" s="289" t="inlineStr">
        <is>
          <t>Seismic Isolation System
CBC 1705A.12.8
Fabrication, installation, prototype, and production testing</t>
        </is>
      </c>
      <c r="AV50" s="322" t="n"/>
      <c r="AW50" s="322" t="n"/>
      <c r="AX50" s="322" t="n"/>
      <c r="AY50" s="288" t="n"/>
      <c r="AZ50" s="4" t="n"/>
      <c r="BB50" s="128" t="n"/>
      <c r="BD50" s="5" t="n"/>
      <c r="BE50" s="385" t="n"/>
      <c r="BG50" s="387" t="n"/>
    </row>
    <row r="51" hidden="1" ht="37" customHeight="1" thickBot="1">
      <c r="D51" s="136" t="inlineStr">
        <is>
          <t>D-AS3</t>
        </is>
      </c>
      <c r="E51" s="333" t="n"/>
      <c r="F51" s="334" t="n"/>
      <c r="G51" s="334" t="n"/>
      <c r="H51" s="334" t="n"/>
      <c r="I51" s="334" t="n"/>
      <c r="J51" s="334" t="n"/>
      <c r="K51" s="334" t="n"/>
      <c r="L51" s="334" t="n"/>
      <c r="M51" s="334" t="n"/>
      <c r="N51" s="334" t="n"/>
      <c r="O51" s="334" t="n"/>
      <c r="P51" s="334" t="n"/>
      <c r="Q51" s="334" t="n"/>
      <c r="R51" s="334" t="n"/>
      <c r="S51" s="334" t="n"/>
      <c r="T51" s="334" t="n"/>
      <c r="U51" s="334" t="n"/>
      <c r="V51" s="334" t="n"/>
      <c r="W51" s="334" t="n"/>
      <c r="X51" s="334" t="n"/>
      <c r="Y51" s="334" t="n"/>
      <c r="Z51" s="334" t="n"/>
      <c r="AA51" s="334" t="n"/>
      <c r="AB51" s="334" t="n"/>
      <c r="AC51" s="334" t="n"/>
      <c r="AD51" s="334" t="n"/>
      <c r="AE51" s="334" t="n"/>
      <c r="AF51" s="334" t="n"/>
      <c r="AG51" s="334" t="n"/>
      <c r="AH51" s="334" t="n"/>
      <c r="AI51" s="334" t="n"/>
      <c r="AJ51" s="334" t="n"/>
      <c r="AK51" s="334" t="n"/>
      <c r="AL51" s="334" t="n"/>
      <c r="AM51" s="334" t="n"/>
      <c r="AN51" s="334" t="n"/>
      <c r="AO51" s="334" t="n"/>
      <c r="AP51" s="334" t="n"/>
      <c r="AQ51" s="334" t="n"/>
      <c r="AR51" s="334" t="n"/>
      <c r="AS51" s="334" t="n"/>
      <c r="AT51" s="335" t="n"/>
      <c r="AU51" s="289" t="inlineStr">
        <is>
          <t>Seismic Damping System
CBC 1705A.12.8
Fabrication, installation, prototype, and production testing</t>
        </is>
      </c>
      <c r="AV51" s="322" t="n"/>
      <c r="AW51" s="322" t="n"/>
      <c r="AX51" s="322" t="n"/>
      <c r="AY51" s="288" t="n"/>
      <c r="AZ51" s="4" t="n"/>
      <c r="BB51" s="128" t="n"/>
      <c r="BD51" s="5" t="n"/>
      <c r="BE51" s="385" t="n"/>
      <c r="BG51" s="387" t="n"/>
    </row>
    <row r="52" hidden="1" ht="30" customHeight="1" thickBot="1">
      <c r="D52" s="136" t="inlineStr">
        <is>
          <t>D-AS4</t>
        </is>
      </c>
      <c r="E52" s="336" t="n"/>
      <c r="F52" s="337" t="n"/>
      <c r="G52" s="337" t="n"/>
      <c r="H52" s="337" t="n"/>
      <c r="I52" s="337" t="n"/>
      <c r="J52" s="337" t="n"/>
      <c r="K52" s="337" t="n"/>
      <c r="L52" s="337" t="n"/>
      <c r="M52" s="337" t="n"/>
      <c r="N52" s="337" t="n"/>
      <c r="O52" s="337" t="n"/>
      <c r="P52" s="337" t="n"/>
      <c r="Q52" s="337" t="n"/>
      <c r="R52" s="337" t="n"/>
      <c r="S52" s="337" t="n"/>
      <c r="T52" s="337" t="n"/>
      <c r="U52" s="337" t="n"/>
      <c r="V52" s="337" t="n"/>
      <c r="W52" s="337" t="n"/>
      <c r="X52" s="337" t="n"/>
      <c r="Y52" s="337" t="n"/>
      <c r="Z52" s="337" t="n"/>
      <c r="AA52" s="337" t="n"/>
      <c r="AB52" s="337" t="n"/>
      <c r="AC52" s="337" t="n"/>
      <c r="AD52" s="337" t="n"/>
      <c r="AE52" s="337" t="n"/>
      <c r="AF52" s="337" t="n"/>
      <c r="AG52" s="337" t="n"/>
      <c r="AH52" s="337" t="n"/>
      <c r="AI52" s="337" t="n"/>
      <c r="AJ52" s="337" t="n"/>
      <c r="AK52" s="337" t="n"/>
      <c r="AL52" s="337" t="n"/>
      <c r="AM52" s="337" t="n"/>
      <c r="AN52" s="337" t="n"/>
      <c r="AO52" s="337" t="n"/>
      <c r="AP52" s="337" t="n"/>
      <c r="AQ52" s="337" t="n"/>
      <c r="AR52" s="337" t="n"/>
      <c r="AS52" s="337" t="n"/>
      <c r="AT52" s="338" t="n"/>
      <c r="AU52" s="323" t="n"/>
      <c r="AV52" s="340" t="n"/>
      <c r="AW52" s="340" t="n"/>
      <c r="AX52" s="340" t="n"/>
      <c r="AY52" s="294" t="n"/>
      <c r="AZ52" s="4" t="n"/>
      <c r="BB52" s="128" t="n"/>
      <c r="BD52" s="5" t="n"/>
      <c r="BE52" s="385" t="n"/>
      <c r="BG52" s="387" t="n"/>
    </row>
    <row r="53" hidden="1" ht="18" customHeight="1" thickBot="1">
      <c r="B53" s="102" t="inlineStr">
        <is>
          <t>x17</t>
        </is>
      </c>
      <c r="C53" s="19" t="inlineStr">
        <is>
          <t>Nonstructural components, supports and attachments</t>
        </is>
      </c>
      <c r="D53" s="24" t="n"/>
      <c r="E53" s="164" t="n"/>
      <c r="F53" s="164" t="n"/>
      <c r="G53" s="164" t="n"/>
      <c r="H53" s="164" t="n"/>
      <c r="I53" s="164" t="n"/>
      <c r="J53" s="164" t="n"/>
      <c r="K53" s="164" t="n"/>
      <c r="L53" s="164" t="n"/>
      <c r="M53" s="164" t="n"/>
      <c r="N53" s="164" t="n"/>
      <c r="O53" s="164" t="n"/>
      <c r="P53" s="164" t="n"/>
      <c r="Q53" s="164" t="n"/>
      <c r="R53" s="164" t="n"/>
      <c r="S53" s="164" t="n"/>
      <c r="T53" s="164" t="n"/>
      <c r="U53" s="164" t="n"/>
      <c r="V53" s="164" t="n"/>
      <c r="W53" s="164" t="n"/>
      <c r="X53" s="164" t="n"/>
      <c r="Y53" s="164" t="n"/>
      <c r="Z53" s="164" t="n"/>
      <c r="AA53" s="164" t="n"/>
      <c r="AB53" s="164" t="n"/>
      <c r="AC53" s="164" t="n"/>
      <c r="AD53" s="164" t="n"/>
      <c r="AE53" s="164" t="n"/>
      <c r="AF53" s="164" t="n"/>
      <c r="AG53" s="164" t="n"/>
      <c r="AH53" s="164" t="n"/>
      <c r="AI53" s="164" t="n"/>
      <c r="AJ53" s="164" t="n"/>
      <c r="AK53" s="164" t="n"/>
      <c r="AL53" s="164" t="n"/>
      <c r="AM53" s="164" t="n"/>
      <c r="AN53" s="164" t="n"/>
      <c r="AO53" s="164" t="n"/>
      <c r="AP53" s="164" t="n"/>
      <c r="AQ53" s="164" t="n"/>
      <c r="AR53" s="164" t="n"/>
      <c r="AS53" s="164" t="n"/>
      <c r="AT53" s="164" t="n"/>
      <c r="AU53" s="24" t="n"/>
      <c r="AV53" s="50" t="n"/>
      <c r="AW53" s="50" t="n"/>
      <c r="AX53" s="24" t="n"/>
      <c r="AY53" s="50" t="n"/>
      <c r="AZ53" s="25" t="n"/>
      <c r="BB53" s="128" t="n"/>
      <c r="BD53" s="5" t="n"/>
      <c r="BE53" s="385" t="n"/>
      <c r="BG53" s="387" t="n"/>
    </row>
    <row r="54" hidden="1" ht="37" customHeight="1" thickBot="1">
      <c r="D54" s="136" t="inlineStr">
        <is>
          <t>D-N1</t>
        </is>
      </c>
      <c r="E54" s="330" t="n"/>
      <c r="F54" s="331" t="n"/>
      <c r="G54" s="331" t="n"/>
      <c r="H54" s="331" t="n"/>
      <c r="I54" s="331" t="n"/>
      <c r="J54" s="331" t="n"/>
      <c r="K54" s="331" t="n"/>
      <c r="L54" s="331" t="n"/>
      <c r="M54" s="331" t="n"/>
      <c r="N54" s="331" t="n"/>
      <c r="O54" s="331" t="n"/>
      <c r="P54" s="331" t="n"/>
      <c r="Q54" s="331" t="n"/>
      <c r="R54" s="331" t="n"/>
      <c r="S54" s="331" t="n"/>
      <c r="T54" s="331" t="n"/>
      <c r="U54" s="331" t="n"/>
      <c r="V54" s="331" t="n"/>
      <c r="W54" s="331" t="n"/>
      <c r="X54" s="331" t="n"/>
      <c r="Y54" s="331" t="n"/>
      <c r="Z54" s="331" t="n"/>
      <c r="AA54" s="331" t="n"/>
      <c r="AB54" s="331" t="n"/>
      <c r="AC54" s="331" t="n"/>
      <c r="AD54" s="331" t="n"/>
      <c r="AE54" s="331" t="n"/>
      <c r="AF54" s="331" t="n"/>
      <c r="AG54" s="331" t="n"/>
      <c r="AH54" s="331" t="n"/>
      <c r="AI54" s="331" t="n"/>
      <c r="AJ54" s="331" t="n"/>
      <c r="AK54" s="331" t="n"/>
      <c r="AL54" s="331" t="n"/>
      <c r="AM54" s="331" t="n"/>
      <c r="AN54" s="331" t="n"/>
      <c r="AO54" s="331" t="n"/>
      <c r="AP54" s="331" t="n"/>
      <c r="AQ54" s="331" t="n"/>
      <c r="AR54" s="331" t="n"/>
      <c r="AS54" s="331" t="n"/>
      <c r="AT54" s="332" t="n"/>
      <c r="AU54" s="311" t="inlineStr">
        <is>
          <t>Architectural components
CBC 1705A.12.5 &amp; 1705A.16
Cladding, nonbearing walls and veneer</t>
        </is>
      </c>
      <c r="AV54" s="339" t="n"/>
      <c r="AW54" s="339" t="n"/>
      <c r="AX54" s="339" t="n"/>
      <c r="AY54" s="286" t="n"/>
      <c r="AZ54" s="4" t="n"/>
      <c r="BB54" s="128" t="n"/>
      <c r="BD54" s="5" t="n"/>
      <c r="BE54" s="385" t="n"/>
      <c r="BG54" s="387" t="n"/>
    </row>
    <row r="55" hidden="1" ht="37" customHeight="1" thickBot="1">
      <c r="D55" s="136" t="inlineStr">
        <is>
          <t>D-N2</t>
        </is>
      </c>
      <c r="E55" s="333" t="n"/>
      <c r="F55" s="334" t="n"/>
      <c r="G55" s="334" t="n"/>
      <c r="H55" s="334" t="n"/>
      <c r="I55" s="334" t="n"/>
      <c r="J55" s="334" t="n"/>
      <c r="K55" s="334" t="n"/>
      <c r="L55" s="334" t="n"/>
      <c r="M55" s="334" t="n"/>
      <c r="N55" s="334" t="n"/>
      <c r="O55" s="334" t="n"/>
      <c r="P55" s="334" t="n"/>
      <c r="Q55" s="334" t="n"/>
      <c r="R55" s="334" t="n"/>
      <c r="S55" s="334" t="n"/>
      <c r="T55" s="334" t="n"/>
      <c r="U55" s="334" t="n"/>
      <c r="V55" s="334" t="n"/>
      <c r="W55" s="334" t="n"/>
      <c r="X55" s="334" t="n"/>
      <c r="Y55" s="334" t="n"/>
      <c r="Z55" s="334" t="n"/>
      <c r="AA55" s="334" t="n"/>
      <c r="AB55" s="334" t="n"/>
      <c r="AC55" s="334" t="n"/>
      <c r="AD55" s="334" t="n"/>
      <c r="AE55" s="334" t="n"/>
      <c r="AF55" s="334" t="n"/>
      <c r="AG55" s="334" t="n"/>
      <c r="AH55" s="334" t="n"/>
      <c r="AI55" s="334" t="n"/>
      <c r="AJ55" s="334" t="n"/>
      <c r="AK55" s="334" t="n"/>
      <c r="AL55" s="334" t="n"/>
      <c r="AM55" s="334" t="n"/>
      <c r="AN55" s="334" t="n"/>
      <c r="AO55" s="334" t="n"/>
      <c r="AP55" s="334" t="n"/>
      <c r="AQ55" s="334" t="n"/>
      <c r="AR55" s="334" t="n"/>
      <c r="AS55" s="334" t="n"/>
      <c r="AT55" s="335" t="n"/>
      <c r="AU55" s="289" t="inlineStr">
        <is>
          <t>Ceiling
CBC 1705A.12.5
Suspended ceiling systems and their anchorage</t>
        </is>
      </c>
      <c r="AV55" s="322" t="n"/>
      <c r="AW55" s="322" t="n"/>
      <c r="AX55" s="322" t="n"/>
      <c r="AY55" s="288" t="n"/>
      <c r="AZ55" s="4" t="n"/>
      <c r="BB55" s="128" t="n"/>
      <c r="BD55" s="5" t="n"/>
      <c r="BE55" s="385" t="n"/>
      <c r="BG55" s="387" t="n"/>
    </row>
    <row r="56" hidden="1" ht="37" customHeight="1" thickBot="1">
      <c r="D56" s="136" t="inlineStr">
        <is>
          <t>D-N3</t>
        </is>
      </c>
      <c r="E56" s="333" t="n"/>
      <c r="F56" s="334" t="n"/>
      <c r="G56" s="334" t="n"/>
      <c r="H56" s="334" t="n"/>
      <c r="I56" s="334" t="n"/>
      <c r="J56" s="334" t="n"/>
      <c r="K56" s="334" t="n"/>
      <c r="L56" s="334" t="n"/>
      <c r="M56" s="334" t="n"/>
      <c r="N56" s="334" t="n"/>
      <c r="O56" s="334" t="n"/>
      <c r="P56" s="334" t="n"/>
      <c r="Q56" s="334" t="n"/>
      <c r="R56" s="334" t="n"/>
      <c r="S56" s="334" t="n"/>
      <c r="T56" s="334" t="n"/>
      <c r="U56" s="334" t="n"/>
      <c r="V56" s="334" t="n"/>
      <c r="W56" s="334" t="n"/>
      <c r="X56" s="334" t="n"/>
      <c r="Y56" s="334" t="n"/>
      <c r="Z56" s="334" t="n"/>
      <c r="AA56" s="334" t="n"/>
      <c r="AB56" s="334" t="n"/>
      <c r="AC56" s="334" t="n"/>
      <c r="AD56" s="334" t="n"/>
      <c r="AE56" s="334" t="n"/>
      <c r="AF56" s="334" t="n"/>
      <c r="AG56" s="334" t="n"/>
      <c r="AH56" s="334" t="n"/>
      <c r="AI56" s="334" t="n"/>
      <c r="AJ56" s="334" t="n"/>
      <c r="AK56" s="334" t="n"/>
      <c r="AL56" s="334" t="n"/>
      <c r="AM56" s="334" t="n"/>
      <c r="AN56" s="334" t="n"/>
      <c r="AO56" s="334" t="n"/>
      <c r="AP56" s="334" t="n"/>
      <c r="AQ56" s="334" t="n"/>
      <c r="AR56" s="334" t="n"/>
      <c r="AS56" s="334" t="n"/>
      <c r="AT56" s="335" t="n"/>
      <c r="AU56" s="289" t="inlineStr">
        <is>
          <t>Access floors
CBC 1705A.12.5.1
Anchorage of access floor systems</t>
        </is>
      </c>
      <c r="AV56" s="322" t="n"/>
      <c r="AW56" s="322" t="n"/>
      <c r="AX56" s="322" t="n"/>
      <c r="AY56" s="288" t="n"/>
      <c r="AZ56" s="4" t="n"/>
      <c r="BB56" s="128" t="n"/>
      <c r="BD56" s="5" t="n"/>
      <c r="BE56" s="385" t="n"/>
      <c r="BG56" s="387" t="n"/>
    </row>
    <row r="57" hidden="1" ht="37" customHeight="1" thickBot="1">
      <c r="D57" s="136" t="inlineStr">
        <is>
          <t>D-N4</t>
        </is>
      </c>
      <c r="E57" s="333" t="n"/>
      <c r="F57" s="334" t="n"/>
      <c r="G57" s="334" t="n"/>
      <c r="H57" s="334" t="n"/>
      <c r="I57" s="334" t="n"/>
      <c r="J57" s="334" t="n"/>
      <c r="K57" s="334" t="n"/>
      <c r="L57" s="334" t="n"/>
      <c r="M57" s="334" t="n"/>
      <c r="N57" s="334" t="n"/>
      <c r="O57" s="334" t="n"/>
      <c r="P57" s="334" t="n"/>
      <c r="Q57" s="334" t="n"/>
      <c r="R57" s="334" t="n"/>
      <c r="S57" s="334" t="n"/>
      <c r="T57" s="334" t="n"/>
      <c r="U57" s="334" t="n"/>
      <c r="V57" s="334" t="n"/>
      <c r="W57" s="334" t="n"/>
      <c r="X57" s="334" t="n"/>
      <c r="Y57" s="334" t="n"/>
      <c r="Z57" s="334" t="n"/>
      <c r="AA57" s="334" t="n"/>
      <c r="AB57" s="334" t="n"/>
      <c r="AC57" s="334" t="n"/>
      <c r="AD57" s="334" t="n"/>
      <c r="AE57" s="334" t="n"/>
      <c r="AF57" s="334" t="n"/>
      <c r="AG57" s="334" t="n"/>
      <c r="AH57" s="334" t="n"/>
      <c r="AI57" s="334" t="n"/>
      <c r="AJ57" s="334" t="n"/>
      <c r="AK57" s="334" t="n"/>
      <c r="AL57" s="334" t="n"/>
      <c r="AM57" s="334" t="n"/>
      <c r="AN57" s="334" t="n"/>
      <c r="AO57" s="334" t="n"/>
      <c r="AP57" s="334" t="n"/>
      <c r="AQ57" s="334" t="n"/>
      <c r="AR57" s="334" t="n"/>
      <c r="AS57" s="334" t="n"/>
      <c r="AT57" s="335" t="n"/>
      <c r="AU57" s="289" t="inlineStr">
        <is>
          <t>Storage racks 8’ or taller
CBC 1705A.12.7
Anchorage</t>
        </is>
      </c>
      <c r="AV57" s="322" t="n"/>
      <c r="AW57" s="322" t="n"/>
      <c r="AX57" s="322" t="n"/>
      <c r="AY57" s="288" t="n"/>
      <c r="AZ57" s="4" t="n"/>
      <c r="BB57" s="128" t="n"/>
      <c r="BD57" s="5" t="n"/>
      <c r="BE57" s="385" t="n"/>
      <c r="BG57" s="387" t="n"/>
    </row>
    <row r="58" hidden="1" ht="37" customHeight="1" thickBot="1">
      <c r="D58" s="136" t="inlineStr">
        <is>
          <t>D-N5</t>
        </is>
      </c>
      <c r="E58" s="333" t="n"/>
      <c r="F58" s="334" t="n"/>
      <c r="G58" s="334" t="n"/>
      <c r="H58" s="334" t="n"/>
      <c r="I58" s="334" t="n"/>
      <c r="J58" s="334" t="n"/>
      <c r="K58" s="334" t="n"/>
      <c r="L58" s="334" t="n"/>
      <c r="M58" s="334" t="n"/>
      <c r="N58" s="334" t="n"/>
      <c r="O58" s="334" t="n"/>
      <c r="P58" s="334" t="n"/>
      <c r="Q58" s="334" t="n"/>
      <c r="R58" s="334" t="n"/>
      <c r="S58" s="334" t="n"/>
      <c r="T58" s="334" t="n"/>
      <c r="U58" s="334" t="n"/>
      <c r="V58" s="334" t="n"/>
      <c r="W58" s="334" t="n"/>
      <c r="X58" s="334" t="n"/>
      <c r="Y58" s="334" t="n"/>
      <c r="Z58" s="334" t="n"/>
      <c r="AA58" s="334" t="n"/>
      <c r="AB58" s="334" t="n"/>
      <c r="AC58" s="334" t="n"/>
      <c r="AD58" s="334" t="n"/>
      <c r="AE58" s="334" t="n"/>
      <c r="AF58" s="334" t="n"/>
      <c r="AG58" s="334" t="n"/>
      <c r="AH58" s="334" t="n"/>
      <c r="AI58" s="334" t="n"/>
      <c r="AJ58" s="334" t="n"/>
      <c r="AK58" s="334" t="n"/>
      <c r="AL58" s="334" t="n"/>
      <c r="AM58" s="334" t="n"/>
      <c r="AN58" s="334" t="n"/>
      <c r="AO58" s="334" t="n"/>
      <c r="AP58" s="334" t="n"/>
      <c r="AQ58" s="334" t="n"/>
      <c r="AR58" s="334" t="n"/>
      <c r="AS58" s="334" t="n"/>
      <c r="AT58" s="335" t="n"/>
      <c r="AU58" s="289" t="inlineStr">
        <is>
          <t>Plumbing, mechanical and electrical components
CBC 1705A.12.6
Anchorage, bracing, and vibration isolators</t>
        </is>
      </c>
      <c r="AV58" s="322" t="n"/>
      <c r="AW58" s="322" t="n"/>
      <c r="AX58" s="322" t="n"/>
      <c r="AY58" s="288" t="n"/>
      <c r="AZ58" s="4" t="n"/>
      <c r="BB58" s="128" t="n"/>
      <c r="BD58" s="5" t="n"/>
      <c r="BE58" s="385" t="n"/>
      <c r="BG58" s="387" t="n"/>
    </row>
    <row r="59" hidden="1" ht="49" customHeight="1" thickBot="1">
      <c r="D59" s="136" t="inlineStr">
        <is>
          <t>D-N6</t>
        </is>
      </c>
      <c r="E59" s="333" t="n"/>
      <c r="F59" s="334" t="n"/>
      <c r="G59" s="334" t="n"/>
      <c r="H59" s="334" t="n"/>
      <c r="I59" s="334" t="n"/>
      <c r="J59" s="334" t="n"/>
      <c r="K59" s="334" t="n"/>
      <c r="L59" s="334" t="n"/>
      <c r="M59" s="334" t="n"/>
      <c r="N59" s="334" t="n"/>
      <c r="O59" s="334" t="n"/>
      <c r="P59" s="334" t="n"/>
      <c r="Q59" s="334" t="n"/>
      <c r="R59" s="334" t="n"/>
      <c r="S59" s="334" t="n"/>
      <c r="T59" s="334" t="n"/>
      <c r="U59" s="334" t="n"/>
      <c r="V59" s="334" t="n"/>
      <c r="W59" s="334" t="n"/>
      <c r="X59" s="334" t="n"/>
      <c r="Y59" s="334" t="n"/>
      <c r="Z59" s="334" t="n"/>
      <c r="AA59" s="334" t="n"/>
      <c r="AB59" s="334" t="n"/>
      <c r="AC59" s="334" t="n"/>
      <c r="AD59" s="334" t="n"/>
      <c r="AE59" s="334" t="n"/>
      <c r="AF59" s="334" t="n"/>
      <c r="AG59" s="334" t="n"/>
      <c r="AH59" s="334" t="n"/>
      <c r="AI59" s="334" t="n"/>
      <c r="AJ59" s="334" t="n"/>
      <c r="AK59" s="334" t="n"/>
      <c r="AL59" s="334" t="n"/>
      <c r="AM59" s="334" t="n"/>
      <c r="AN59" s="334" t="n"/>
      <c r="AO59" s="334" t="n"/>
      <c r="AP59" s="334" t="n"/>
      <c r="AQ59" s="334" t="n"/>
      <c r="AR59" s="334" t="n"/>
      <c r="AS59" s="334" t="n"/>
      <c r="AT59" s="335" t="n"/>
      <c r="AU59" s="289" t="inlineStr">
        <is>
          <t>Special Seismic Certification
CBC 1705A.12.4
Special Seismic Certification label, anchorage and mounting</t>
        </is>
      </c>
      <c r="AV59" s="322" t="n"/>
      <c r="AW59" s="322" t="n"/>
      <c r="AX59" s="322" t="n"/>
      <c r="AY59" s="288" t="n"/>
      <c r="AZ59" s="6" t="n"/>
      <c r="BB59" s="128" t="n"/>
      <c r="BD59" s="5" t="n"/>
      <c r="BE59" s="385" t="n"/>
      <c r="BG59" s="387" t="n"/>
    </row>
    <row r="60" hidden="1" ht="25" customHeight="1" thickBot="1">
      <c r="D60" s="136" t="inlineStr">
        <is>
          <t>D-N7</t>
        </is>
      </c>
      <c r="E60" s="333" t="n"/>
      <c r="F60" s="334" t="n"/>
      <c r="G60" s="334" t="n"/>
      <c r="H60" s="334" t="n"/>
      <c r="I60" s="334" t="n"/>
      <c r="J60" s="334" t="n"/>
      <c r="K60" s="334" t="n"/>
      <c r="L60" s="334" t="n"/>
      <c r="M60" s="334" t="n"/>
      <c r="N60" s="334" t="n"/>
      <c r="O60" s="334" t="n"/>
      <c r="P60" s="334" t="n"/>
      <c r="Q60" s="334" t="n"/>
      <c r="R60" s="334" t="n"/>
      <c r="S60" s="334" t="n"/>
      <c r="T60" s="334" t="n"/>
      <c r="U60" s="334" t="n"/>
      <c r="V60" s="334" t="n"/>
      <c r="W60" s="334" t="n"/>
      <c r="X60" s="334" t="n"/>
      <c r="Y60" s="334" t="n"/>
      <c r="Z60" s="334" t="n"/>
      <c r="AA60" s="334" t="n"/>
      <c r="AB60" s="334" t="n"/>
      <c r="AC60" s="334" t="n"/>
      <c r="AD60" s="334" t="n"/>
      <c r="AE60" s="334" t="n"/>
      <c r="AF60" s="334" t="n"/>
      <c r="AG60" s="334" t="n"/>
      <c r="AH60" s="334" t="n"/>
      <c r="AI60" s="334" t="n"/>
      <c r="AJ60" s="334" t="n"/>
      <c r="AK60" s="334" t="n"/>
      <c r="AL60" s="334" t="n"/>
      <c r="AM60" s="334" t="n"/>
      <c r="AN60" s="334" t="n"/>
      <c r="AO60" s="334" t="n"/>
      <c r="AP60" s="334" t="n"/>
      <c r="AQ60" s="334" t="n"/>
      <c r="AR60" s="334" t="n"/>
      <c r="AS60" s="334" t="n"/>
      <c r="AT60" s="335" t="n"/>
      <c r="AU60" s="289" t="n"/>
      <c r="AV60" s="322" t="n"/>
      <c r="AW60" s="322" t="n"/>
      <c r="AX60" s="322" t="n"/>
      <c r="AY60" s="288" t="n"/>
      <c r="AZ60" s="6" t="n"/>
      <c r="BB60" s="128" t="n"/>
      <c r="BD60" s="5" t="n"/>
      <c r="BE60" s="385" t="n"/>
      <c r="BG60" s="387" t="n"/>
    </row>
    <row r="61" hidden="1" ht="25" customHeight="1" thickBot="1">
      <c r="D61" s="136" t="inlineStr">
        <is>
          <t>D-N8</t>
        </is>
      </c>
      <c r="E61" s="336" t="n"/>
      <c r="F61" s="337" t="n"/>
      <c r="G61" s="337" t="n"/>
      <c r="H61" s="337" t="n"/>
      <c r="I61" s="337" t="n"/>
      <c r="J61" s="337" t="n"/>
      <c r="K61" s="337" t="n"/>
      <c r="L61" s="337" t="n"/>
      <c r="M61" s="337" t="n"/>
      <c r="N61" s="337" t="n"/>
      <c r="O61" s="337" t="n"/>
      <c r="P61" s="337" t="n"/>
      <c r="Q61" s="337" t="n"/>
      <c r="R61" s="337" t="n"/>
      <c r="S61" s="337" t="n"/>
      <c r="T61" s="337" t="n"/>
      <c r="U61" s="337" t="n"/>
      <c r="V61" s="337" t="n"/>
      <c r="W61" s="337" t="n"/>
      <c r="X61" s="337" t="n"/>
      <c r="Y61" s="337" t="n"/>
      <c r="Z61" s="337" t="n"/>
      <c r="AA61" s="337" t="n"/>
      <c r="AB61" s="337" t="n"/>
      <c r="AC61" s="337" t="n"/>
      <c r="AD61" s="337" t="n"/>
      <c r="AE61" s="337" t="n"/>
      <c r="AF61" s="337" t="n"/>
      <c r="AG61" s="337" t="n"/>
      <c r="AH61" s="337" t="n"/>
      <c r="AI61" s="337" t="n"/>
      <c r="AJ61" s="337" t="n"/>
      <c r="AK61" s="337" t="n"/>
      <c r="AL61" s="337" t="n"/>
      <c r="AM61" s="337" t="n"/>
      <c r="AN61" s="337" t="n"/>
      <c r="AO61" s="337" t="n"/>
      <c r="AP61" s="337" t="n"/>
      <c r="AQ61" s="337" t="n"/>
      <c r="AR61" s="337" t="n"/>
      <c r="AS61" s="337" t="n"/>
      <c r="AT61" s="338" t="n"/>
      <c r="AU61" s="323" t="n"/>
      <c r="AV61" s="340" t="n"/>
      <c r="AW61" s="340" t="n"/>
      <c r="AX61" s="340" t="n"/>
      <c r="AY61" s="294" t="n"/>
      <c r="AZ61" s="4" t="n"/>
      <c r="BB61" s="128" t="n"/>
      <c r="BD61" s="5" t="n"/>
      <c r="BE61" s="385" t="n"/>
      <c r="BG61" s="387" t="n"/>
    </row>
    <row r="62" hidden="1" ht="18" customHeight="1" thickBot="1">
      <c r="A62" s="3" t="inlineStr">
        <is>
          <t>x2</t>
        </is>
      </c>
      <c r="B62" s="99" t="inlineStr">
        <is>
          <t>MECHANICAL INSPECTIONS</t>
        </is>
      </c>
      <c r="C62" s="24" t="n"/>
      <c r="D62" s="24" t="n"/>
      <c r="E62" s="163" t="n"/>
      <c r="F62" s="163" t="n"/>
      <c r="G62" s="163" t="n"/>
      <c r="H62" s="163" t="n"/>
      <c r="I62" s="163" t="n"/>
      <c r="J62" s="163" t="n"/>
      <c r="K62" s="163" t="n"/>
      <c r="L62" s="163" t="n"/>
      <c r="M62" s="163" t="n"/>
      <c r="N62" s="163" t="n"/>
      <c r="O62" s="163" t="n"/>
      <c r="P62" s="163" t="n"/>
      <c r="Q62" s="163" t="n"/>
      <c r="R62" s="163" t="n"/>
      <c r="S62" s="163" t="n"/>
      <c r="T62" s="163" t="n"/>
      <c r="U62" s="163" t="n"/>
      <c r="V62" s="163" t="n"/>
      <c r="W62" s="163" t="n"/>
      <c r="X62" s="163" t="n"/>
      <c r="Y62" s="163" t="n"/>
      <c r="Z62" s="163" t="n"/>
      <c r="AA62" s="163" t="n"/>
      <c r="AB62" s="163" t="n"/>
      <c r="AC62" s="163" t="n"/>
      <c r="AD62" s="163" t="n"/>
      <c r="AE62" s="163" t="n"/>
      <c r="AF62" s="163" t="n"/>
      <c r="AG62" s="163" t="n"/>
      <c r="AH62" s="163" t="n"/>
      <c r="AI62" s="163" t="n"/>
      <c r="AJ62" s="163" t="n"/>
      <c r="AK62" s="163" t="n"/>
      <c r="AL62" s="163" t="n"/>
      <c r="AM62" s="163" t="n"/>
      <c r="AN62" s="163" t="n"/>
      <c r="AO62" s="163" t="n"/>
      <c r="AP62" s="163" t="n"/>
      <c r="AQ62" s="163" t="n"/>
      <c r="AR62" s="163" t="n"/>
      <c r="AS62" s="163" t="n"/>
      <c r="AT62" s="163" t="n"/>
      <c r="AU62" s="24" t="n"/>
      <c r="AV62" s="50" t="n"/>
      <c r="AW62" s="50" t="n"/>
      <c r="AX62" s="24" t="n"/>
      <c r="AY62" s="50" t="n"/>
      <c r="AZ62" s="25" t="n"/>
      <c r="BB62" s="128" t="n"/>
      <c r="BD62" s="5" t="n"/>
      <c r="BE62" s="385" t="n"/>
      <c r="BG62" s="387" t="n"/>
    </row>
    <row r="63" hidden="1" ht="26" customHeight="1" thickBot="1">
      <c r="D63" s="136" t="inlineStr">
        <is>
          <t>D-M1</t>
        </is>
      </c>
      <c r="E63" s="330" t="n"/>
      <c r="F63" s="331" t="n"/>
      <c r="G63" s="331" t="n"/>
      <c r="H63" s="331" t="n"/>
      <c r="I63" s="331" t="n"/>
      <c r="J63" s="331" t="n"/>
      <c r="K63" s="331" t="n"/>
      <c r="L63" s="331" t="n"/>
      <c r="M63" s="331" t="n"/>
      <c r="N63" s="331" t="n"/>
      <c r="O63" s="331" t="n"/>
      <c r="P63" s="331" t="n"/>
      <c r="Q63" s="331" t="n"/>
      <c r="R63" s="331" t="n"/>
      <c r="S63" s="331" t="n"/>
      <c r="T63" s="331" t="n"/>
      <c r="U63" s="331" t="n"/>
      <c r="V63" s="331" t="n"/>
      <c r="W63" s="331" t="n"/>
      <c r="X63" s="331" t="n"/>
      <c r="Y63" s="331" t="n"/>
      <c r="Z63" s="331" t="n"/>
      <c r="AA63" s="331" t="n"/>
      <c r="AB63" s="331" t="n"/>
      <c r="AC63" s="331" t="n"/>
      <c r="AD63" s="331" t="n"/>
      <c r="AE63" s="331" t="n"/>
      <c r="AF63" s="331" t="n"/>
      <c r="AG63" s="331" t="n"/>
      <c r="AH63" s="331" t="n"/>
      <c r="AI63" s="331" t="n"/>
      <c r="AJ63" s="331" t="n"/>
      <c r="AK63" s="331" t="n"/>
      <c r="AL63" s="331" t="n"/>
      <c r="AM63" s="331" t="n"/>
      <c r="AN63" s="331" t="n"/>
      <c r="AO63" s="331" t="n"/>
      <c r="AP63" s="331" t="n"/>
      <c r="AQ63" s="331" t="n"/>
      <c r="AR63" s="331" t="n"/>
      <c r="AS63" s="331" t="n"/>
      <c r="AT63" s="332" t="n"/>
      <c r="AU63" s="311" t="n"/>
      <c r="AV63" s="339" t="n"/>
      <c r="AW63" s="339" t="n"/>
      <c r="AX63" s="339" t="n"/>
      <c r="AY63" s="286" t="n"/>
      <c r="AZ63" s="4" t="n"/>
      <c r="BB63" s="128" t="n"/>
      <c r="BD63" s="5" t="n"/>
      <c r="BE63" s="385" t="n"/>
      <c r="BG63" s="387" t="n"/>
    </row>
    <row r="64" hidden="1" ht="26" customHeight="1" thickBot="1">
      <c r="D64" s="136" t="inlineStr">
        <is>
          <t>D-M2</t>
        </is>
      </c>
      <c r="E64" s="336" t="n"/>
      <c r="F64" s="337" t="n"/>
      <c r="G64" s="337" t="n"/>
      <c r="H64" s="337" t="n"/>
      <c r="I64" s="337" t="n"/>
      <c r="J64" s="337" t="n"/>
      <c r="K64" s="337" t="n"/>
      <c r="L64" s="337" t="n"/>
      <c r="M64" s="337" t="n"/>
      <c r="N64" s="337" t="n"/>
      <c r="O64" s="337" t="n"/>
      <c r="P64" s="337" t="n"/>
      <c r="Q64" s="337" t="n"/>
      <c r="R64" s="337" t="n"/>
      <c r="S64" s="337" t="n"/>
      <c r="T64" s="337" t="n"/>
      <c r="U64" s="337" t="n"/>
      <c r="V64" s="337" t="n"/>
      <c r="W64" s="337" t="n"/>
      <c r="X64" s="337" t="n"/>
      <c r="Y64" s="337" t="n"/>
      <c r="Z64" s="337" t="n"/>
      <c r="AA64" s="337" t="n"/>
      <c r="AB64" s="337" t="n"/>
      <c r="AC64" s="337" t="n"/>
      <c r="AD64" s="337" t="n"/>
      <c r="AE64" s="337" t="n"/>
      <c r="AF64" s="337" t="n"/>
      <c r="AG64" s="337" t="n"/>
      <c r="AH64" s="337" t="n"/>
      <c r="AI64" s="337" t="n"/>
      <c r="AJ64" s="337" t="n"/>
      <c r="AK64" s="337" t="n"/>
      <c r="AL64" s="337" t="n"/>
      <c r="AM64" s="337" t="n"/>
      <c r="AN64" s="337" t="n"/>
      <c r="AO64" s="337" t="n"/>
      <c r="AP64" s="337" t="n"/>
      <c r="AQ64" s="337" t="n"/>
      <c r="AR64" s="337" t="n"/>
      <c r="AS64" s="337" t="n"/>
      <c r="AT64" s="338" t="n"/>
      <c r="AU64" s="323" t="n"/>
      <c r="AV64" s="340" t="n"/>
      <c r="AW64" s="340" t="n"/>
      <c r="AX64" s="340" t="n"/>
      <c r="AY64" s="294" t="n"/>
      <c r="AZ64" s="4" t="n"/>
      <c r="BB64" s="128" t="n"/>
      <c r="BD64" s="5" t="n"/>
      <c r="BE64" s="385" t="n"/>
      <c r="BG64" s="387" t="n"/>
    </row>
    <row r="65" hidden="1" ht="18" customHeight="1" thickBot="1">
      <c r="A65" s="3" t="inlineStr">
        <is>
          <t>x3</t>
        </is>
      </c>
      <c r="B65" s="100" t="inlineStr">
        <is>
          <t>PLUMBING INSPECTIONS</t>
        </is>
      </c>
      <c r="C65" s="103" t="n"/>
      <c r="D65" s="27" t="n"/>
      <c r="E65" s="163" t="n"/>
      <c r="F65" s="163" t="n"/>
      <c r="G65" s="163" t="n"/>
      <c r="H65" s="163" t="n"/>
      <c r="I65" s="163" t="n"/>
      <c r="J65" s="163" t="n"/>
      <c r="K65" s="163" t="n"/>
      <c r="L65" s="163" t="n"/>
      <c r="M65" s="163" t="n"/>
      <c r="N65" s="163" t="n"/>
      <c r="O65" s="163" t="n"/>
      <c r="P65" s="163" t="n"/>
      <c r="Q65" s="163" t="n"/>
      <c r="R65" s="163" t="n"/>
      <c r="S65" s="163" t="n"/>
      <c r="T65" s="163" t="n"/>
      <c r="U65" s="163" t="n"/>
      <c r="V65" s="163" t="n"/>
      <c r="W65" s="163" t="n"/>
      <c r="X65" s="163" t="n"/>
      <c r="Y65" s="163" t="n"/>
      <c r="Z65" s="163" t="n"/>
      <c r="AA65" s="163" t="n"/>
      <c r="AB65" s="163" t="n"/>
      <c r="AC65" s="163" t="n"/>
      <c r="AD65" s="163" t="n"/>
      <c r="AE65" s="163" t="n"/>
      <c r="AF65" s="163" t="n"/>
      <c r="AG65" s="163" t="n"/>
      <c r="AH65" s="163" t="n"/>
      <c r="AI65" s="163" t="n"/>
      <c r="AJ65" s="163" t="n"/>
      <c r="AK65" s="163" t="n"/>
      <c r="AL65" s="163" t="n"/>
      <c r="AM65" s="163" t="n"/>
      <c r="AN65" s="163" t="n"/>
      <c r="AO65" s="163" t="n"/>
      <c r="AP65" s="163" t="n"/>
      <c r="AQ65" s="163" t="n"/>
      <c r="AR65" s="163" t="n"/>
      <c r="AS65" s="163" t="n"/>
      <c r="AT65" s="163" t="n"/>
      <c r="AU65" s="27" t="n"/>
      <c r="AV65" s="51" t="n"/>
      <c r="AW65" s="51" t="n"/>
      <c r="AX65" s="27" t="n"/>
      <c r="AY65" s="51" t="n"/>
      <c r="AZ65" s="28" t="n"/>
      <c r="BB65" s="128" t="n"/>
      <c r="BD65" s="5" t="n"/>
      <c r="BE65" s="385" t="n"/>
      <c r="BG65" s="387" t="n"/>
    </row>
    <row r="66" hidden="1" ht="24" customHeight="1" thickBot="1">
      <c r="D66" s="136" t="inlineStr">
        <is>
          <t>D-P1</t>
        </is>
      </c>
      <c r="E66" s="330" t="n"/>
      <c r="F66" s="331" t="n"/>
      <c r="G66" s="331" t="n"/>
      <c r="H66" s="331" t="n"/>
      <c r="I66" s="331" t="n"/>
      <c r="J66" s="331" t="n"/>
      <c r="K66" s="331" t="n"/>
      <c r="L66" s="331" t="n"/>
      <c r="M66" s="331" t="n"/>
      <c r="N66" s="331" t="n"/>
      <c r="O66" s="331" t="n"/>
      <c r="P66" s="331" t="n"/>
      <c r="Q66" s="331" t="n"/>
      <c r="R66" s="331" t="n"/>
      <c r="S66" s="331" t="n"/>
      <c r="T66" s="331" t="n"/>
      <c r="U66" s="331" t="n"/>
      <c r="V66" s="331" t="n"/>
      <c r="W66" s="331" t="n"/>
      <c r="X66" s="331" t="n"/>
      <c r="Y66" s="331" t="n"/>
      <c r="Z66" s="331" t="n"/>
      <c r="AA66" s="331" t="n"/>
      <c r="AB66" s="331" t="n"/>
      <c r="AC66" s="331" t="n"/>
      <c r="AD66" s="331" t="n"/>
      <c r="AE66" s="331" t="n"/>
      <c r="AF66" s="331" t="n"/>
      <c r="AG66" s="331" t="n"/>
      <c r="AH66" s="331" t="n"/>
      <c r="AI66" s="331" t="n"/>
      <c r="AJ66" s="331" t="n"/>
      <c r="AK66" s="331" t="n"/>
      <c r="AL66" s="331" t="n"/>
      <c r="AM66" s="331" t="n"/>
      <c r="AN66" s="331" t="n"/>
      <c r="AO66" s="331" t="n"/>
      <c r="AP66" s="331" t="n"/>
      <c r="AQ66" s="331" t="n"/>
      <c r="AR66" s="331" t="n"/>
      <c r="AS66" s="331" t="n"/>
      <c r="AT66" s="332" t="n"/>
      <c r="AU66" s="311" t="n"/>
      <c r="AV66" s="339" t="n"/>
      <c r="AW66" s="339" t="n"/>
      <c r="AX66" s="339" t="n"/>
      <c r="AY66" s="286" t="n"/>
      <c r="AZ66" s="4" t="n"/>
      <c r="BB66" s="128" t="n"/>
      <c r="BD66" s="5" t="n"/>
      <c r="BE66" s="385" t="n"/>
      <c r="BG66" s="387" t="n"/>
    </row>
    <row r="67" hidden="1" ht="24" customHeight="1" thickBot="1">
      <c r="D67" s="136" t="inlineStr">
        <is>
          <t>D-P2</t>
        </is>
      </c>
      <c r="E67" s="336" t="n"/>
      <c r="F67" s="337" t="n"/>
      <c r="G67" s="337" t="n"/>
      <c r="H67" s="337" t="n"/>
      <c r="I67" s="337" t="n"/>
      <c r="J67" s="337" t="n"/>
      <c r="K67" s="337" t="n"/>
      <c r="L67" s="337" t="n"/>
      <c r="M67" s="337" t="n"/>
      <c r="N67" s="337" t="n"/>
      <c r="O67" s="337" t="n"/>
      <c r="P67" s="337" t="n"/>
      <c r="Q67" s="337" t="n"/>
      <c r="R67" s="337" t="n"/>
      <c r="S67" s="337" t="n"/>
      <c r="T67" s="337" t="n"/>
      <c r="U67" s="337" t="n"/>
      <c r="V67" s="337" t="n"/>
      <c r="W67" s="337" t="n"/>
      <c r="X67" s="337" t="n"/>
      <c r="Y67" s="337" t="n"/>
      <c r="Z67" s="337" t="n"/>
      <c r="AA67" s="337" t="n"/>
      <c r="AB67" s="337" t="n"/>
      <c r="AC67" s="337" t="n"/>
      <c r="AD67" s="337" t="n"/>
      <c r="AE67" s="337" t="n"/>
      <c r="AF67" s="337" t="n"/>
      <c r="AG67" s="337" t="n"/>
      <c r="AH67" s="337" t="n"/>
      <c r="AI67" s="337" t="n"/>
      <c r="AJ67" s="337" t="n"/>
      <c r="AK67" s="337" t="n"/>
      <c r="AL67" s="337" t="n"/>
      <c r="AM67" s="337" t="n"/>
      <c r="AN67" s="337" t="n"/>
      <c r="AO67" s="337" t="n"/>
      <c r="AP67" s="337" t="n"/>
      <c r="AQ67" s="337" t="n"/>
      <c r="AR67" s="337" t="n"/>
      <c r="AS67" s="337" t="n"/>
      <c r="AT67" s="338" t="n"/>
      <c r="AU67" s="323" t="n"/>
      <c r="AV67" s="340" t="n"/>
      <c r="AW67" s="340" t="n"/>
      <c r="AX67" s="340" t="n"/>
      <c r="AY67" s="294" t="n"/>
      <c r="AZ67" s="4" t="n"/>
      <c r="BB67" s="128" t="n"/>
      <c r="BD67" s="5" t="n"/>
      <c r="BE67" s="385" t="n"/>
      <c r="BG67" s="387" t="n"/>
    </row>
    <row r="68" hidden="1" ht="18" customHeight="1" thickBot="1">
      <c r="A68" s="98" t="inlineStr">
        <is>
          <t>x4</t>
        </is>
      </c>
      <c r="B68" s="134" t="inlineStr">
        <is>
          <t>FIRE PROTECTION AND LIFE SAFETY SYSTEMS SPECIAL INSPECTIONS</t>
        </is>
      </c>
      <c r="C68" s="135" t="n"/>
      <c r="D68" s="131" t="n"/>
      <c r="E68" s="208" t="n"/>
      <c r="F68" s="208" t="n"/>
      <c r="G68" s="208" t="n"/>
      <c r="H68" s="208" t="n"/>
      <c r="I68" s="208" t="n"/>
      <c r="J68" s="208" t="n"/>
      <c r="K68" s="208" t="n"/>
      <c r="L68" s="208" t="n"/>
      <c r="M68" s="208" t="n"/>
      <c r="N68" s="208" t="n"/>
      <c r="O68" s="208" t="n"/>
      <c r="P68" s="208" t="n"/>
      <c r="Q68" s="208" t="n"/>
      <c r="R68" s="208" t="n"/>
      <c r="S68" s="208" t="n"/>
      <c r="T68" s="208" t="n"/>
      <c r="U68" s="208" t="n"/>
      <c r="V68" s="208" t="n"/>
      <c r="W68" s="208" t="n"/>
      <c r="X68" s="208" t="n"/>
      <c r="Y68" s="208" t="n"/>
      <c r="Z68" s="208" t="n"/>
      <c r="AA68" s="208" t="n"/>
      <c r="AB68" s="208" t="n"/>
      <c r="AC68" s="208" t="n"/>
      <c r="AD68" s="208" t="n"/>
      <c r="AE68" s="208" t="n"/>
      <c r="AF68" s="208" t="n"/>
      <c r="AG68" s="208" t="n"/>
      <c r="AH68" s="208" t="n"/>
      <c r="AI68" s="208" t="n"/>
      <c r="AJ68" s="208" t="n"/>
      <c r="AK68" s="208" t="n"/>
      <c r="AL68" s="208" t="n"/>
      <c r="AM68" s="208" t="n"/>
      <c r="AN68" s="208" t="n"/>
      <c r="AO68" s="208" t="n"/>
      <c r="AP68" s="208" t="n"/>
      <c r="AQ68" s="208" t="n"/>
      <c r="AR68" s="208" t="n"/>
      <c r="AS68" s="208" t="n"/>
      <c r="AT68" s="208" t="n"/>
      <c r="AU68" s="131" t="n"/>
      <c r="AV68" s="132" t="n"/>
      <c r="AW68" s="132" t="n"/>
      <c r="AX68" s="131" t="n"/>
      <c r="AY68" s="132" t="n"/>
      <c r="AZ68" s="133" t="n"/>
      <c r="BB68" s="128" t="n"/>
      <c r="BD68" s="5" t="n"/>
      <c r="BE68" s="385" t="n"/>
      <c r="BG68" s="387" t="n"/>
    </row>
    <row r="69" hidden="1" ht="37" customHeight="1" thickBot="1">
      <c r="D69" s="136" t="inlineStr">
        <is>
          <t>D-FP1</t>
        </is>
      </c>
      <c r="E69" s="330" t="n"/>
      <c r="F69" s="331" t="n"/>
      <c r="G69" s="331" t="n"/>
      <c r="H69" s="331" t="n"/>
      <c r="I69" s="331" t="n"/>
      <c r="J69" s="331" t="n"/>
      <c r="K69" s="331" t="n"/>
      <c r="L69" s="331" t="n"/>
      <c r="M69" s="331" t="n"/>
      <c r="N69" s="331" t="n"/>
      <c r="O69" s="331" t="n"/>
      <c r="P69" s="331" t="n"/>
      <c r="Q69" s="331" t="n"/>
      <c r="R69" s="331" t="n"/>
      <c r="S69" s="331" t="n"/>
      <c r="T69" s="331" t="n"/>
      <c r="U69" s="331" t="n"/>
      <c r="V69" s="331" t="n"/>
      <c r="W69" s="331" t="n"/>
      <c r="X69" s="331" t="n"/>
      <c r="Y69" s="331" t="n"/>
      <c r="Z69" s="331" t="n"/>
      <c r="AA69" s="331" t="n"/>
      <c r="AB69" s="331" t="n"/>
      <c r="AC69" s="331" t="n"/>
      <c r="AD69" s="331" t="n"/>
      <c r="AE69" s="331" t="n"/>
      <c r="AF69" s="331" t="n"/>
      <c r="AG69" s="331" t="n"/>
      <c r="AH69" s="331" t="n"/>
      <c r="AI69" s="331" t="n"/>
      <c r="AJ69" s="331" t="n"/>
      <c r="AK69" s="331" t="n"/>
      <c r="AL69" s="331" t="n"/>
      <c r="AM69" s="331" t="n"/>
      <c r="AN69" s="331" t="n"/>
      <c r="AO69" s="331" t="n"/>
      <c r="AP69" s="331" t="n"/>
      <c r="AQ69" s="331" t="n"/>
      <c r="AR69" s="331" t="n"/>
      <c r="AS69" s="331" t="n"/>
      <c r="AT69" s="332" t="n"/>
      <c r="AU69" s="311" t="inlineStr">
        <is>
          <t>Sprayed fire-resistant materials
CBC 1705A.14
Spray-applied fireproofing</t>
        </is>
      </c>
      <c r="AV69" s="339" t="n"/>
      <c r="AW69" s="339" t="n"/>
      <c r="AX69" s="339" t="n"/>
      <c r="AY69" s="286" t="n"/>
      <c r="AZ69" s="4" t="n"/>
      <c r="BB69" s="128" t="n"/>
      <c r="BD69" s="5" t="n"/>
      <c r="BE69" s="385" t="n"/>
      <c r="BG69" s="387" t="n"/>
    </row>
    <row r="70" hidden="1" ht="37" customHeight="1" thickBot="1">
      <c r="D70" s="136" t="inlineStr">
        <is>
          <t>D-FP2</t>
        </is>
      </c>
      <c r="E70" s="333" t="n"/>
      <c r="F70" s="334" t="n"/>
      <c r="G70" s="334" t="n"/>
      <c r="H70" s="334" t="n"/>
      <c r="I70" s="334" t="n"/>
      <c r="J70" s="334" t="n"/>
      <c r="K70" s="334" t="n"/>
      <c r="L70" s="334" t="n"/>
      <c r="M70" s="334" t="n"/>
      <c r="N70" s="334" t="n"/>
      <c r="O70" s="334" t="n"/>
      <c r="P70" s="334" t="n"/>
      <c r="Q70" s="334" t="n"/>
      <c r="R70" s="334" t="n"/>
      <c r="S70" s="334" t="n"/>
      <c r="T70" s="334" t="n"/>
      <c r="U70" s="334" t="n"/>
      <c r="V70" s="334" t="n"/>
      <c r="W70" s="334" t="n"/>
      <c r="X70" s="334" t="n"/>
      <c r="Y70" s="334" t="n"/>
      <c r="Z70" s="334" t="n"/>
      <c r="AA70" s="334" t="n"/>
      <c r="AB70" s="334" t="n"/>
      <c r="AC70" s="334" t="n"/>
      <c r="AD70" s="334" t="n"/>
      <c r="AE70" s="334" t="n"/>
      <c r="AF70" s="334" t="n"/>
      <c r="AG70" s="334" t="n"/>
      <c r="AH70" s="334" t="n"/>
      <c r="AI70" s="334" t="n"/>
      <c r="AJ70" s="334" t="n"/>
      <c r="AK70" s="334" t="n"/>
      <c r="AL70" s="334" t="n"/>
      <c r="AM70" s="334" t="n"/>
      <c r="AN70" s="334" t="n"/>
      <c r="AO70" s="334" t="n"/>
      <c r="AP70" s="334" t="n"/>
      <c r="AQ70" s="334" t="n"/>
      <c r="AR70" s="334" t="n"/>
      <c r="AS70" s="334" t="n"/>
      <c r="AT70" s="335" t="n"/>
      <c r="AU70" s="289" t="inlineStr">
        <is>
          <t>Mastic and intumescent fire-resistant coatings
CBC 1705A.15
In accordance with AWCI 12-B</t>
        </is>
      </c>
      <c r="AV70" s="322" t="n"/>
      <c r="AW70" s="322" t="n"/>
      <c r="AX70" s="322" t="n"/>
      <c r="AY70" s="288" t="n"/>
      <c r="AZ70" s="4" t="n"/>
      <c r="BB70" s="128" t="n"/>
      <c r="BD70" s="5" t="n"/>
      <c r="BE70" s="385" t="n"/>
      <c r="BG70" s="387" t="n"/>
    </row>
    <row r="71" hidden="1" ht="37" customHeight="1" thickBot="1">
      <c r="D71" s="136" t="inlineStr">
        <is>
          <t>D-FP3</t>
        </is>
      </c>
      <c r="E71" s="333" t="n"/>
      <c r="F71" s="334" t="n"/>
      <c r="G71" s="334" t="n"/>
      <c r="H71" s="334" t="n"/>
      <c r="I71" s="334" t="n"/>
      <c r="J71" s="334" t="n"/>
      <c r="K71" s="334" t="n"/>
      <c r="L71" s="334" t="n"/>
      <c r="M71" s="334" t="n"/>
      <c r="N71" s="334" t="n"/>
      <c r="O71" s="334" t="n"/>
      <c r="P71" s="334" t="n"/>
      <c r="Q71" s="334" t="n"/>
      <c r="R71" s="334" t="n"/>
      <c r="S71" s="334" t="n"/>
      <c r="T71" s="334" t="n"/>
      <c r="U71" s="334" t="n"/>
      <c r="V71" s="334" t="n"/>
      <c r="W71" s="334" t="n"/>
      <c r="X71" s="334" t="n"/>
      <c r="Y71" s="334" t="n"/>
      <c r="Z71" s="334" t="n"/>
      <c r="AA71" s="334" t="n"/>
      <c r="AB71" s="334" t="n"/>
      <c r="AC71" s="334" t="n"/>
      <c r="AD71" s="334" t="n"/>
      <c r="AE71" s="334" t="n"/>
      <c r="AF71" s="334" t="n"/>
      <c r="AG71" s="334" t="n"/>
      <c r="AH71" s="334" t="n"/>
      <c r="AI71" s="334" t="n"/>
      <c r="AJ71" s="334" t="n"/>
      <c r="AK71" s="334" t="n"/>
      <c r="AL71" s="334" t="n"/>
      <c r="AM71" s="334" t="n"/>
      <c r="AN71" s="334" t="n"/>
      <c r="AO71" s="334" t="n"/>
      <c r="AP71" s="334" t="n"/>
      <c r="AQ71" s="334" t="n"/>
      <c r="AR71" s="334" t="n"/>
      <c r="AS71" s="334" t="n"/>
      <c r="AT71" s="335" t="n"/>
      <c r="AU71" s="289" t="inlineStr">
        <is>
          <t>Penetration firestops
CBC 1705A.17.1
Penetration firestop systems that are tested and listed</t>
        </is>
      </c>
      <c r="AV71" s="322" t="n"/>
      <c r="AW71" s="322" t="n"/>
      <c r="AX71" s="322" t="n"/>
      <c r="AY71" s="288" t="n"/>
      <c r="AZ71" s="4" t="n"/>
      <c r="BB71" s="128" t="n"/>
      <c r="BD71" s="5" t="n"/>
      <c r="BE71" s="385" t="n"/>
      <c r="BG71" s="387" t="n"/>
    </row>
    <row r="72" hidden="1" ht="37" customHeight="1" thickBot="1">
      <c r="D72" s="136" t="inlineStr">
        <is>
          <t>D-FP4</t>
        </is>
      </c>
      <c r="E72" s="333" t="n"/>
      <c r="F72" s="334" t="n"/>
      <c r="G72" s="334" t="n"/>
      <c r="H72" s="334" t="n"/>
      <c r="I72" s="334" t="n"/>
      <c r="J72" s="334" t="n"/>
      <c r="K72" s="334" t="n"/>
      <c r="L72" s="334" t="n"/>
      <c r="M72" s="334" t="n"/>
      <c r="N72" s="334" t="n"/>
      <c r="O72" s="334" t="n"/>
      <c r="P72" s="334" t="n"/>
      <c r="Q72" s="334" t="n"/>
      <c r="R72" s="334" t="n"/>
      <c r="S72" s="334" t="n"/>
      <c r="T72" s="334" t="n"/>
      <c r="U72" s="334" t="n"/>
      <c r="V72" s="334" t="n"/>
      <c r="W72" s="334" t="n"/>
      <c r="X72" s="334" t="n"/>
      <c r="Y72" s="334" t="n"/>
      <c r="Z72" s="334" t="n"/>
      <c r="AA72" s="334" t="n"/>
      <c r="AB72" s="334" t="n"/>
      <c r="AC72" s="334" t="n"/>
      <c r="AD72" s="334" t="n"/>
      <c r="AE72" s="334" t="n"/>
      <c r="AF72" s="334" t="n"/>
      <c r="AG72" s="334" t="n"/>
      <c r="AH72" s="334" t="n"/>
      <c r="AI72" s="334" t="n"/>
      <c r="AJ72" s="334" t="n"/>
      <c r="AK72" s="334" t="n"/>
      <c r="AL72" s="334" t="n"/>
      <c r="AM72" s="334" t="n"/>
      <c r="AN72" s="334" t="n"/>
      <c r="AO72" s="334" t="n"/>
      <c r="AP72" s="334" t="n"/>
      <c r="AQ72" s="334" t="n"/>
      <c r="AR72" s="334" t="n"/>
      <c r="AS72" s="334" t="n"/>
      <c r="AT72" s="335" t="n"/>
      <c r="AU72" s="289" t="inlineStr">
        <is>
          <t>Fire-resistant joint systems
CBC 1705A.17.2
Fire-resistant joint systems that are tested and listed</t>
        </is>
      </c>
      <c r="AV72" s="322" t="n"/>
      <c r="AW72" s="322" t="n"/>
      <c r="AX72" s="322" t="n"/>
      <c r="AY72" s="288" t="n"/>
      <c r="AZ72" s="4" t="n"/>
      <c r="BB72" s="128" t="n"/>
      <c r="BD72" s="5" t="n"/>
      <c r="BE72" s="385" t="n"/>
      <c r="BG72" s="387" t="n"/>
    </row>
    <row r="73" hidden="1" ht="37" customHeight="1" thickBot="1">
      <c r="D73" s="136" t="inlineStr">
        <is>
          <t>D-FP5</t>
        </is>
      </c>
      <c r="E73" s="333" t="n"/>
      <c r="F73" s="334" t="n"/>
      <c r="G73" s="334" t="n"/>
      <c r="H73" s="334" t="n"/>
      <c r="I73" s="334" t="n"/>
      <c r="J73" s="334" t="n"/>
      <c r="K73" s="334" t="n"/>
      <c r="L73" s="334" t="n"/>
      <c r="M73" s="334" t="n"/>
      <c r="N73" s="334" t="n"/>
      <c r="O73" s="334" t="n"/>
      <c r="P73" s="334" t="n"/>
      <c r="Q73" s="334" t="n"/>
      <c r="R73" s="334" t="n"/>
      <c r="S73" s="334" t="n"/>
      <c r="T73" s="334" t="n"/>
      <c r="U73" s="334" t="n"/>
      <c r="V73" s="334" t="n"/>
      <c r="W73" s="334" t="n"/>
      <c r="X73" s="334" t="n"/>
      <c r="Y73" s="334" t="n"/>
      <c r="Z73" s="334" t="n"/>
      <c r="AA73" s="334" t="n"/>
      <c r="AB73" s="334" t="n"/>
      <c r="AC73" s="334" t="n"/>
      <c r="AD73" s="334" t="n"/>
      <c r="AE73" s="334" t="n"/>
      <c r="AF73" s="334" t="n"/>
      <c r="AG73" s="334" t="n"/>
      <c r="AH73" s="334" t="n"/>
      <c r="AI73" s="334" t="n"/>
      <c r="AJ73" s="334" t="n"/>
      <c r="AK73" s="334" t="n"/>
      <c r="AL73" s="334" t="n"/>
      <c r="AM73" s="334" t="n"/>
      <c r="AN73" s="334" t="n"/>
      <c r="AO73" s="334" t="n"/>
      <c r="AP73" s="334" t="n"/>
      <c r="AQ73" s="334" t="n"/>
      <c r="AR73" s="334" t="n"/>
      <c r="AS73" s="334" t="n"/>
      <c r="AT73" s="335" t="n"/>
      <c r="AU73" s="289" t="inlineStr">
        <is>
          <t>Smoke control systems
CFC 909.18.8 &amp; CBC 170.17 &amp; 1705A.18
Ductwork and operation</t>
        </is>
      </c>
      <c r="AV73" s="322" t="n"/>
      <c r="AW73" s="322" t="n"/>
      <c r="AX73" s="322" t="n"/>
      <c r="AY73" s="288" t="n"/>
      <c r="AZ73" s="4" t="n"/>
      <c r="BB73" s="128" t="n"/>
      <c r="BD73" s="5" t="n"/>
      <c r="BE73" s="385" t="n"/>
      <c r="BG73" s="387" t="n"/>
    </row>
    <row r="74" hidden="1" ht="37" customHeight="1" thickBot="1">
      <c r="D74" s="136" t="inlineStr">
        <is>
          <t>D-FP6</t>
        </is>
      </c>
      <c r="E74" s="333" t="n"/>
      <c r="F74" s="334" t="n"/>
      <c r="G74" s="334" t="n"/>
      <c r="H74" s="334" t="n"/>
      <c r="I74" s="334" t="n"/>
      <c r="J74" s="334" t="n"/>
      <c r="K74" s="334" t="n"/>
      <c r="L74" s="334" t="n"/>
      <c r="M74" s="334" t="n"/>
      <c r="N74" s="334" t="n"/>
      <c r="O74" s="334" t="n"/>
      <c r="P74" s="334" t="n"/>
      <c r="Q74" s="334" t="n"/>
      <c r="R74" s="334" t="n"/>
      <c r="S74" s="334" t="n"/>
      <c r="T74" s="334" t="n"/>
      <c r="U74" s="334" t="n"/>
      <c r="V74" s="334" t="n"/>
      <c r="W74" s="334" t="n"/>
      <c r="X74" s="334" t="n"/>
      <c r="Y74" s="334" t="n"/>
      <c r="Z74" s="334" t="n"/>
      <c r="AA74" s="334" t="n"/>
      <c r="AB74" s="334" t="n"/>
      <c r="AC74" s="334" t="n"/>
      <c r="AD74" s="334" t="n"/>
      <c r="AE74" s="334" t="n"/>
      <c r="AF74" s="334" t="n"/>
      <c r="AG74" s="334" t="n"/>
      <c r="AH74" s="334" t="n"/>
      <c r="AI74" s="334" t="n"/>
      <c r="AJ74" s="334" t="n"/>
      <c r="AK74" s="334" t="n"/>
      <c r="AL74" s="334" t="n"/>
      <c r="AM74" s="334" t="n"/>
      <c r="AN74" s="334" t="n"/>
      <c r="AO74" s="334" t="n"/>
      <c r="AP74" s="334" t="n"/>
      <c r="AQ74" s="334" t="n"/>
      <c r="AR74" s="334" t="n"/>
      <c r="AS74" s="334" t="n"/>
      <c r="AT74" s="335" t="n"/>
      <c r="AU74" s="289" t="inlineStr">
        <is>
          <t>Sprinkler system piping
NFPA 13-2016 § 6.5.2
Welded pipe and fittings</t>
        </is>
      </c>
      <c r="AV74" s="322" t="n"/>
      <c r="AW74" s="322" t="n"/>
      <c r="AX74" s="322" t="n"/>
      <c r="AY74" s="288" t="n"/>
      <c r="AZ74" s="4" t="n"/>
      <c r="BB74" s="128" t="n"/>
      <c r="BD74" s="5" t="n"/>
      <c r="BE74" s="385" t="n"/>
      <c r="BG74" s="387" t="n"/>
    </row>
    <row r="75" hidden="1" ht="37" customHeight="1" thickBot="1">
      <c r="D75" s="136" t="inlineStr">
        <is>
          <t>D-FP7</t>
        </is>
      </c>
      <c r="E75" s="333" t="n"/>
      <c r="F75" s="334" t="n"/>
      <c r="G75" s="334" t="n"/>
      <c r="H75" s="334" t="n"/>
      <c r="I75" s="334" t="n"/>
      <c r="J75" s="334" t="n"/>
      <c r="K75" s="334" t="n"/>
      <c r="L75" s="334" t="n"/>
      <c r="M75" s="334" t="n"/>
      <c r="N75" s="334" t="n"/>
      <c r="O75" s="334" t="n"/>
      <c r="P75" s="334" t="n"/>
      <c r="Q75" s="334" t="n"/>
      <c r="R75" s="334" t="n"/>
      <c r="S75" s="334" t="n"/>
      <c r="T75" s="334" t="n"/>
      <c r="U75" s="334" t="n"/>
      <c r="V75" s="334" t="n"/>
      <c r="W75" s="334" t="n"/>
      <c r="X75" s="334" t="n"/>
      <c r="Y75" s="334" t="n"/>
      <c r="Z75" s="334" t="n"/>
      <c r="AA75" s="334" t="n"/>
      <c r="AB75" s="334" t="n"/>
      <c r="AC75" s="334" t="n"/>
      <c r="AD75" s="334" t="n"/>
      <c r="AE75" s="334" t="n"/>
      <c r="AF75" s="334" t="n"/>
      <c r="AG75" s="334" t="n"/>
      <c r="AH75" s="334" t="n"/>
      <c r="AI75" s="334" t="n"/>
      <c r="AJ75" s="334" t="n"/>
      <c r="AK75" s="334" t="n"/>
      <c r="AL75" s="334" t="n"/>
      <c r="AM75" s="334" t="n"/>
      <c r="AN75" s="334" t="n"/>
      <c r="AO75" s="334" t="n"/>
      <c r="AP75" s="334" t="n"/>
      <c r="AQ75" s="334" t="n"/>
      <c r="AR75" s="334" t="n"/>
      <c r="AS75" s="334" t="n"/>
      <c r="AT75" s="335" t="n"/>
      <c r="AU75" s="289" t="inlineStr">
        <is>
          <t>Standpipe system piping
NFPA 14-2016 § 4.4.2
Welded pipe and fittings</t>
        </is>
      </c>
      <c r="AV75" s="322" t="n"/>
      <c r="AW75" s="322" t="n"/>
      <c r="AX75" s="322" t="n"/>
      <c r="AY75" s="288" t="n"/>
      <c r="AZ75" s="4" t="n"/>
      <c r="BB75" s="128" t="n"/>
      <c r="BD75" s="5" t="n"/>
      <c r="BE75" s="385" t="n"/>
      <c r="BG75" s="387" t="n"/>
    </row>
    <row r="76" hidden="1" ht="29" customHeight="1" thickBot="1">
      <c r="D76" s="136" t="inlineStr">
        <is>
          <t>D-FP8</t>
        </is>
      </c>
      <c r="E76" s="333" t="n"/>
      <c r="F76" s="334" t="n"/>
      <c r="G76" s="334" t="n"/>
      <c r="H76" s="334" t="n"/>
      <c r="I76" s="334" t="n"/>
      <c r="J76" s="334" t="n"/>
      <c r="K76" s="334" t="n"/>
      <c r="L76" s="334" t="n"/>
      <c r="M76" s="334" t="n"/>
      <c r="N76" s="334" t="n"/>
      <c r="O76" s="334" t="n"/>
      <c r="P76" s="334" t="n"/>
      <c r="Q76" s="334" t="n"/>
      <c r="R76" s="334" t="n"/>
      <c r="S76" s="334" t="n"/>
      <c r="T76" s="334" t="n"/>
      <c r="U76" s="334" t="n"/>
      <c r="V76" s="334" t="n"/>
      <c r="W76" s="334" t="n"/>
      <c r="X76" s="334" t="n"/>
      <c r="Y76" s="334" t="n"/>
      <c r="Z76" s="334" t="n"/>
      <c r="AA76" s="334" t="n"/>
      <c r="AB76" s="334" t="n"/>
      <c r="AC76" s="334" t="n"/>
      <c r="AD76" s="334" t="n"/>
      <c r="AE76" s="334" t="n"/>
      <c r="AF76" s="334" t="n"/>
      <c r="AG76" s="334" t="n"/>
      <c r="AH76" s="334" t="n"/>
      <c r="AI76" s="334" t="n"/>
      <c r="AJ76" s="334" t="n"/>
      <c r="AK76" s="334" t="n"/>
      <c r="AL76" s="334" t="n"/>
      <c r="AM76" s="334" t="n"/>
      <c r="AN76" s="334" t="n"/>
      <c r="AO76" s="334" t="n"/>
      <c r="AP76" s="334" t="n"/>
      <c r="AQ76" s="334" t="n"/>
      <c r="AR76" s="334" t="n"/>
      <c r="AS76" s="334" t="n"/>
      <c r="AT76" s="335" t="n"/>
      <c r="AU76" s="289" t="n"/>
      <c r="AV76" s="322" t="n"/>
      <c r="AW76" s="322" t="n"/>
      <c r="AX76" s="322" t="n"/>
      <c r="AY76" s="288" t="n"/>
      <c r="AZ76" s="4" t="n"/>
      <c r="BB76" s="128" t="n"/>
      <c r="BD76" s="5" t="n"/>
      <c r="BE76" s="385" t="n"/>
      <c r="BG76" s="387" t="n"/>
    </row>
    <row r="77" hidden="1" ht="29" customHeight="1" thickBot="1">
      <c r="D77" s="136" t="inlineStr">
        <is>
          <t>D-FP9</t>
        </is>
      </c>
      <c r="E77" s="336" t="n"/>
      <c r="F77" s="337" t="n"/>
      <c r="G77" s="337" t="n"/>
      <c r="H77" s="337" t="n"/>
      <c r="I77" s="337" t="n"/>
      <c r="J77" s="337" t="n"/>
      <c r="K77" s="337" t="n"/>
      <c r="L77" s="337" t="n"/>
      <c r="M77" s="337" t="n"/>
      <c r="N77" s="337" t="n"/>
      <c r="O77" s="337" t="n"/>
      <c r="P77" s="337" t="n"/>
      <c r="Q77" s="337" t="n"/>
      <c r="R77" s="337" t="n"/>
      <c r="S77" s="337" t="n"/>
      <c r="T77" s="337" t="n"/>
      <c r="U77" s="337" t="n"/>
      <c r="V77" s="337" t="n"/>
      <c r="W77" s="337" t="n"/>
      <c r="X77" s="337" t="n"/>
      <c r="Y77" s="337" t="n"/>
      <c r="Z77" s="337" t="n"/>
      <c r="AA77" s="337" t="n"/>
      <c r="AB77" s="337" t="n"/>
      <c r="AC77" s="337" t="n"/>
      <c r="AD77" s="337" t="n"/>
      <c r="AE77" s="337" t="n"/>
      <c r="AF77" s="337" t="n"/>
      <c r="AG77" s="337" t="n"/>
      <c r="AH77" s="337" t="n"/>
      <c r="AI77" s="337" t="n"/>
      <c r="AJ77" s="337" t="n"/>
      <c r="AK77" s="337" t="n"/>
      <c r="AL77" s="337" t="n"/>
      <c r="AM77" s="337" t="n"/>
      <c r="AN77" s="337" t="n"/>
      <c r="AO77" s="337" t="n"/>
      <c r="AP77" s="337" t="n"/>
      <c r="AQ77" s="337" t="n"/>
      <c r="AR77" s="337" t="n"/>
      <c r="AS77" s="337" t="n"/>
      <c r="AT77" s="338" t="n"/>
      <c r="AU77" s="323" t="n"/>
      <c r="AV77" s="340" t="n"/>
      <c r="AW77" s="340" t="n"/>
      <c r="AX77" s="340" t="n"/>
      <c r="AY77" s="294" t="n"/>
      <c r="AZ77" s="4" t="n"/>
      <c r="BB77" s="128" t="n"/>
      <c r="BD77" s="5" t="n"/>
      <c r="BE77" s="385" t="n"/>
      <c r="BG77" s="387" t="n"/>
    </row>
    <row r="78" hidden="1" ht="18" customHeight="1" thickBot="1">
      <c r="A78" s="3" t="inlineStr">
        <is>
          <t>x5</t>
        </is>
      </c>
      <c r="B78" s="100" t="inlineStr">
        <is>
          <t>OTHER SPECIAL INSPECTIONS</t>
        </is>
      </c>
      <c r="C78" s="103" t="n"/>
      <c r="D78" s="27" t="n"/>
      <c r="E78" s="163" t="n"/>
      <c r="F78" s="163" t="n"/>
      <c r="G78" s="163" t="n"/>
      <c r="H78" s="163" t="n"/>
      <c r="I78" s="163" t="n"/>
      <c r="J78" s="163" t="n"/>
      <c r="K78" s="163" t="n"/>
      <c r="L78" s="163" t="n"/>
      <c r="M78" s="163" t="n"/>
      <c r="N78" s="163" t="n"/>
      <c r="O78" s="163" t="n"/>
      <c r="P78" s="163" t="n"/>
      <c r="Q78" s="163" t="n"/>
      <c r="R78" s="163" t="n"/>
      <c r="S78" s="163" t="n"/>
      <c r="T78" s="163" t="n"/>
      <c r="U78" s="163" t="n"/>
      <c r="V78" s="163" t="n"/>
      <c r="W78" s="163" t="n"/>
      <c r="X78" s="163" t="n"/>
      <c r="Y78" s="163" t="n"/>
      <c r="Z78" s="163" t="n"/>
      <c r="AA78" s="163" t="n"/>
      <c r="AB78" s="163" t="n"/>
      <c r="AC78" s="163" t="n"/>
      <c r="AD78" s="163" t="n"/>
      <c r="AE78" s="163" t="n"/>
      <c r="AF78" s="163" t="n"/>
      <c r="AG78" s="163" t="n"/>
      <c r="AH78" s="163" t="n"/>
      <c r="AI78" s="163" t="n"/>
      <c r="AJ78" s="163" t="n"/>
      <c r="AK78" s="163" t="n"/>
      <c r="AL78" s="163" t="n"/>
      <c r="AM78" s="163" t="n"/>
      <c r="AN78" s="163" t="n"/>
      <c r="AO78" s="163" t="n"/>
      <c r="AP78" s="163" t="n"/>
      <c r="AQ78" s="163" t="n"/>
      <c r="AR78" s="163" t="n"/>
      <c r="AS78" s="163" t="n"/>
      <c r="AT78" s="163" t="n"/>
      <c r="AU78" s="27" t="n"/>
      <c r="AV78" s="51" t="n"/>
      <c r="AW78" s="51" t="n"/>
      <c r="AX78" s="27" t="n"/>
      <c r="AY78" s="51" t="n"/>
      <c r="AZ78" s="28" t="n"/>
      <c r="BB78" s="128" t="n"/>
      <c r="BD78" s="5" t="n"/>
      <c r="BE78" s="385" t="n"/>
      <c r="BG78" s="387" t="n"/>
    </row>
    <row r="79" hidden="1" ht="37" customHeight="1" thickBot="1">
      <c r="D79" s="136" t="inlineStr">
        <is>
          <t>D-OT1</t>
        </is>
      </c>
      <c r="E79" s="330" t="n"/>
      <c r="F79" s="331" t="n"/>
      <c r="G79" s="331" t="n"/>
      <c r="H79" s="331" t="n"/>
      <c r="I79" s="331" t="n"/>
      <c r="J79" s="331" t="n"/>
      <c r="K79" s="331" t="n"/>
      <c r="L79" s="331" t="n"/>
      <c r="M79" s="331" t="n"/>
      <c r="N79" s="331" t="n"/>
      <c r="O79" s="331" t="n"/>
      <c r="P79" s="331" t="n"/>
      <c r="Q79" s="331" t="n"/>
      <c r="R79" s="331" t="n"/>
      <c r="S79" s="331" t="n"/>
      <c r="T79" s="331" t="n"/>
      <c r="U79" s="331" t="n"/>
      <c r="V79" s="331" t="n"/>
      <c r="W79" s="331" t="n"/>
      <c r="X79" s="331" t="n"/>
      <c r="Y79" s="331" t="n"/>
      <c r="Z79" s="331" t="n"/>
      <c r="AA79" s="331" t="n"/>
      <c r="AB79" s="331" t="n"/>
      <c r="AC79" s="331" t="n"/>
      <c r="AD79" s="331" t="n"/>
      <c r="AE79" s="331" t="n"/>
      <c r="AF79" s="331" t="n"/>
      <c r="AG79" s="331" t="n"/>
      <c r="AH79" s="331" t="n"/>
      <c r="AI79" s="331" t="n"/>
      <c r="AJ79" s="331" t="n"/>
      <c r="AK79" s="331" t="n"/>
      <c r="AL79" s="331" t="n"/>
      <c r="AM79" s="331" t="n"/>
      <c r="AN79" s="331" t="n"/>
      <c r="AO79" s="331" t="n"/>
      <c r="AP79" s="331" t="n"/>
      <c r="AQ79" s="331" t="n"/>
      <c r="AR79" s="331" t="n"/>
      <c r="AS79" s="331" t="n"/>
      <c r="AT79" s="332" t="n"/>
      <c r="AU79" s="311" t="inlineStr">
        <is>
          <t>Exterior insulation and finish systems (EIFS).
CBC 1705A.16
EIFS applications</t>
        </is>
      </c>
      <c r="AV79" s="339" t="n"/>
      <c r="AW79" s="339" t="n"/>
      <c r="AX79" s="339" t="n"/>
      <c r="AY79" s="286" t="n"/>
      <c r="AZ79" s="4" t="n"/>
      <c r="BB79" s="128" t="n"/>
      <c r="BD79" s="5" t="n"/>
      <c r="BE79" s="385" t="n"/>
      <c r="BG79" s="387" t="n"/>
    </row>
    <row r="80" hidden="1" ht="49" customHeight="1" thickBot="1">
      <c r="D80" s="136" t="inlineStr">
        <is>
          <t>D-OT2</t>
        </is>
      </c>
      <c r="E80" s="333" t="n"/>
      <c r="F80" s="334" t="n"/>
      <c r="G80" s="334" t="n"/>
      <c r="H80" s="334" t="n"/>
      <c r="I80" s="334" t="n"/>
      <c r="J80" s="334" t="n"/>
      <c r="K80" s="334" t="n"/>
      <c r="L80" s="334" t="n"/>
      <c r="M80" s="334" t="n"/>
      <c r="N80" s="334" t="n"/>
      <c r="O80" s="334" t="n"/>
      <c r="P80" s="334" t="n"/>
      <c r="Q80" s="334" t="n"/>
      <c r="R80" s="334" t="n"/>
      <c r="S80" s="334" t="n"/>
      <c r="T80" s="334" t="n"/>
      <c r="U80" s="334" t="n"/>
      <c r="V80" s="334" t="n"/>
      <c r="W80" s="334" t="n"/>
      <c r="X80" s="334" t="n"/>
      <c r="Y80" s="334" t="n"/>
      <c r="Z80" s="334" t="n"/>
      <c r="AA80" s="334" t="n"/>
      <c r="AB80" s="334" t="n"/>
      <c r="AC80" s="334" t="n"/>
      <c r="AD80" s="334" t="n"/>
      <c r="AE80" s="334" t="n"/>
      <c r="AF80" s="334" t="n"/>
      <c r="AG80" s="334" t="n"/>
      <c r="AH80" s="334" t="n"/>
      <c r="AI80" s="334" t="n"/>
      <c r="AJ80" s="334" t="n"/>
      <c r="AK80" s="334" t="n"/>
      <c r="AL80" s="334" t="n"/>
      <c r="AM80" s="334" t="n"/>
      <c r="AN80" s="334" t="n"/>
      <c r="AO80" s="334" t="n"/>
      <c r="AP80" s="334" t="n"/>
      <c r="AQ80" s="334" t="n"/>
      <c r="AR80" s="334" t="n"/>
      <c r="AS80" s="334" t="n"/>
      <c r="AT80" s="335" t="n"/>
      <c r="AU80" s="289" t="inlineStr">
        <is>
          <t>Water-resistive barrier coating
CBC 1705A.16.1
ASTM E2570 Barrier coating when installed over a sheathing substrate.</t>
        </is>
      </c>
      <c r="AV80" s="322" t="n"/>
      <c r="AW80" s="322" t="n"/>
      <c r="AX80" s="322" t="n"/>
      <c r="AY80" s="288" t="n"/>
      <c r="AZ80" s="4" t="n"/>
      <c r="BB80" s="128" t="n"/>
      <c r="BD80" s="5" t="n"/>
      <c r="BE80" s="385" t="n"/>
      <c r="BG80" s="387" t="n"/>
    </row>
    <row r="81" hidden="1" ht="30" customHeight="1" thickBot="1">
      <c r="D81" s="136" t="inlineStr">
        <is>
          <t>D-OT3</t>
        </is>
      </c>
      <c r="E81" s="333" t="n"/>
      <c r="F81" s="334" t="n"/>
      <c r="G81" s="334" t="n"/>
      <c r="H81" s="334" t="n"/>
      <c r="I81" s="334" t="n"/>
      <c r="J81" s="334" t="n"/>
      <c r="K81" s="334" t="n"/>
      <c r="L81" s="334" t="n"/>
      <c r="M81" s="334" t="n"/>
      <c r="N81" s="334" t="n"/>
      <c r="O81" s="334" t="n"/>
      <c r="P81" s="334" t="n"/>
      <c r="Q81" s="334" t="n"/>
      <c r="R81" s="334" t="n"/>
      <c r="S81" s="334" t="n"/>
      <c r="T81" s="334" t="n"/>
      <c r="U81" s="334" t="n"/>
      <c r="V81" s="334" t="n"/>
      <c r="W81" s="334" t="n"/>
      <c r="X81" s="334" t="n"/>
      <c r="Y81" s="334" t="n"/>
      <c r="Z81" s="334" t="n"/>
      <c r="AA81" s="334" t="n"/>
      <c r="AB81" s="334" t="n"/>
      <c r="AC81" s="334" t="n"/>
      <c r="AD81" s="334" t="n"/>
      <c r="AE81" s="334" t="n"/>
      <c r="AF81" s="334" t="n"/>
      <c r="AG81" s="334" t="n"/>
      <c r="AH81" s="334" t="n"/>
      <c r="AI81" s="334" t="n"/>
      <c r="AJ81" s="334" t="n"/>
      <c r="AK81" s="334" t="n"/>
      <c r="AL81" s="334" t="n"/>
      <c r="AM81" s="334" t="n"/>
      <c r="AN81" s="334" t="n"/>
      <c r="AO81" s="334" t="n"/>
      <c r="AP81" s="334" t="n"/>
      <c r="AQ81" s="334" t="n"/>
      <c r="AR81" s="334" t="n"/>
      <c r="AS81" s="334" t="n"/>
      <c r="AT81" s="335" t="n"/>
      <c r="AU81" s="289" t="n"/>
      <c r="AV81" s="322" t="n"/>
      <c r="AW81" s="322" t="n"/>
      <c r="AX81" s="322" t="n"/>
      <c r="AY81" s="288" t="n"/>
      <c r="AZ81" s="4" t="n"/>
      <c r="BB81" s="128" t="n"/>
      <c r="BD81" s="5" t="n"/>
      <c r="BE81" s="385" t="n"/>
      <c r="BG81" s="387" t="n"/>
    </row>
    <row r="82" hidden="1" ht="30" customHeight="1" thickBot="1">
      <c r="D82" s="136" t="inlineStr">
        <is>
          <t>D-OT4</t>
        </is>
      </c>
      <c r="E82" s="351" t="n"/>
      <c r="F82" s="352" t="n"/>
      <c r="G82" s="352" t="n"/>
      <c r="H82" s="352" t="n"/>
      <c r="I82" s="352" t="n"/>
      <c r="J82" s="352" t="n"/>
      <c r="K82" s="352" t="n"/>
      <c r="L82" s="352" t="n"/>
      <c r="M82" s="352" t="n"/>
      <c r="N82" s="352" t="n"/>
      <c r="O82" s="352" t="n"/>
      <c r="P82" s="352" t="n"/>
      <c r="Q82" s="352" t="n"/>
      <c r="R82" s="352" t="n"/>
      <c r="S82" s="352" t="n"/>
      <c r="T82" s="352" t="n"/>
      <c r="U82" s="352" t="n"/>
      <c r="V82" s="352" t="n"/>
      <c r="W82" s="352" t="n"/>
      <c r="X82" s="352" t="n"/>
      <c r="Y82" s="352" t="n"/>
      <c r="Z82" s="352" t="n"/>
      <c r="AA82" s="352" t="n"/>
      <c r="AB82" s="352" t="n"/>
      <c r="AC82" s="352" t="n"/>
      <c r="AD82" s="352" t="n"/>
      <c r="AE82" s="352" t="n"/>
      <c r="AF82" s="352" t="n"/>
      <c r="AG82" s="352" t="n"/>
      <c r="AH82" s="352" t="n"/>
      <c r="AI82" s="352" t="n"/>
      <c r="AJ82" s="352" t="n"/>
      <c r="AK82" s="352" t="n"/>
      <c r="AL82" s="352" t="n"/>
      <c r="AM82" s="352" t="n"/>
      <c r="AN82" s="352" t="n"/>
      <c r="AO82" s="352" t="n"/>
      <c r="AP82" s="352" t="n"/>
      <c r="AQ82" s="352" t="n"/>
      <c r="AR82" s="352" t="n"/>
      <c r="AS82" s="352" t="n"/>
      <c r="AT82" s="353" t="n"/>
      <c r="AU82" s="289" t="n"/>
      <c r="AV82" s="322" t="n"/>
      <c r="AW82" s="322" t="n"/>
      <c r="AX82" s="322" t="n"/>
      <c r="AY82" s="288" t="n"/>
      <c r="AZ82" s="4" t="n"/>
      <c r="BB82" s="128" t="n"/>
      <c r="BD82" s="5" t="n"/>
      <c r="BE82" s="385" t="n"/>
      <c r="BG82" s="387" t="n"/>
    </row>
    <row r="83">
      <c r="AY83" s="2" t="n"/>
      <c r="BB83" s="128" t="n"/>
      <c r="BE83" s="385" t="n"/>
      <c r="BG83" s="387" t="n"/>
    </row>
    <row r="84">
      <c r="E84" s="2">
        <f>SUM(E7:E83)</f>
        <v/>
      </c>
      <c r="F84" s="2">
        <f>SUM(F7:F83)</f>
        <v/>
      </c>
      <c r="G84" s="2">
        <f>SUM(G7:G83)</f>
        <v/>
      </c>
      <c r="H84" s="2">
        <f>SUM(H7:H83)</f>
        <v/>
      </c>
      <c r="I84" s="2">
        <f>SUM(I7:I83)</f>
        <v/>
      </c>
      <c r="J84" s="2">
        <f>SUM(J7:J83)</f>
        <v/>
      </c>
      <c r="K84" s="2">
        <f>SUM(K7:K83)</f>
        <v/>
      </c>
      <c r="L84" s="2">
        <f>SUM(L7:L83)</f>
        <v/>
      </c>
      <c r="M84" s="2">
        <f>SUM(M7:M83)</f>
        <v/>
      </c>
      <c r="N84" s="2">
        <f>SUM(N7:N83)</f>
        <v/>
      </c>
      <c r="O84" s="2">
        <f>SUM(O7:O83)</f>
        <v/>
      </c>
      <c r="P84" s="2">
        <f>SUM(P7:P83)</f>
        <v/>
      </c>
      <c r="Q84" s="2">
        <f>SUM(Q7:Q83)</f>
        <v/>
      </c>
      <c r="R84" s="2">
        <f>SUM(R7:R83)</f>
        <v/>
      </c>
      <c r="S84" s="2">
        <f>SUM(S7:S83)</f>
        <v/>
      </c>
      <c r="T84" s="2">
        <f>SUM(T7:T83)</f>
        <v/>
      </c>
      <c r="U84" s="2">
        <f>SUM(U7:U83)</f>
        <v/>
      </c>
      <c r="V84" s="2">
        <f>SUM(V7:V83)</f>
        <v/>
      </c>
      <c r="W84" s="2">
        <f>SUM(W7:W83)</f>
        <v/>
      </c>
      <c r="X84" s="2">
        <f>SUM(X7:X83)</f>
        <v/>
      </c>
      <c r="Y84" s="2">
        <f>SUM(Y7:Y83)</f>
        <v/>
      </c>
      <c r="Z84" s="2">
        <f>SUM(Z7:Z83)</f>
        <v/>
      </c>
      <c r="AA84" s="2">
        <f>SUM(AA7:AA83)</f>
        <v/>
      </c>
      <c r="AB84" s="2">
        <f>SUM(AB7:AB83)</f>
        <v/>
      </c>
      <c r="AC84" s="2">
        <f>SUM(AC7:AC83)</f>
        <v/>
      </c>
      <c r="AD84" s="2">
        <f>SUM(AD7:AD83)</f>
        <v/>
      </c>
      <c r="AE84" s="2">
        <f>SUM(AE7:AE83)</f>
        <v/>
      </c>
      <c r="AF84" s="2">
        <f>SUM(AF7:AF83)</f>
        <v/>
      </c>
      <c r="AG84" s="2">
        <f>SUM(AG7:AG83)</f>
        <v/>
      </c>
      <c r="AH84" s="2">
        <f>SUM(AH7:AH83)</f>
        <v/>
      </c>
      <c r="AI84" s="2">
        <f>SUM(AI7:AI83)</f>
        <v/>
      </c>
      <c r="AJ84" s="2">
        <f>SUM(AJ7:AJ83)</f>
        <v/>
      </c>
      <c r="AK84" s="2">
        <f>SUM(AK7:AK83)</f>
        <v/>
      </c>
      <c r="AL84" s="2">
        <f>SUM(AL7:AL83)</f>
        <v/>
      </c>
      <c r="AM84" s="2">
        <f>SUM(AM7:AM83)</f>
        <v/>
      </c>
      <c r="AN84" s="2">
        <f>SUM(AN7:AN83)</f>
        <v/>
      </c>
      <c r="AO84" s="2">
        <f>SUM(AO7:AO83)</f>
        <v/>
      </c>
      <c r="AP84" s="2">
        <f>SUM(AP7:AP83)</f>
        <v/>
      </c>
      <c r="AQ84" s="2">
        <f>SUM(AQ7:AQ83)</f>
        <v/>
      </c>
      <c r="AR84" s="2">
        <f>SUM(AR7:AR83)</f>
        <v/>
      </c>
      <c r="AS84" s="2">
        <f>SUM(AS7:AS83)</f>
        <v/>
      </c>
      <c r="AT84" s="2">
        <f>SUM(AT7:AT83)</f>
        <v/>
      </c>
      <c r="AU84" s="2">
        <f>SUM(E84:AT84)</f>
        <v/>
      </c>
      <c r="AY84" s="2" t="n"/>
      <c r="BB84" s="128" t="n"/>
    </row>
    <row r="85">
      <c r="AY85" s="2" t="n"/>
      <c r="BB85" s="128" t="n"/>
    </row>
    <row r="86">
      <c r="AY86" s="2" t="n"/>
      <c r="BB86" s="128" t="n"/>
    </row>
    <row r="87">
      <c r="AY87" s="2" t="n"/>
      <c r="BB87" s="128" t="n"/>
    </row>
    <row r="88">
      <c r="AY88" s="2" t="n"/>
      <c r="BB88" s="128" t="n"/>
    </row>
    <row r="89">
      <c r="AY89" s="2" t="n"/>
      <c r="BB89" s="128" t="n"/>
    </row>
    <row r="90">
      <c r="AY90" s="2" t="n"/>
      <c r="BB90" s="128" t="n"/>
    </row>
    <row r="91">
      <c r="AY91" s="2" t="n"/>
      <c r="BB91" s="128" t="n"/>
    </row>
    <row r="92">
      <c r="AY92" s="2" t="n"/>
      <c r="BB92" s="128" t="n"/>
    </row>
    <row r="93">
      <c r="AY93" s="2" t="n"/>
      <c r="BB93" s="128" t="n"/>
    </row>
    <row r="94">
      <c r="AY94" s="2" t="n"/>
      <c r="BB94" s="128" t="n"/>
    </row>
    <row r="95">
      <c r="AY95" s="2" t="n"/>
      <c r="BB95" s="128" t="n"/>
    </row>
    <row r="96">
      <c r="AY96" s="2" t="n"/>
      <c r="BB96" s="128" t="n"/>
    </row>
    <row r="97">
      <c r="AY97" s="2" t="n"/>
      <c r="BB97" s="128" t="n"/>
    </row>
    <row r="98">
      <c r="AY98" s="2" t="n"/>
      <c r="BB98" s="128" t="n"/>
    </row>
    <row r="99">
      <c r="AY99" s="2" t="n"/>
      <c r="BB99" s="128" t="n"/>
    </row>
    <row r="100">
      <c r="AY100" s="2" t="n"/>
      <c r="BB100" s="128" t="n"/>
    </row>
    <row r="101">
      <c r="AY101" s="2" t="n"/>
      <c r="BB101" s="128" t="n"/>
    </row>
    <row r="102">
      <c r="AY102" s="2" t="n"/>
      <c r="BB102" s="128" t="n"/>
    </row>
    <row r="103">
      <c r="AY103" s="2" t="n"/>
      <c r="BB103" s="128" t="n"/>
    </row>
    <row r="104">
      <c r="AY104" s="2" t="n"/>
      <c r="BB104" s="128" t="n"/>
    </row>
    <row r="105">
      <c r="AY105" s="2" t="n"/>
      <c r="BB105" s="128" t="n"/>
    </row>
    <row r="106">
      <c r="AY106" s="2" t="n"/>
      <c r="BB106" s="128" t="n"/>
    </row>
    <row r="107">
      <c r="AY107" s="2" t="n"/>
      <c r="BB107" s="128" t="n"/>
    </row>
    <row r="108">
      <c r="AY108" s="2" t="n"/>
      <c r="BB108" s="128" t="n"/>
    </row>
    <row r="109">
      <c r="AY109" s="2" t="n"/>
      <c r="BB109" s="128" t="n"/>
    </row>
    <row r="110">
      <c r="AY110" s="2" t="n"/>
      <c r="BB110" s="128" t="n"/>
    </row>
    <row r="111">
      <c r="AY111" s="2" t="n"/>
      <c r="BB111" s="128" t="n"/>
    </row>
    <row r="112">
      <c r="AY112" s="2" t="n"/>
      <c r="BB112" s="128" t="n"/>
    </row>
    <row r="113">
      <c r="AY113" s="2" t="n"/>
      <c r="BB113" s="128" t="n"/>
    </row>
    <row r="114">
      <c r="AY114" s="2" t="n"/>
      <c r="BB114" s="128" t="n"/>
    </row>
    <row r="115">
      <c r="AY115" s="2" t="n"/>
      <c r="BB115" s="128" t="n"/>
    </row>
    <row r="116">
      <c r="AY116" s="2" t="n"/>
      <c r="BB116" s="128" t="n"/>
    </row>
    <row r="117">
      <c r="AY117" s="2" t="n"/>
      <c r="BB117" s="128" t="n"/>
    </row>
    <row r="118">
      <c r="AY118" s="2" t="n"/>
      <c r="BB118" s="128" t="n"/>
    </row>
    <row r="119">
      <c r="AY119" s="2" t="n"/>
      <c r="BB119" s="128" t="n"/>
    </row>
    <row r="120">
      <c r="AY120" s="2" t="n"/>
      <c r="BB120" s="128" t="n"/>
    </row>
    <row r="121">
      <c r="AY121" s="2" t="n"/>
      <c r="BB121" s="128" t="n"/>
    </row>
    <row r="122">
      <c r="AY122" s="2" t="n"/>
      <c r="BB122" s="128" t="n"/>
    </row>
    <row r="123">
      <c r="AY123" s="2" t="n"/>
    </row>
    <row r="124">
      <c r="AY124" s="2" t="n"/>
    </row>
    <row r="125">
      <c r="AY125" s="2" t="n"/>
    </row>
    <row r="126">
      <c r="AY126" s="2" t="n"/>
    </row>
    <row r="127">
      <c r="AY127" s="2" t="n"/>
    </row>
    <row r="128">
      <c r="AY128" s="2" t="n"/>
    </row>
    <row r="129">
      <c r="AY129" s="2" t="n"/>
    </row>
    <row r="130">
      <c r="AY130" s="2" t="n"/>
    </row>
    <row r="131">
      <c r="AY131" s="2" t="n"/>
    </row>
    <row r="132">
      <c r="AY132" s="2" t="n"/>
    </row>
    <row r="133">
      <c r="AY133" s="2" t="n"/>
    </row>
    <row r="134">
      <c r="AY134" s="2" t="n"/>
    </row>
    <row r="135">
      <c r="AY135" s="2" t="n"/>
    </row>
    <row r="136">
      <c r="AY136" s="2" t="n"/>
    </row>
    <row r="137">
      <c r="AY137" s="2" t="n"/>
    </row>
    <row r="138">
      <c r="AY138" s="2" t="n"/>
    </row>
    <row r="139">
      <c r="AY139" s="2" t="n"/>
    </row>
    <row r="140">
      <c r="AY140" s="2" t="n"/>
    </row>
    <row r="141">
      <c r="AY141" s="2" t="n"/>
    </row>
    <row r="142">
      <c r="AY142" s="2" t="n"/>
    </row>
    <row r="143">
      <c r="AY143" s="2" t="n"/>
    </row>
    <row r="144">
      <c r="AY144" s="2" t="n"/>
    </row>
    <row r="145">
      <c r="AY145" s="2" t="n"/>
    </row>
    <row r="146">
      <c r="AY146" s="2" t="n"/>
    </row>
    <row r="147">
      <c r="AY147" s="2" t="n"/>
    </row>
    <row r="148">
      <c r="AY148" s="2" t="n"/>
    </row>
    <row r="149">
      <c r="AY149" s="2" t="n"/>
    </row>
  </sheetData>
  <sheetProtection selectLockedCells="0" selectUnlockedCells="0" algorithmName="SHA-512" sheet="1" objects="1" insertRows="0" insertHyperlinks="1" autoFilter="1" scenarios="0" formatColumns="0" deleteColumns="1" insertColumns="1" pivotTables="1" deleteRows="0" formatCells="0" saltValue="ewz7neUUaUSsGH/tlDibEg==" formatRows="0" sort="1" spinCount="100000" hashValue="HMHqMaoO6+8GuPj/N3MbJ8ZoFvC048WjPEdCi4+fIxPlcowuJgRHR48LBu0cNnxYvgk1TFEJeTBaUGsuyix9Lg=="/>
  <mergeCells count="9">
    <mergeCell ref="AV3:AZ3"/>
    <mergeCell ref="D3:AT3"/>
    <mergeCell ref="D1:AU1"/>
    <mergeCell ref="AV1:AZ1"/>
    <mergeCell ref="D4:AU4"/>
    <mergeCell ref="AV2:AZ2"/>
    <mergeCell ref="D2:AT2"/>
    <mergeCell ref="AX4:AZ4"/>
    <mergeCell ref="AV4:AW4"/>
  </mergeCells>
  <conditionalFormatting sqref="E9:AT32">
    <cfRule type="containsText" priority="3" operator="containsText" dxfId="1" text="0">
      <formula>NOT(ISERROR(SEARCH("0",E9)))</formula>
    </cfRule>
    <cfRule type="containsText" priority="4" operator="containsText" dxfId="3" text="x">
      <formula>NOT(ISERROR(SEARCH("x",E9)))</formula>
    </cfRule>
    <cfRule type="containsText" priority="5" operator="containsText" dxfId="0" text="1">
      <formula>NOT(ISERROR(SEARCH("1",E9)))</formula>
    </cfRule>
  </conditionalFormatting>
  <conditionalFormatting sqref="E84:AT84">
    <cfRule type="cellIs" priority="1" operator="equal" dxfId="1">
      <formula>0</formula>
    </cfRule>
    <cfRule type="cellIs" priority="2" operator="greaterThan" dxfId="0">
      <formula>0</formula>
    </cfRule>
  </conditionalFormatting>
  <printOptions horizontalCentered="1"/>
  <pageMargins left="0.3" right="0.3" top="1.7" bottom="0.5" header="0" footer="0"/>
  <pageSetup orientation="portrait" scale="84" fitToHeight="0" useFirstPageNumber="1"/>
  <headerFooter>
    <oddHeader>&amp;C&amp;"-,Regular"&amp;15 &amp;G_x000a_Testing, Inspection, and Observation Program_x000a_2019 California Building Standards Code - OSHPD 1</oddHeader>
    <oddFooter>&amp;CSTATE OF CALIFORNIA - HEALTH AND HUMAN SERVICES AGENCY&amp;RS-D&amp;P&amp;LOSH-FD-303A (R04.26)</oddFooter>
    <evenHeader/>
    <evenFooter/>
    <firstHeader/>
    <firstFooter/>
  </headerFooter>
  <legacyDrawing xmlns:r="http://schemas.openxmlformats.org/officeDocument/2006/relationships" r:id="anysvml"/>
</worksheet>
</file>

<file path=xl/worksheets/sheet7.xml><?xml version="1.0" encoding="utf-8"?>
<worksheet xmlns="http://schemas.openxmlformats.org/spreadsheetml/2006/main">
  <sheetPr codeName="Sheet6">
    <tabColor theme="4" tint="-0.249977111117893"/>
    <outlinePr summaryBelow="1" summaryRight="1"/>
    <pageSetUpPr/>
  </sheetPr>
  <dimension ref="B1:X94"/>
  <sheetViews>
    <sheetView view="pageBreakPreview" zoomScale="115" zoomScaleNormal="100" zoomScaleSheetLayoutView="115" workbookViewId="0">
      <pane ySplit="6" topLeftCell="A100" activePane="bottomLeft" state="frozen"/>
      <selection activeCell="G54" sqref="G54:L54"/>
      <selection pane="bottomLeft" activeCell="A10" sqref="A10"/>
    </sheetView>
  </sheetViews>
  <sheetFormatPr baseColWidth="10" defaultColWidth="9" defaultRowHeight="15"/>
  <cols>
    <col width="3.6640625" customWidth="1" style="2" min="1" max="1"/>
    <col width="3.33203125" customWidth="1" style="2" min="2" max="2"/>
    <col width="1.33203125" customWidth="1" style="2" min="3" max="3"/>
    <col width="14" customWidth="1" style="2" min="4" max="4"/>
    <col hidden="1" width="2.6640625" customWidth="1" style="2" min="5" max="5"/>
    <col width="29" customWidth="1" style="2" min="6" max="6"/>
    <col width="5.33203125" customWidth="1" style="2" min="7" max="15"/>
    <col width="6.83203125" customWidth="1" style="2" min="16" max="16"/>
    <col width="9.33203125" customWidth="1" style="385" min="17" max="17"/>
    <col width="9" customWidth="1" style="2" min="18" max="21"/>
    <col width="9" customWidth="1" style="385" min="22" max="22"/>
    <col width="17.33203125" customWidth="1" style="2" min="23" max="23"/>
    <col width="9" customWidth="1" style="2" min="24" max="16384"/>
  </cols>
  <sheetData>
    <row r="1" ht="24.75" customHeight="1" thickBot="1">
      <c r="D1" s="800" t="inlineStr">
        <is>
          <t>SECTION F</t>
        </is>
      </c>
      <c r="E1" s="776" t="n"/>
      <c r="F1" s="801" t="n"/>
      <c r="G1" s="802" t="inlineStr">
        <is>
          <t>CONSTRUCTION VERIFICATION</t>
        </is>
      </c>
      <c r="H1" s="776" t="n"/>
      <c r="I1" s="776" t="n"/>
      <c r="J1" s="776" t="n"/>
      <c r="K1" s="776" t="n"/>
      <c r="L1" s="776" t="n"/>
      <c r="M1" s="776" t="n"/>
      <c r="N1" s="776" t="n"/>
      <c r="O1" s="776" t="n"/>
      <c r="P1" s="776" t="n"/>
      <c r="Q1" s="778" t="n"/>
      <c r="V1" s="392" t="n"/>
    </row>
    <row r="2" ht="11.25" customHeight="1">
      <c r="D2" s="35" t="inlineStr">
        <is>
          <t>Facility #:</t>
        </is>
      </c>
      <c r="E2" s="695" t="inlineStr">
        <is>
          <t>Facility Name:</t>
        </is>
      </c>
      <c r="F2" s="757" t="n"/>
      <c r="G2" s="757" t="n"/>
      <c r="H2" s="757" t="n"/>
      <c r="I2" s="757" t="n"/>
      <c r="J2" s="757" t="n"/>
      <c r="K2" s="757" t="n"/>
      <c r="L2" s="758" t="n"/>
      <c r="M2" s="56" t="inlineStr">
        <is>
          <t>Project #:</t>
        </is>
      </c>
      <c r="N2" s="757" t="n"/>
      <c r="O2" s="757" t="n"/>
      <c r="P2" s="757" t="n"/>
      <c r="Q2" s="760" t="n"/>
      <c r="V2" s="392" t="n"/>
    </row>
    <row r="3" ht="25.25" customHeight="1" thickBot="1">
      <c r="D3" s="36">
        <f>IF('A-Project Info'!D12="","",'A-Project Info'!D12)</f>
        <v/>
      </c>
      <c r="E3" s="696">
        <f>IF('A-Project Info'!F12="","",'A-Project Info'!F12)</f>
        <v/>
      </c>
      <c r="F3" s="770" t="n"/>
      <c r="G3" s="770" t="n"/>
      <c r="H3" s="770" t="n"/>
      <c r="I3" s="770" t="n"/>
      <c r="J3" s="770" t="n"/>
      <c r="K3" s="770" t="n"/>
      <c r="L3" s="771" t="n"/>
      <c r="M3" s="803">
        <f>IF('A-Project Info'!I12="","",'A-Project Info'!I12)</f>
        <v/>
      </c>
      <c r="N3" s="770" t="n"/>
      <c r="O3" s="770" t="n"/>
      <c r="P3" s="770" t="n"/>
      <c r="Q3" s="797" t="n"/>
      <c r="V3" s="392" t="n"/>
    </row>
    <row r="4" ht="13.75" customHeight="1" thickBot="1">
      <c r="D4" s="804" t="inlineStr">
        <is>
          <t>VERIFIED CONSTRUCTION INSPECTION AND OBSERVATION REPORTING</t>
        </is>
      </c>
      <c r="E4" s="776" t="n"/>
      <c r="F4" s="776" t="n"/>
      <c r="G4" s="776" t="n"/>
      <c r="H4" s="776" t="n"/>
      <c r="I4" s="776" t="n"/>
      <c r="J4" s="776" t="n"/>
      <c r="K4" s="776" t="n"/>
      <c r="L4" s="776" t="n"/>
      <c r="M4" s="776" t="n"/>
      <c r="N4" s="776" t="n"/>
      <c r="O4" s="776" t="n"/>
      <c r="P4" s="778" t="n"/>
      <c r="Q4" s="805" t="inlineStr">
        <is>
          <t>HCAI/FDD USE</t>
        </is>
      </c>
      <c r="V4" s="392" t="n"/>
    </row>
    <row r="5" ht="49.75" customHeight="1" thickBot="1">
      <c r="D5" s="71" t="inlineStr">
        <is>
          <t>REFERENCE
NUMBER</t>
        </is>
      </c>
      <c r="E5" s="159" t="n"/>
      <c r="F5" s="114" t="inlineStr">
        <is>
          <t>PROJECT STAGE(S), MILESTONE, OR INTERVAL
(Clearly indicate which Stage(s) apply to which Milestone/Interval)</t>
        </is>
      </c>
      <c r="G5" s="33" t="inlineStr">
        <is>
          <t>VERIFIED COMPLIANCE REPORT REQUIRED AS INDICATED
(Form OSH-FD-123)
(See “PERSONAL KNOWLEDGE” as defined in California Administrative Code, Section 7-151)</t>
        </is>
      </c>
      <c r="H5" s="776" t="n"/>
      <c r="I5" s="776" t="n"/>
      <c r="J5" s="776" t="n"/>
      <c r="K5" s="776" t="n"/>
      <c r="L5" s="776" t="n"/>
      <c r="M5" s="776" t="n"/>
      <c r="N5" s="776" t="n"/>
      <c r="O5" s="776" t="n"/>
      <c r="P5" s="778" t="n"/>
      <c r="Q5" s="806" t="n"/>
      <c r="S5" s="66" t="n"/>
      <c r="V5" s="392" t="n"/>
    </row>
    <row r="6" ht="25" customHeight="1" thickBot="1">
      <c r="D6" s="111" t="n"/>
      <c r="E6" s="112" t="n"/>
      <c r="F6" s="113" t="n"/>
      <c r="G6" s="644" t="inlineStr">
        <is>
          <t>GEOR</t>
        </is>
      </c>
      <c r="H6" s="644" t="inlineStr">
        <is>
          <t>AOR</t>
        </is>
      </c>
      <c r="I6" s="644" t="inlineStr">
        <is>
          <t>SEOR</t>
        </is>
      </c>
      <c r="J6" s="71" t="inlineStr">
        <is>
          <t>MEOR</t>
        </is>
      </c>
      <c r="K6" s="117" t="inlineStr">
        <is>
          <t>EEOR</t>
        </is>
      </c>
      <c r="L6" s="644" t="inlineStr">
        <is>
          <t>CONT</t>
        </is>
      </c>
      <c r="M6" s="644" t="inlineStr">
        <is>
          <t>IOR</t>
        </is>
      </c>
      <c r="N6" s="644" t="inlineStr">
        <is>
          <t>SP INSP</t>
        </is>
      </c>
      <c r="O6" s="118" t="inlineStr">
        <is>
          <t>TEST LAB</t>
        </is>
      </c>
      <c r="P6" s="119" t="inlineStr">
        <is>
          <t>CEOR</t>
        </is>
      </c>
      <c r="Q6" s="807" t="n"/>
      <c r="V6" s="392" t="n"/>
    </row>
    <row r="7" ht="49" customHeight="1" thickBot="1">
      <c r="B7" s="3" t="n"/>
      <c r="D7" s="808" t="n">
        <v>1</v>
      </c>
      <c r="E7" s="809" t="n"/>
      <c r="F7" s="236" t="inlineStr">
        <is>
          <t>Stage 1:
Completion of Drilled Pier excavation, reinforcing &amp; concrete placement to ultimate cutoff elevation, prior to mass excavation</t>
        </is>
      </c>
      <c r="G7" s="237" t="inlineStr">
        <is>
          <t>X</t>
        </is>
      </c>
      <c r="H7" s="238" t="inlineStr">
        <is>
          <t>X</t>
        </is>
      </c>
      <c r="I7" s="238" t="inlineStr">
        <is>
          <t>X</t>
        </is>
      </c>
      <c r="J7" s="238" t="n"/>
      <c r="K7" s="238" t="n"/>
      <c r="L7" s="238" t="inlineStr">
        <is>
          <t>X</t>
        </is>
      </c>
      <c r="M7" s="238" t="inlineStr">
        <is>
          <t>X</t>
        </is>
      </c>
      <c r="N7" s="238" t="inlineStr">
        <is>
          <t>X</t>
        </is>
      </c>
      <c r="O7" s="238" t="inlineStr">
        <is>
          <t>X</t>
        </is>
      </c>
      <c r="P7" s="238" t="n"/>
      <c r="Q7" s="388" t="inlineStr">
        <is>
          <t>LSG
4/29/2025</t>
        </is>
      </c>
      <c r="V7" s="393" t="inlineStr">
        <is>
          <t>x</t>
        </is>
      </c>
      <c r="W7" s="399" t="inlineStr">
        <is>
          <t>VCR Status - Complete?  ( Yes=X / No=1)</t>
        </is>
      </c>
      <c r="X7" s="404" t="inlineStr">
        <is>
          <t>Notes</t>
        </is>
      </c>
    </row>
    <row r="8" ht="60" customHeight="1">
      <c r="B8" s="3" t="n"/>
      <c r="D8" s="810" t="n">
        <v>2</v>
      </c>
      <c r="E8" s="811" t="n"/>
      <c r="F8" s="241" t="inlineStr">
        <is>
          <t>Stage 2:
Mass excavation &amp; removal of sacrificial rebar &amp; overpour - confirm pier rebar is not damaged</t>
        </is>
      </c>
      <c r="G8" s="242" t="n"/>
      <c r="H8" s="243" t="n"/>
      <c r="I8" s="243" t="inlineStr">
        <is>
          <t>X</t>
        </is>
      </c>
      <c r="J8" s="243" t="n"/>
      <c r="K8" s="243" t="n"/>
      <c r="L8" s="243" t="inlineStr">
        <is>
          <t>X</t>
        </is>
      </c>
      <c r="M8" s="243" t="inlineStr">
        <is>
          <t>X</t>
        </is>
      </c>
      <c r="N8" s="243" t="n"/>
      <c r="O8" s="243" t="n"/>
      <c r="P8" s="243" t="n"/>
      <c r="Q8" s="380" t="n"/>
      <c r="V8" s="397" t="n">
        <v>1</v>
      </c>
      <c r="X8" s="397" t="n"/>
    </row>
    <row r="9" ht="25.25" customHeight="1">
      <c r="B9" s="3" t="n"/>
      <c r="D9" s="810" t="n">
        <v>3</v>
      </c>
      <c r="E9" s="811" t="n"/>
      <c r="F9" s="241" t="inlineStr">
        <is>
          <t>Stage 3: Initial Pier/Column Cap</t>
        </is>
      </c>
      <c r="G9" s="242" t="n"/>
      <c r="H9" s="243" t="inlineStr">
        <is>
          <t>X</t>
        </is>
      </c>
      <c r="I9" s="243" t="inlineStr">
        <is>
          <t>X</t>
        </is>
      </c>
      <c r="J9" s="243" t="n"/>
      <c r="K9" s="243" t="n"/>
      <c r="L9" s="243" t="inlineStr">
        <is>
          <t>X</t>
        </is>
      </c>
      <c r="M9" s="243" t="inlineStr">
        <is>
          <t>X</t>
        </is>
      </c>
      <c r="N9" s="243" t="inlineStr">
        <is>
          <t>X</t>
        </is>
      </c>
      <c r="O9" s="243" t="inlineStr">
        <is>
          <t>X</t>
        </is>
      </c>
      <c r="P9" s="243" t="n"/>
      <c r="Q9" s="389" t="inlineStr">
        <is>
          <t>LSG
4/29/2025</t>
        </is>
      </c>
      <c r="V9" s="397" t="inlineStr">
        <is>
          <t>x</t>
        </is>
      </c>
      <c r="X9" s="397" t="n"/>
    </row>
    <row r="10" ht="25.25" customHeight="1">
      <c r="B10" s="3" t="n"/>
      <c r="D10" s="810" t="n">
        <v>4</v>
      </c>
      <c r="E10" s="811" t="n"/>
      <c r="F10" s="244" t="inlineStr">
        <is>
          <t>Stage 4: Initial Wall Cap</t>
        </is>
      </c>
      <c r="G10" s="242" t="n"/>
      <c r="H10" s="243" t="inlineStr">
        <is>
          <t>X</t>
        </is>
      </c>
      <c r="I10" s="243" t="inlineStr">
        <is>
          <t>X</t>
        </is>
      </c>
      <c r="J10" s="243" t="n"/>
      <c r="K10" s="243" t="n"/>
      <c r="L10" s="243" t="inlineStr">
        <is>
          <t>X</t>
        </is>
      </c>
      <c r="M10" s="243" t="inlineStr">
        <is>
          <t>X</t>
        </is>
      </c>
      <c r="N10" s="243" t="inlineStr">
        <is>
          <t>X</t>
        </is>
      </c>
      <c r="O10" s="243" t="inlineStr">
        <is>
          <t>X</t>
        </is>
      </c>
      <c r="P10" s="243" t="n"/>
      <c r="Q10" s="390" t="inlineStr">
        <is>
          <t>LSG
4/29/2025</t>
        </is>
      </c>
      <c r="V10" s="397" t="inlineStr">
        <is>
          <t>x</t>
        </is>
      </c>
      <c r="X10" s="397" t="n"/>
    </row>
    <row r="11" ht="25.25" customHeight="1">
      <c r="B11" s="3" t="n"/>
      <c r="D11" s="810" t="n">
        <v>5</v>
      </c>
      <c r="E11" s="811" t="n"/>
      <c r="F11" s="241" t="inlineStr">
        <is>
          <t>B1L Waterproofing</t>
        </is>
      </c>
      <c r="G11" s="242" t="n"/>
      <c r="H11" s="243" t="inlineStr">
        <is>
          <t>X</t>
        </is>
      </c>
      <c r="I11" s="243" t="n"/>
      <c r="J11" s="243" t="n"/>
      <c r="K11" s="243" t="n"/>
      <c r="L11" s="243" t="inlineStr">
        <is>
          <t>X</t>
        </is>
      </c>
      <c r="M11" s="243" t="inlineStr">
        <is>
          <t>X</t>
        </is>
      </c>
      <c r="N11" s="243" t="n"/>
      <c r="O11" s="243" t="n"/>
      <c r="P11" s="243" t="inlineStr">
        <is>
          <t>SGH</t>
        </is>
      </c>
      <c r="Q11" s="381" t="n"/>
      <c r="V11" s="394" t="n">
        <v>1</v>
      </c>
      <c r="W11" s="2" t="n">
        <v>0</v>
      </c>
      <c r="X11" s="394" t="n"/>
    </row>
    <row r="12" ht="25.25" customHeight="1">
      <c r="B12" s="3" t="n"/>
      <c r="D12" s="810" t="n">
        <v>6</v>
      </c>
      <c r="E12" s="811" t="n"/>
      <c r="F12" s="241" t="inlineStr">
        <is>
          <t>Stage 6: B1L Underslab
Utilities</t>
        </is>
      </c>
      <c r="G12" s="242" t="n"/>
      <c r="H12" s="243" t="inlineStr">
        <is>
          <t>X</t>
        </is>
      </c>
      <c r="I12" s="243" t="n"/>
      <c r="J12" s="243" t="inlineStr">
        <is>
          <t>X</t>
        </is>
      </c>
      <c r="K12" s="243" t="inlineStr">
        <is>
          <t>X</t>
        </is>
      </c>
      <c r="L12" s="243" t="inlineStr">
        <is>
          <t>X</t>
        </is>
      </c>
      <c r="M12" s="243" t="inlineStr">
        <is>
          <t>X</t>
        </is>
      </c>
      <c r="N12" s="243" t="n"/>
      <c r="O12" s="243" t="n"/>
      <c r="P12" s="243" t="inlineStr">
        <is>
          <t>SGH</t>
        </is>
      </c>
      <c r="Q12" s="381" t="n"/>
      <c r="V12" s="398" t="n">
        <v>1</v>
      </c>
      <c r="W12" s="2" t="n">
        <v>0</v>
      </c>
      <c r="X12" s="398" t="n"/>
    </row>
    <row r="13" ht="25.25" customHeight="1">
      <c r="B13" s="3" t="n"/>
      <c r="D13" s="810" t="n">
        <v>7</v>
      </c>
      <c r="E13" s="811" t="n"/>
      <c r="F13" s="241" t="inlineStr">
        <is>
          <t>Stage 7: B1L Column Caps</t>
        </is>
      </c>
      <c r="G13" s="242" t="n"/>
      <c r="H13" s="243" t="inlineStr">
        <is>
          <t>X</t>
        </is>
      </c>
      <c r="I13" s="243" t="inlineStr">
        <is>
          <t>X</t>
        </is>
      </c>
      <c r="J13" s="243" t="n"/>
      <c r="K13" s="243" t="n"/>
      <c r="L13" s="243" t="inlineStr">
        <is>
          <t>X</t>
        </is>
      </c>
      <c r="M13" s="243" t="inlineStr">
        <is>
          <t>X</t>
        </is>
      </c>
      <c r="N13" s="243" t="inlineStr">
        <is>
          <t>X</t>
        </is>
      </c>
      <c r="O13" s="243" t="inlineStr">
        <is>
          <t>X</t>
        </is>
      </c>
      <c r="P13" s="243" t="n"/>
      <c r="Q13" s="381" t="n"/>
      <c r="V13" s="397" t="n">
        <v>1</v>
      </c>
      <c r="W13" s="2" t="n">
        <v>0</v>
      </c>
      <c r="X13" s="397" t="n"/>
    </row>
    <row r="14" ht="25.25" customHeight="1">
      <c r="B14" s="3" t="n"/>
      <c r="D14" s="810" t="n">
        <v>8</v>
      </c>
      <c r="E14" s="811" t="n"/>
      <c r="F14" s="241" t="inlineStr">
        <is>
          <t>Stage 8: Deep Grade Beam</t>
        </is>
      </c>
      <c r="G14" s="242" t="n"/>
      <c r="H14" s="243" t="inlineStr">
        <is>
          <t>X</t>
        </is>
      </c>
      <c r="I14" s="243" t="inlineStr">
        <is>
          <t>X</t>
        </is>
      </c>
      <c r="J14" s="243" t="n"/>
      <c r="K14" s="243" t="n"/>
      <c r="L14" s="243" t="inlineStr">
        <is>
          <t>X</t>
        </is>
      </c>
      <c r="M14" s="243" t="inlineStr">
        <is>
          <t>X</t>
        </is>
      </c>
      <c r="N14" s="243" t="inlineStr">
        <is>
          <t>X</t>
        </is>
      </c>
      <c r="O14" s="243" t="inlineStr">
        <is>
          <t>X</t>
        </is>
      </c>
      <c r="P14" s="243" t="n"/>
      <c r="Q14" s="391" t="inlineStr">
        <is>
          <t>LSG
6/3/2025</t>
        </is>
      </c>
      <c r="V14" s="397" t="inlineStr">
        <is>
          <t>x</t>
        </is>
      </c>
      <c r="W14" s="2" t="n">
        <v>0</v>
      </c>
      <c r="X14" s="397" t="n"/>
    </row>
    <row r="15" ht="25.25" customHeight="1">
      <c r="B15" s="3" t="n"/>
      <c r="D15" s="810" t="n">
        <v>9</v>
      </c>
      <c r="E15" s="811" t="n"/>
      <c r="F15" s="241" t="inlineStr">
        <is>
          <t>Stage 9: Elevator Pit Slabs</t>
        </is>
      </c>
      <c r="G15" s="242" t="n"/>
      <c r="H15" s="243" t="inlineStr">
        <is>
          <t>X</t>
        </is>
      </c>
      <c r="I15" s="243" t="inlineStr">
        <is>
          <t>X</t>
        </is>
      </c>
      <c r="J15" s="243" t="n"/>
      <c r="K15" s="243" t="n"/>
      <c r="L15" s="243" t="inlineStr">
        <is>
          <t>X</t>
        </is>
      </c>
      <c r="M15" s="243" t="inlineStr">
        <is>
          <t>X</t>
        </is>
      </c>
      <c r="N15" s="243" t="inlineStr">
        <is>
          <t>X</t>
        </is>
      </c>
      <c r="O15" s="243" t="inlineStr">
        <is>
          <t>X</t>
        </is>
      </c>
      <c r="P15" s="243" t="inlineStr">
        <is>
          <t>SGH</t>
        </is>
      </c>
      <c r="Q15" s="381" t="n"/>
      <c r="V15" s="394" t="n">
        <v>1</v>
      </c>
      <c r="W15" s="2" t="n">
        <v>0</v>
      </c>
      <c r="X15" s="394" t="n"/>
    </row>
    <row r="16" ht="25.25" customHeight="1">
      <c r="B16" s="3" t="n"/>
      <c r="D16" s="810" t="n">
        <v>10</v>
      </c>
      <c r="E16" s="811" t="n"/>
      <c r="F16" s="241" t="inlineStr">
        <is>
          <t>Stage 10: Elevator Pit Walls</t>
        </is>
      </c>
      <c r="G16" s="242" t="n"/>
      <c r="H16" s="243" t="inlineStr">
        <is>
          <t>X</t>
        </is>
      </c>
      <c r="I16" s="243" t="inlineStr">
        <is>
          <t>X</t>
        </is>
      </c>
      <c r="J16" s="243" t="n"/>
      <c r="K16" s="243" t="n"/>
      <c r="L16" s="243" t="inlineStr">
        <is>
          <t>X</t>
        </is>
      </c>
      <c r="M16" s="243" t="inlineStr">
        <is>
          <t>X</t>
        </is>
      </c>
      <c r="N16" s="243" t="inlineStr">
        <is>
          <t>X</t>
        </is>
      </c>
      <c r="O16" s="243" t="inlineStr">
        <is>
          <t>X</t>
        </is>
      </c>
      <c r="P16" s="243" t="inlineStr">
        <is>
          <t>SGH</t>
        </is>
      </c>
      <c r="Q16" s="381" t="n"/>
      <c r="V16" s="397" t="n">
        <v>1</v>
      </c>
      <c r="W16" s="2" t="n">
        <v>0</v>
      </c>
      <c r="X16" s="397" t="n"/>
    </row>
    <row r="17" ht="25.25" customHeight="1">
      <c r="B17" s="3" t="n"/>
      <c r="D17" s="810" t="n">
        <v>11</v>
      </c>
      <c r="E17" s="811" t="n"/>
      <c r="F17" s="241" t="inlineStr">
        <is>
          <t>Stage 11: Initial Slab on Grade &amp; Shallow Grade Beam</t>
        </is>
      </c>
      <c r="G17" s="242" t="n"/>
      <c r="H17" s="243" t="inlineStr">
        <is>
          <t>X</t>
        </is>
      </c>
      <c r="I17" s="243" t="inlineStr">
        <is>
          <t>X</t>
        </is>
      </c>
      <c r="J17" s="243" t="n"/>
      <c r="K17" s="243" t="n"/>
      <c r="L17" s="243" t="inlineStr">
        <is>
          <t>X</t>
        </is>
      </c>
      <c r="M17" s="243" t="inlineStr">
        <is>
          <t>X</t>
        </is>
      </c>
      <c r="N17" s="243" t="inlineStr">
        <is>
          <t>X</t>
        </is>
      </c>
      <c r="O17" s="243" t="inlineStr">
        <is>
          <t>X</t>
        </is>
      </c>
      <c r="P17" s="243" t="n"/>
      <c r="Q17" s="381" t="n"/>
      <c r="V17" s="394" t="n">
        <v>1</v>
      </c>
      <c r="W17" s="2" t="n">
        <v>0</v>
      </c>
      <c r="X17" s="394" t="n"/>
    </row>
    <row r="18" ht="25.25" customHeight="1">
      <c r="B18" s="3" t="n"/>
      <c r="D18" s="621" t="n">
        <v>12</v>
      </c>
      <c r="E18" s="622" t="n"/>
      <c r="F18" s="241" t="inlineStr">
        <is>
          <t>Stage 12: Initial Perimeter Wall Reinforcing</t>
        </is>
      </c>
      <c r="G18" s="242" t="n"/>
      <c r="H18" s="243" t="inlineStr">
        <is>
          <t>X</t>
        </is>
      </c>
      <c r="I18" s="243" t="inlineStr">
        <is>
          <t>X</t>
        </is>
      </c>
      <c r="J18" s="243" t="n"/>
      <c r="K18" s="243" t="n"/>
      <c r="L18" s="243" t="inlineStr">
        <is>
          <t>X</t>
        </is>
      </c>
      <c r="M18" s="243" t="inlineStr">
        <is>
          <t>X</t>
        </is>
      </c>
      <c r="N18" s="243" t="inlineStr">
        <is>
          <t>X</t>
        </is>
      </c>
      <c r="O18" s="243" t="inlineStr">
        <is>
          <t>X</t>
        </is>
      </c>
      <c r="P18" s="243" t="inlineStr">
        <is>
          <t>SGH</t>
        </is>
      </c>
      <c r="Q18" s="381" t="n"/>
      <c r="V18" s="398" t="n">
        <v>1</v>
      </c>
      <c r="W18" s="2" t="n">
        <v>0</v>
      </c>
      <c r="X18" s="398" t="n"/>
    </row>
    <row r="19" ht="25.25" customHeight="1">
      <c r="B19" s="3" t="n"/>
      <c r="D19" s="621" t="n">
        <v>13</v>
      </c>
      <c r="E19" s="622" t="n"/>
      <c r="F19" s="241" t="inlineStr">
        <is>
          <t>Not Used</t>
        </is>
      </c>
      <c r="G19" s="242" t="n"/>
      <c r="H19" s="243" t="n"/>
      <c r="I19" s="243" t="n"/>
      <c r="J19" s="243" t="n"/>
      <c r="K19" s="243" t="n"/>
      <c r="L19" s="243" t="n"/>
      <c r="M19" s="243" t="n"/>
      <c r="N19" s="243" t="n"/>
      <c r="O19" s="243" t="n"/>
      <c r="P19" s="243" t="n"/>
      <c r="Q19" s="271" t="inlineStr">
        <is>
          <t>NA</t>
        </is>
      </c>
      <c r="V19" s="398" t="inlineStr">
        <is>
          <t>NA</t>
        </is>
      </c>
      <c r="W19" s="2" t="n">
        <v>1</v>
      </c>
      <c r="X19" s="398" t="n"/>
    </row>
    <row r="20" ht="25.25" customHeight="1">
      <c r="B20" s="3" t="n"/>
      <c r="D20" s="621" t="n">
        <v>14</v>
      </c>
      <c r="E20" s="622" t="n"/>
      <c r="F20" s="241" t="inlineStr">
        <is>
          <t>Stage 13: Initial Shear Wall</t>
        </is>
      </c>
      <c r="G20" s="242" t="n"/>
      <c r="H20" s="243" t="inlineStr">
        <is>
          <t>X</t>
        </is>
      </c>
      <c r="I20" s="243" t="inlineStr">
        <is>
          <t>X</t>
        </is>
      </c>
      <c r="J20" s="243" t="n"/>
      <c r="K20" s="243" t="n"/>
      <c r="L20" s="243" t="inlineStr">
        <is>
          <t>X</t>
        </is>
      </c>
      <c r="M20" s="243" t="inlineStr">
        <is>
          <t>X</t>
        </is>
      </c>
      <c r="N20" s="243" t="inlineStr">
        <is>
          <t>X</t>
        </is>
      </c>
      <c r="O20" s="243" t="inlineStr">
        <is>
          <t>X</t>
        </is>
      </c>
      <c r="P20" s="243" t="n"/>
      <c r="Q20" s="391" t="inlineStr">
        <is>
          <t>SJ
7/18/2025</t>
        </is>
      </c>
      <c r="V20" s="398" t="inlineStr">
        <is>
          <t>x</t>
        </is>
      </c>
      <c r="W20" s="2" t="n">
        <v>0</v>
      </c>
      <c r="X20" s="398" t="n"/>
    </row>
    <row r="21" ht="25.25" customHeight="1">
      <c r="B21" s="3" t="n"/>
      <c r="D21" s="621" t="n">
        <v>15</v>
      </c>
      <c r="E21" s="622" t="n"/>
      <c r="F21" s="241" t="inlineStr">
        <is>
          <t>Stage 15: Utility Racks Complete</t>
        </is>
      </c>
      <c r="G21" s="242" t="n"/>
      <c r="H21" s="243" t="inlineStr">
        <is>
          <t>X</t>
        </is>
      </c>
      <c r="I21" s="243" t="inlineStr">
        <is>
          <t>X</t>
        </is>
      </c>
      <c r="J21" s="243" t="inlineStr">
        <is>
          <t>X</t>
        </is>
      </c>
      <c r="K21" s="243" t="n"/>
      <c r="L21" s="243" t="inlineStr">
        <is>
          <t>X</t>
        </is>
      </c>
      <c r="M21" s="243" t="inlineStr">
        <is>
          <t>X</t>
        </is>
      </c>
      <c r="N21" s="243" t="inlineStr">
        <is>
          <t>X</t>
        </is>
      </c>
      <c r="O21" s="243" t="inlineStr">
        <is>
          <t>X</t>
        </is>
      </c>
      <c r="P21" s="243" t="n"/>
      <c r="Q21" s="381" t="n"/>
      <c r="V21" s="398" t="n">
        <v>1</v>
      </c>
      <c r="W21" s="2" t="n">
        <v>1</v>
      </c>
      <c r="X21" s="398" t="n"/>
    </row>
    <row r="22" ht="25.25" customHeight="1">
      <c r="B22" s="3" t="n"/>
      <c r="D22" s="621" t="n">
        <v>16</v>
      </c>
      <c r="E22" s="622" t="n"/>
      <c r="F22" s="241" t="inlineStr">
        <is>
          <t>Stage 14: Pier &amp; Wall Caps &amp; Deep Grade Beams Complete</t>
        </is>
      </c>
      <c r="G22" s="242" t="n"/>
      <c r="H22" s="243" t="n"/>
      <c r="I22" s="243" t="inlineStr">
        <is>
          <t>X</t>
        </is>
      </c>
      <c r="J22" s="243" t="n"/>
      <c r="K22" s="243" t="n"/>
      <c r="L22" s="243" t="inlineStr">
        <is>
          <t>X</t>
        </is>
      </c>
      <c r="M22" s="243" t="inlineStr">
        <is>
          <t>X</t>
        </is>
      </c>
      <c r="N22" s="243" t="inlineStr">
        <is>
          <t>X</t>
        </is>
      </c>
      <c r="O22" s="243" t="inlineStr">
        <is>
          <t>X</t>
        </is>
      </c>
      <c r="P22" s="243" t="inlineStr">
        <is>
          <t>SGH</t>
        </is>
      </c>
      <c r="Q22" s="381" t="n"/>
      <c r="V22" s="398" t="n">
        <v>1</v>
      </c>
      <c r="W22" s="2" t="n">
        <v>1</v>
      </c>
      <c r="X22" s="398" t="n"/>
    </row>
    <row r="23" ht="25.25" customHeight="1">
      <c r="B23" s="3" t="n"/>
      <c r="D23" s="621" t="n">
        <v>17</v>
      </c>
      <c r="E23" s="622" t="n"/>
      <c r="F23" s="241" t="inlineStr">
        <is>
          <t>Not Used</t>
        </is>
      </c>
      <c r="G23" s="242" t="n"/>
      <c r="H23" s="243" t="n"/>
      <c r="I23" s="243" t="n"/>
      <c r="J23" s="243" t="n"/>
      <c r="K23" s="243" t="n"/>
      <c r="L23" s="243" t="n"/>
      <c r="M23" s="243" t="n"/>
      <c r="N23" s="243" t="n"/>
      <c r="O23" s="243" t="n"/>
      <c r="P23" s="243" t="n"/>
      <c r="Q23" s="271" t="inlineStr">
        <is>
          <t>NA</t>
        </is>
      </c>
      <c r="V23" s="397" t="inlineStr">
        <is>
          <t>NA</t>
        </is>
      </c>
      <c r="W23" s="2" t="inlineStr">
        <is>
          <t>NA</t>
        </is>
      </c>
      <c r="X23" s="397" t="n"/>
    </row>
    <row r="24" ht="25.25" customHeight="1">
      <c r="B24" s="3" t="n"/>
      <c r="D24" s="621" t="n">
        <v>18</v>
      </c>
      <c r="E24" s="622" t="n"/>
      <c r="F24" s="241" t="inlineStr">
        <is>
          <t>Not Used</t>
        </is>
      </c>
      <c r="G24" s="242" t="n"/>
      <c r="H24" s="243" t="n"/>
      <c r="I24" s="243" t="n"/>
      <c r="J24" s="243" t="n"/>
      <c r="K24" s="243" t="n"/>
      <c r="L24" s="243" t="n"/>
      <c r="M24" s="243" t="n"/>
      <c r="N24" s="243" t="n"/>
      <c r="O24" s="243" t="n"/>
      <c r="P24" s="243" t="n"/>
      <c r="Q24" s="271" t="inlineStr">
        <is>
          <t>NA</t>
        </is>
      </c>
      <c r="V24" s="397" t="inlineStr">
        <is>
          <t>NA</t>
        </is>
      </c>
      <c r="W24" s="2" t="inlineStr">
        <is>
          <t>NA</t>
        </is>
      </c>
      <c r="X24" s="397" t="n"/>
    </row>
    <row r="25" ht="25.25" customHeight="1">
      <c r="B25" s="3" t="n"/>
      <c r="D25" s="621" t="n">
        <v>19</v>
      </c>
      <c r="E25" s="622" t="n"/>
      <c r="F25" s="241" t="inlineStr">
        <is>
          <t>Not Used</t>
        </is>
      </c>
      <c r="G25" s="242" t="n"/>
      <c r="H25" s="243" t="n"/>
      <c r="I25" s="243" t="n"/>
      <c r="J25" s="243" t="n"/>
      <c r="K25" s="243" t="n"/>
      <c r="L25" s="243" t="n"/>
      <c r="M25" s="243" t="n"/>
      <c r="N25" s="243" t="n"/>
      <c r="O25" s="243" t="n"/>
      <c r="P25" s="243" t="n"/>
      <c r="Q25" s="271" t="inlineStr">
        <is>
          <t>NA</t>
        </is>
      </c>
      <c r="V25" s="397" t="inlineStr">
        <is>
          <t>NA</t>
        </is>
      </c>
      <c r="W25" s="2" t="inlineStr">
        <is>
          <t>NA</t>
        </is>
      </c>
      <c r="X25" s="397" t="n"/>
    </row>
    <row r="26" ht="25.25" customHeight="1">
      <c r="B26" s="3" t="n"/>
      <c r="D26" s="621" t="n">
        <v>20</v>
      </c>
      <c r="E26" s="622" t="n"/>
      <c r="F26" s="241" t="inlineStr">
        <is>
          <t>Stage 16 &amp; 36: Underslab Utilities (Area A &amp; B)</t>
        </is>
      </c>
      <c r="G26" s="242" t="n"/>
      <c r="H26" s="243" t="inlineStr">
        <is>
          <t>X</t>
        </is>
      </c>
      <c r="I26" s="243" t="n"/>
      <c r="J26" s="243" t="inlineStr">
        <is>
          <t>X</t>
        </is>
      </c>
      <c r="K26" s="243" t="inlineStr">
        <is>
          <t>X</t>
        </is>
      </c>
      <c r="L26" s="243" t="inlineStr">
        <is>
          <t>X</t>
        </is>
      </c>
      <c r="M26" s="243" t="inlineStr">
        <is>
          <t>X</t>
        </is>
      </c>
      <c r="N26" s="243" t="inlineStr">
        <is>
          <t>X</t>
        </is>
      </c>
      <c r="O26" s="243" t="n"/>
      <c r="P26" s="243" t="inlineStr">
        <is>
          <t>SGH</t>
        </is>
      </c>
      <c r="Q26" s="381" t="n"/>
      <c r="V26" s="397" t="n">
        <v>1</v>
      </c>
      <c r="W26" s="2" t="n">
        <v>0</v>
      </c>
      <c r="X26" s="397" t="n"/>
    </row>
    <row r="27" ht="25.25" customHeight="1">
      <c r="B27" s="3" t="n"/>
      <c r="D27" s="621" t="n">
        <v>21</v>
      </c>
      <c r="E27" s="622" t="n"/>
      <c r="F27" s="241" t="inlineStr">
        <is>
          <t>Stage 38 &amp; 40: Underslab Utilities (Area C &amp; D)</t>
        </is>
      </c>
      <c r="G27" s="242" t="n"/>
      <c r="H27" s="243" t="inlineStr">
        <is>
          <t>X</t>
        </is>
      </c>
      <c r="I27" s="243" t="n"/>
      <c r="J27" s="243" t="inlineStr">
        <is>
          <t>X</t>
        </is>
      </c>
      <c r="K27" s="243" t="inlineStr">
        <is>
          <t>X</t>
        </is>
      </c>
      <c r="L27" s="243" t="inlineStr">
        <is>
          <t>X</t>
        </is>
      </c>
      <c r="M27" s="243" t="inlineStr">
        <is>
          <t>X</t>
        </is>
      </c>
      <c r="N27" s="243" t="inlineStr">
        <is>
          <t>X</t>
        </is>
      </c>
      <c r="O27" s="243" t="n"/>
      <c r="P27" s="243" t="inlineStr">
        <is>
          <t>SGH</t>
        </is>
      </c>
      <c r="Q27" s="381" t="n"/>
      <c r="V27" s="397" t="n">
        <v>1</v>
      </c>
      <c r="W27" s="2" t="n">
        <v>1</v>
      </c>
      <c r="X27" s="397" t="n"/>
    </row>
    <row r="28" ht="25.25" customHeight="1">
      <c r="B28" s="3" t="n"/>
      <c r="D28" s="621" t="n">
        <v>22</v>
      </c>
      <c r="E28" s="622" t="n"/>
      <c r="F28" s="241" t="inlineStr">
        <is>
          <t>Not Used</t>
        </is>
      </c>
      <c r="G28" s="242" t="n"/>
      <c r="H28" s="243" t="n"/>
      <c r="I28" s="243" t="n"/>
      <c r="J28" s="243" t="n"/>
      <c r="K28" s="243" t="n"/>
      <c r="L28" s="243" t="n"/>
      <c r="M28" s="243" t="n"/>
      <c r="N28" s="243" t="n"/>
      <c r="O28" s="243" t="n"/>
      <c r="P28" s="243" t="n"/>
      <c r="Q28" s="271" t="inlineStr">
        <is>
          <t>NA</t>
        </is>
      </c>
      <c r="V28" s="397" t="inlineStr">
        <is>
          <t>NA</t>
        </is>
      </c>
      <c r="W28" s="2" t="inlineStr">
        <is>
          <t>NA</t>
        </is>
      </c>
      <c r="X28" s="397" t="n"/>
    </row>
    <row r="29" ht="25.25" customHeight="1">
      <c r="B29" s="3" t="n"/>
      <c r="D29" s="621" t="n">
        <v>23</v>
      </c>
      <c r="E29" s="622" t="n"/>
      <c r="F29" s="241" t="inlineStr">
        <is>
          <t xml:space="preserve">Stage 18: SOG &amp; Shallow Grade Beams </t>
        </is>
      </c>
      <c r="G29" s="242" t="inlineStr">
        <is>
          <t>X</t>
        </is>
      </c>
      <c r="H29" s="243" t="n"/>
      <c r="I29" s="243" t="inlineStr">
        <is>
          <t>X</t>
        </is>
      </c>
      <c r="J29" s="243" t="n"/>
      <c r="K29" s="243" t="n"/>
      <c r="L29" s="243" t="inlineStr">
        <is>
          <t>X</t>
        </is>
      </c>
      <c r="M29" s="243" t="inlineStr">
        <is>
          <t>X</t>
        </is>
      </c>
      <c r="N29" s="243" t="inlineStr">
        <is>
          <t>X</t>
        </is>
      </c>
      <c r="O29" s="243" t="inlineStr">
        <is>
          <t>X</t>
        </is>
      </c>
      <c r="P29" s="243" t="inlineStr">
        <is>
          <t>SGH</t>
        </is>
      </c>
      <c r="Q29" s="381" t="n"/>
      <c r="V29" s="397" t="n">
        <v>1</v>
      </c>
      <c r="W29" s="2" t="n">
        <v>1</v>
      </c>
      <c r="X29" s="397" t="n"/>
    </row>
    <row r="30" ht="25.25" customHeight="1">
      <c r="B30" s="3" t="n"/>
      <c r="D30" s="621" t="n">
        <v>24</v>
      </c>
      <c r="E30" s="622" t="n"/>
      <c r="F30" s="241" t="inlineStr">
        <is>
          <t>Not Used</t>
        </is>
      </c>
      <c r="G30" s="242" t="n"/>
      <c r="H30" s="243" t="n"/>
      <c r="I30" s="243" t="n"/>
      <c r="J30" s="243" t="n"/>
      <c r="K30" s="243" t="n"/>
      <c r="L30" s="243" t="n"/>
      <c r="M30" s="243" t="n"/>
      <c r="N30" s="243" t="n"/>
      <c r="O30" s="243" t="n"/>
      <c r="P30" s="243" t="n"/>
      <c r="Q30" s="271" t="inlineStr">
        <is>
          <t>NA</t>
        </is>
      </c>
      <c r="V30" s="397" t="inlineStr">
        <is>
          <t>NA</t>
        </is>
      </c>
      <c r="W30" s="2" t="n">
        <v>1</v>
      </c>
      <c r="X30" s="397" t="n"/>
    </row>
    <row r="31" ht="25.25" customHeight="1">
      <c r="B31" s="3" t="n"/>
      <c r="D31" s="621" t="n">
        <v>25</v>
      </c>
      <c r="E31" s="622" t="n"/>
      <c r="F31" s="241" t="inlineStr">
        <is>
          <t>Stage 19: Perimeter Concrete Walls</t>
        </is>
      </c>
      <c r="G31" s="242" t="n"/>
      <c r="H31" s="243" t="n"/>
      <c r="I31" s="243" t="inlineStr">
        <is>
          <t>X</t>
        </is>
      </c>
      <c r="J31" s="243" t="n"/>
      <c r="K31" s="243" t="n"/>
      <c r="L31" s="243" t="inlineStr">
        <is>
          <t>X</t>
        </is>
      </c>
      <c r="M31" s="243" t="inlineStr">
        <is>
          <t>X</t>
        </is>
      </c>
      <c r="N31" s="243" t="inlineStr">
        <is>
          <t>X</t>
        </is>
      </c>
      <c r="O31" s="243" t="inlineStr">
        <is>
          <t>X</t>
        </is>
      </c>
      <c r="P31" s="243" t="inlineStr">
        <is>
          <t>SGH</t>
        </is>
      </c>
      <c r="Q31" s="381" t="n"/>
      <c r="V31" s="394" t="n">
        <v>1</v>
      </c>
      <c r="W31" s="2" t="n">
        <v>1</v>
      </c>
      <c r="X31" s="394" t="n"/>
    </row>
    <row r="32" ht="25.25" customHeight="1">
      <c r="B32" s="3" t="n"/>
      <c r="D32" s="621" t="n">
        <v>26</v>
      </c>
      <c r="E32" s="622" t="n"/>
      <c r="F32" s="241" t="inlineStr">
        <is>
          <t>Not Used</t>
        </is>
      </c>
      <c r="G32" s="242" t="n"/>
      <c r="H32" s="243" t="n"/>
      <c r="I32" s="243" t="n"/>
      <c r="J32" s="243" t="n"/>
      <c r="K32" s="243" t="n"/>
      <c r="L32" s="243" t="n"/>
      <c r="M32" s="243" t="n"/>
      <c r="N32" s="243" t="n"/>
      <c r="O32" s="243" t="n"/>
      <c r="P32" s="243" t="n"/>
      <c r="Q32" s="271" t="inlineStr">
        <is>
          <t>NA</t>
        </is>
      </c>
      <c r="V32" s="397" t="inlineStr">
        <is>
          <t>NA</t>
        </is>
      </c>
      <c r="W32" s="2" t="inlineStr">
        <is>
          <t>NA</t>
        </is>
      </c>
      <c r="X32" s="397" t="n"/>
    </row>
    <row r="33" ht="25.25" customHeight="1">
      <c r="B33" s="3" t="n"/>
      <c r="D33" s="621" t="n">
        <v>27</v>
      </c>
      <c r="E33" s="622" t="n"/>
      <c r="F33" s="241" t="inlineStr">
        <is>
          <t>Stage 20: Shear Walls</t>
        </is>
      </c>
      <c r="G33" s="242" t="n"/>
      <c r="H33" s="243" t="n"/>
      <c r="I33" s="243" t="inlineStr">
        <is>
          <t>X</t>
        </is>
      </c>
      <c r="J33" s="243" t="n"/>
      <c r="K33" s="243" t="n"/>
      <c r="L33" s="243" t="inlineStr">
        <is>
          <t>X</t>
        </is>
      </c>
      <c r="M33" s="243" t="inlineStr">
        <is>
          <t>X</t>
        </is>
      </c>
      <c r="N33" s="243" t="inlineStr">
        <is>
          <t>X</t>
        </is>
      </c>
      <c r="O33" s="243" t="inlineStr">
        <is>
          <t>X</t>
        </is>
      </c>
      <c r="P33" s="243" t="n"/>
      <c r="Q33" s="381" t="n"/>
      <c r="V33" s="397" t="n">
        <v>1</v>
      </c>
      <c r="W33" s="2" t="n">
        <v>1</v>
      </c>
      <c r="X33" s="397" t="n"/>
    </row>
    <row r="34" ht="25.25" customHeight="1">
      <c r="B34" s="3" t="n"/>
      <c r="D34" s="621" t="n">
        <v>28</v>
      </c>
      <c r="E34" s="622" t="n"/>
      <c r="F34" s="241" t="inlineStr">
        <is>
          <t>Not Used</t>
        </is>
      </c>
      <c r="G34" s="242" t="n"/>
      <c r="H34" s="243" t="n"/>
      <c r="I34" s="243" t="n"/>
      <c r="J34" s="243" t="n"/>
      <c r="K34" s="243" t="n"/>
      <c r="L34" s="243" t="n"/>
      <c r="M34" s="243" t="n"/>
      <c r="N34" s="243" t="n"/>
      <c r="O34" s="243" t="n"/>
      <c r="P34" s="243" t="n"/>
      <c r="Q34" s="271" t="inlineStr">
        <is>
          <t>NA</t>
        </is>
      </c>
      <c r="V34" s="397" t="inlineStr">
        <is>
          <t>NA</t>
        </is>
      </c>
      <c r="W34" s="2" t="inlineStr">
        <is>
          <t>NA</t>
        </is>
      </c>
      <c r="X34" s="396" t="n"/>
    </row>
    <row r="35" ht="25.25" customHeight="1">
      <c r="B35" s="3" t="n"/>
      <c r="D35" s="621" t="n">
        <v>29</v>
      </c>
      <c r="E35" s="622" t="n"/>
      <c r="F35" s="241" t="inlineStr">
        <is>
          <t>Stage 22: Tieback Cover</t>
        </is>
      </c>
      <c r="G35" s="242" t="n"/>
      <c r="H35" s="243" t="inlineStr">
        <is>
          <t>X</t>
        </is>
      </c>
      <c r="I35" s="243" t="n"/>
      <c r="J35" s="243" t="n"/>
      <c r="K35" s="243" t="n"/>
      <c r="L35" s="243" t="inlineStr">
        <is>
          <t>X</t>
        </is>
      </c>
      <c r="M35" s="243" t="inlineStr">
        <is>
          <t>X</t>
        </is>
      </c>
      <c r="N35" s="243" t="n"/>
      <c r="O35" s="243" t="n"/>
      <c r="P35" s="243" t="inlineStr">
        <is>
          <t>SGH</t>
        </is>
      </c>
      <c r="Q35" s="381" t="n"/>
      <c r="V35" s="394" t="n">
        <v>1</v>
      </c>
      <c r="W35" s="2" t="n">
        <v>1</v>
      </c>
      <c r="X35" s="394" t="n"/>
    </row>
    <row r="36" ht="25.25" customHeight="1">
      <c r="B36" s="3" t="n"/>
      <c r="D36" s="621" t="n">
        <v>30</v>
      </c>
      <c r="E36" s="622" t="n"/>
      <c r="F36" s="241" t="inlineStr">
        <is>
          <t>Below Grade Expansion Joint</t>
        </is>
      </c>
      <c r="G36" s="242" t="n"/>
      <c r="H36" s="243" t="inlineStr">
        <is>
          <t>X</t>
        </is>
      </c>
      <c r="I36" s="243" t="n"/>
      <c r="J36" s="243" t="n"/>
      <c r="K36" s="243" t="n"/>
      <c r="L36" s="243" t="inlineStr">
        <is>
          <t>X</t>
        </is>
      </c>
      <c r="M36" s="243" t="inlineStr">
        <is>
          <t>X</t>
        </is>
      </c>
      <c r="N36" s="243" t="n"/>
      <c r="O36" s="243" t="n"/>
      <c r="P36" s="243" t="inlineStr">
        <is>
          <t>SGH</t>
        </is>
      </c>
      <c r="Q36" s="381" t="n"/>
      <c r="V36" s="397" t="n">
        <v>1</v>
      </c>
      <c r="W36" s="2" t="n">
        <v>1</v>
      </c>
      <c r="X36" s="397" t="n"/>
    </row>
    <row r="37" ht="25.25" customHeight="1">
      <c r="B37" s="3" t="n"/>
      <c r="D37" s="621" t="n">
        <v>31</v>
      </c>
      <c r="E37" s="622" t="n"/>
      <c r="F37" s="241" t="inlineStr">
        <is>
          <t>Stage 24: Concrete Tank Floors</t>
        </is>
      </c>
      <c r="G37" s="242" t="inlineStr">
        <is>
          <t>X</t>
        </is>
      </c>
      <c r="H37" s="243" t="n"/>
      <c r="I37" s="243" t="inlineStr">
        <is>
          <t>X</t>
        </is>
      </c>
      <c r="J37" s="243" t="n"/>
      <c r="K37" s="243" t="n"/>
      <c r="L37" s="243" t="inlineStr">
        <is>
          <t>X</t>
        </is>
      </c>
      <c r="M37" s="243" t="inlineStr">
        <is>
          <t>X</t>
        </is>
      </c>
      <c r="N37" s="243" t="inlineStr">
        <is>
          <t>X</t>
        </is>
      </c>
      <c r="O37" s="243" t="inlineStr">
        <is>
          <t>X</t>
        </is>
      </c>
      <c r="P37" s="243" t="n"/>
      <c r="Q37" s="381" t="n"/>
      <c r="V37" s="397" t="n">
        <v>1</v>
      </c>
      <c r="W37" s="2" t="n">
        <v>1</v>
      </c>
      <c r="X37" s="397" t="n"/>
    </row>
    <row r="38" ht="25.25" customHeight="1">
      <c r="B38" s="3" t="n"/>
      <c r="D38" s="621" t="n">
        <v>32</v>
      </c>
      <c r="E38" s="622" t="n"/>
      <c r="F38" s="241" t="inlineStr">
        <is>
          <t>Stage 25: Interior Tank Shear Walls</t>
        </is>
      </c>
      <c r="G38" s="242" t="n"/>
      <c r="H38" s="243" t="n"/>
      <c r="I38" s="243" t="inlineStr">
        <is>
          <t>X</t>
        </is>
      </c>
      <c r="J38" s="243" t="n"/>
      <c r="K38" s="243" t="n"/>
      <c r="L38" s="243" t="inlineStr">
        <is>
          <t>X</t>
        </is>
      </c>
      <c r="M38" s="243" t="inlineStr">
        <is>
          <t>X</t>
        </is>
      </c>
      <c r="N38" s="243" t="inlineStr">
        <is>
          <t>X</t>
        </is>
      </c>
      <c r="O38" s="243" t="inlineStr">
        <is>
          <t>X</t>
        </is>
      </c>
      <c r="P38" s="243" t="n"/>
      <c r="Q38" s="381" t="n"/>
      <c r="V38" s="394" t="n">
        <v>1</v>
      </c>
      <c r="W38" s="2" t="n">
        <v>1</v>
      </c>
      <c r="X38" s="394" t="n"/>
    </row>
    <row r="39" ht="25.25" customHeight="1">
      <c r="B39" s="3" t="n"/>
      <c r="D39" s="621" t="n">
        <v>33</v>
      </c>
      <c r="E39" s="622" t="n"/>
      <c r="F39" s="241" t="inlineStr">
        <is>
          <t>Stage 26: Stub Columns</t>
        </is>
      </c>
      <c r="G39" s="242" t="n"/>
      <c r="H39" s="243" t="n"/>
      <c r="I39" s="243" t="inlineStr">
        <is>
          <t>X</t>
        </is>
      </c>
      <c r="J39" s="243" t="n"/>
      <c r="K39" s="243" t="n"/>
      <c r="L39" s="243" t="inlineStr">
        <is>
          <t>X</t>
        </is>
      </c>
      <c r="M39" s="243" t="inlineStr">
        <is>
          <t>X</t>
        </is>
      </c>
      <c r="N39" s="243" t="inlineStr">
        <is>
          <t>X</t>
        </is>
      </c>
      <c r="O39" s="243" t="n"/>
      <c r="P39" s="243" t="n"/>
      <c r="Q39" s="391" t="inlineStr">
        <is>
          <t>LSG
9/18/25</t>
        </is>
      </c>
      <c r="V39" s="397" t="inlineStr">
        <is>
          <t>x</t>
        </is>
      </c>
      <c r="W39" s="2" t="n">
        <v>0</v>
      </c>
      <c r="X39" s="397" t="n"/>
    </row>
    <row r="40" ht="25.25" customHeight="1">
      <c r="B40" s="3" t="n"/>
      <c r="D40" s="621" t="n">
        <v>34</v>
      </c>
      <c r="E40" s="622" t="n"/>
      <c r="F40" s="241" t="inlineStr">
        <is>
          <t>Stage 27: Trestle SOG Infills</t>
        </is>
      </c>
      <c r="G40" s="242" t="n"/>
      <c r="H40" s="243" t="n"/>
      <c r="I40" s="243" t="inlineStr">
        <is>
          <t>X</t>
        </is>
      </c>
      <c r="J40" s="243" t="n"/>
      <c r="K40" s="243" t="n"/>
      <c r="L40" s="243" t="inlineStr">
        <is>
          <t>X</t>
        </is>
      </c>
      <c r="M40" s="243" t="inlineStr">
        <is>
          <t>X</t>
        </is>
      </c>
      <c r="N40" s="243" t="inlineStr">
        <is>
          <t>X</t>
        </is>
      </c>
      <c r="O40" s="243" t="inlineStr">
        <is>
          <t>X</t>
        </is>
      </c>
      <c r="P40" s="243" t="inlineStr">
        <is>
          <t>SGH</t>
        </is>
      </c>
      <c r="Q40" s="381" t="n"/>
      <c r="V40" s="396" t="n">
        <v>1</v>
      </c>
      <c r="W40" s="2" t="n">
        <v>1</v>
      </c>
      <c r="X40" s="396" t="n"/>
    </row>
    <row r="41" ht="25.25" customHeight="1">
      <c r="B41" s="3" t="n"/>
      <c r="D41" s="621" t="n">
        <v>35</v>
      </c>
      <c r="E41" s="622" t="n"/>
      <c r="F41" s="241" t="inlineStr">
        <is>
          <t>Stage 28: Interior Shear Walls</t>
        </is>
      </c>
      <c r="G41" s="242" t="n"/>
      <c r="H41" s="243" t="n"/>
      <c r="I41" s="243" t="inlineStr">
        <is>
          <t>X</t>
        </is>
      </c>
      <c r="J41" s="243" t="n"/>
      <c r="K41" s="243" t="n"/>
      <c r="L41" s="243" t="inlineStr">
        <is>
          <t>X</t>
        </is>
      </c>
      <c r="M41" s="243" t="inlineStr">
        <is>
          <t>X</t>
        </is>
      </c>
      <c r="N41" s="243" t="inlineStr">
        <is>
          <t>X</t>
        </is>
      </c>
      <c r="O41" s="243" t="inlineStr">
        <is>
          <t>X</t>
        </is>
      </c>
      <c r="P41" s="243" t="n"/>
      <c r="Q41" s="381" t="n"/>
      <c r="V41" s="394" t="n">
        <v>1</v>
      </c>
      <c r="W41" s="2" t="n">
        <v>1</v>
      </c>
      <c r="X41" s="394" t="n"/>
    </row>
    <row r="42" ht="25.25" customHeight="1">
      <c r="B42" s="3" t="n"/>
      <c r="D42" s="621" t="n">
        <v>36</v>
      </c>
      <c r="E42" s="622" t="n"/>
      <c r="F42" s="241" t="inlineStr">
        <is>
          <t>Stage 29: SOG, Chiller Room, &amp; Tank Wall leave-outs</t>
        </is>
      </c>
      <c r="G42" s="242" t="n"/>
      <c r="H42" s="243" t="n"/>
      <c r="I42" s="243" t="inlineStr">
        <is>
          <t>X</t>
        </is>
      </c>
      <c r="J42" s="243" t="n"/>
      <c r="K42" s="243" t="n"/>
      <c r="L42" s="243" t="inlineStr">
        <is>
          <t>X</t>
        </is>
      </c>
      <c r="M42" s="243" t="inlineStr">
        <is>
          <t>X</t>
        </is>
      </c>
      <c r="N42" s="243" t="inlineStr">
        <is>
          <t>X</t>
        </is>
      </c>
      <c r="O42" s="243" t="inlineStr">
        <is>
          <t>X</t>
        </is>
      </c>
      <c r="P42" s="243" t="inlineStr">
        <is>
          <t>SGH</t>
        </is>
      </c>
      <c r="Q42" s="382" t="n"/>
      <c r="V42" s="397" t="n">
        <v>1</v>
      </c>
      <c r="W42" s="2" t="n">
        <v>1</v>
      </c>
      <c r="X42" s="397" t="n"/>
    </row>
    <row r="43" ht="25.25" customHeight="1">
      <c r="B43" s="3" t="n"/>
      <c r="D43" s="621" t="n">
        <v>37</v>
      </c>
      <c r="E43" s="622" t="n"/>
      <c r="F43" s="241" t="inlineStr">
        <is>
          <t>Not Used</t>
        </is>
      </c>
      <c r="G43" s="242" t="n"/>
      <c r="H43" s="243" t="n"/>
      <c r="I43" s="243" t="n"/>
      <c r="J43" s="243" t="n"/>
      <c r="K43" s="243" t="n"/>
      <c r="L43" s="243" t="n"/>
      <c r="M43" s="243" t="n"/>
      <c r="N43" s="243" t="n"/>
      <c r="O43" s="243" t="n"/>
      <c r="P43" s="243" t="n"/>
      <c r="Q43" s="271" t="inlineStr">
        <is>
          <t>NA</t>
        </is>
      </c>
      <c r="V43" s="397" t="inlineStr">
        <is>
          <t>NA</t>
        </is>
      </c>
      <c r="W43" s="2" t="inlineStr">
        <is>
          <t>NA</t>
        </is>
      </c>
      <c r="X43" s="397" t="n"/>
    </row>
    <row r="44" ht="25.25" customHeight="1">
      <c r="B44" s="3" t="n"/>
      <c r="D44" s="621" t="n">
        <v>38</v>
      </c>
      <c r="E44" s="622" t="n"/>
      <c r="F44" s="241" t="inlineStr">
        <is>
          <t>Not Used</t>
        </is>
      </c>
      <c r="G44" s="242" t="n"/>
      <c r="H44" s="243" t="n"/>
      <c r="I44" s="243" t="n"/>
      <c r="J44" s="243" t="n"/>
      <c r="K44" s="243" t="n"/>
      <c r="L44" s="243" t="n"/>
      <c r="M44" s="243" t="n"/>
      <c r="N44" s="243" t="n"/>
      <c r="O44" s="243" t="n"/>
      <c r="P44" s="243" t="n"/>
      <c r="Q44" s="271" t="inlineStr">
        <is>
          <t>NA</t>
        </is>
      </c>
      <c r="V44" s="397" t="inlineStr">
        <is>
          <t>NA</t>
        </is>
      </c>
      <c r="W44" s="2" t="inlineStr">
        <is>
          <t>NA</t>
        </is>
      </c>
      <c r="X44" s="394" t="n"/>
    </row>
    <row r="45" ht="25.25" customHeight="1">
      <c r="B45" s="3" t="n"/>
      <c r="D45" s="621" t="n">
        <v>39</v>
      </c>
      <c r="E45" s="622" t="n"/>
      <c r="F45" s="241" t="inlineStr">
        <is>
          <t>Not Used</t>
        </is>
      </c>
      <c r="G45" s="242" t="n"/>
      <c r="H45" s="243" t="n"/>
      <c r="I45" s="243" t="n"/>
      <c r="J45" s="243" t="n"/>
      <c r="K45" s="243" t="n"/>
      <c r="L45" s="243" t="n"/>
      <c r="M45" s="243" t="n"/>
      <c r="N45" s="243" t="n"/>
      <c r="O45" s="243" t="n"/>
      <c r="P45" s="243" t="n"/>
      <c r="Q45" s="271" t="inlineStr">
        <is>
          <t>NA</t>
        </is>
      </c>
      <c r="V45" s="397" t="inlineStr">
        <is>
          <t>NA</t>
        </is>
      </c>
      <c r="W45" s="2" t="inlineStr">
        <is>
          <t>NA</t>
        </is>
      </c>
      <c r="X45" s="397" t="n"/>
    </row>
    <row r="46" ht="25.25" customHeight="1">
      <c r="B46" s="3" t="n"/>
      <c r="D46" s="621" t="n">
        <v>40</v>
      </c>
      <c r="E46" s="622" t="n"/>
      <c r="F46" s="241" t="inlineStr">
        <is>
          <t>Stage 33: Tower Crane 1 SOG Infills</t>
        </is>
      </c>
      <c r="G46" s="242" t="n"/>
      <c r="H46" s="243" t="n"/>
      <c r="I46" s="243" t="inlineStr">
        <is>
          <t>X</t>
        </is>
      </c>
      <c r="J46" s="243" t="n"/>
      <c r="K46" s="243" t="n"/>
      <c r="L46" s="243" t="inlineStr">
        <is>
          <t>X</t>
        </is>
      </c>
      <c r="M46" s="243" t="inlineStr">
        <is>
          <t>X</t>
        </is>
      </c>
      <c r="N46" s="243" t="inlineStr">
        <is>
          <t>X</t>
        </is>
      </c>
      <c r="O46" s="243" t="inlineStr">
        <is>
          <t>X</t>
        </is>
      </c>
      <c r="P46" s="243" t="inlineStr">
        <is>
          <t>SGH</t>
        </is>
      </c>
      <c r="Q46" s="382" t="n"/>
      <c r="V46" s="397" t="n">
        <v>1</v>
      </c>
      <c r="W46" s="2" t="n">
        <v>1</v>
      </c>
      <c r="X46" s="397" t="n"/>
    </row>
    <row r="47" ht="25.25" customHeight="1">
      <c r="B47" s="3" t="n"/>
      <c r="D47" s="621" t="n">
        <v>41</v>
      </c>
      <c r="E47" s="622" t="n"/>
      <c r="F47" s="241" t="inlineStr">
        <is>
          <t>Not Used</t>
        </is>
      </c>
      <c r="G47" s="12" t="n"/>
      <c r="H47" s="245" t="n"/>
      <c r="I47" s="245" t="n"/>
      <c r="J47" s="245" t="n"/>
      <c r="K47" s="245" t="n"/>
      <c r="L47" s="245" t="n"/>
      <c r="M47" s="245" t="n"/>
      <c r="N47" s="243" t="n"/>
      <c r="O47" s="243" t="n"/>
      <c r="P47" s="243" t="n"/>
      <c r="Q47" s="271" t="inlineStr">
        <is>
          <t>NA</t>
        </is>
      </c>
      <c r="V47" s="397" t="inlineStr">
        <is>
          <t>NA</t>
        </is>
      </c>
      <c r="W47" s="2" t="inlineStr">
        <is>
          <t>NA</t>
        </is>
      </c>
      <c r="X47" s="394" t="n"/>
    </row>
    <row r="48" ht="25.25" customHeight="1">
      <c r="B48" s="3" t="n"/>
      <c r="D48" s="621" t="n">
        <v>42</v>
      </c>
      <c r="E48" s="622" t="n"/>
      <c r="F48" s="241" t="inlineStr">
        <is>
          <t>Not Used</t>
        </is>
      </c>
      <c r="G48" s="12" t="n"/>
      <c r="H48" s="245" t="n"/>
      <c r="I48" s="245" t="n"/>
      <c r="J48" s="245" t="n"/>
      <c r="K48" s="245" t="n"/>
      <c r="L48" s="245" t="n"/>
      <c r="M48" s="245" t="n"/>
      <c r="N48" s="243" t="n"/>
      <c r="O48" s="243" t="n"/>
      <c r="P48" s="243" t="n"/>
      <c r="Q48" s="271" t="inlineStr">
        <is>
          <t>NA</t>
        </is>
      </c>
      <c r="V48" s="397" t="inlineStr">
        <is>
          <t>NA</t>
        </is>
      </c>
      <c r="W48" s="2" t="inlineStr">
        <is>
          <t>NA</t>
        </is>
      </c>
      <c r="X48" s="397" t="n"/>
    </row>
    <row r="49" ht="25.25" customHeight="1">
      <c r="B49" s="3" t="n"/>
      <c r="D49" s="621" t="n">
        <v>43</v>
      </c>
      <c r="E49" s="622" t="n"/>
      <c r="F49" s="241" t="inlineStr">
        <is>
          <t>Stage 34: Temp Switchgear Conduit Grout</t>
        </is>
      </c>
      <c r="G49" s="242" t="n"/>
      <c r="H49" s="243" t="inlineStr">
        <is>
          <t>X</t>
        </is>
      </c>
      <c r="I49" s="243" t="n"/>
      <c r="J49" s="243" t="n"/>
      <c r="K49" s="243" t="inlineStr">
        <is>
          <t>X</t>
        </is>
      </c>
      <c r="L49" s="243" t="inlineStr">
        <is>
          <t>X</t>
        </is>
      </c>
      <c r="M49" s="243" t="inlineStr">
        <is>
          <t>X</t>
        </is>
      </c>
      <c r="N49" s="243" t="n"/>
      <c r="O49" s="243" t="n"/>
      <c r="P49" s="243" t="n"/>
      <c r="Q49" s="382" t="n"/>
      <c r="V49" s="394" t="n">
        <v>1</v>
      </c>
      <c r="W49" s="2" t="n">
        <v>1</v>
      </c>
      <c r="X49" s="394" t="n"/>
    </row>
    <row r="50" hidden="1" ht="25.25" customHeight="1">
      <c r="B50" s="3" t="n"/>
      <c r="D50" s="621" t="n"/>
      <c r="E50" s="622" t="n"/>
      <c r="F50" s="241" t="n"/>
      <c r="G50" s="242" t="n"/>
      <c r="H50" s="243" t="n"/>
      <c r="I50" s="243" t="n"/>
      <c r="J50" s="243" t="n"/>
      <c r="K50" s="243" t="n"/>
      <c r="L50" s="243" t="n"/>
      <c r="M50" s="243" t="n"/>
      <c r="N50" s="243" t="n"/>
      <c r="O50" s="243" t="n"/>
      <c r="P50" s="243" t="n"/>
      <c r="Q50" s="271" t="n"/>
      <c r="V50" s="394" t="inlineStr">
        <is>
          <t>N</t>
        </is>
      </c>
      <c r="X50" s="394" t="n"/>
    </row>
    <row r="51" hidden="1" ht="25.25" customHeight="1">
      <c r="B51" s="3" t="n"/>
      <c r="D51" s="621" t="n"/>
      <c r="E51" s="622" t="n"/>
      <c r="F51" s="241" t="n"/>
      <c r="G51" s="242" t="n"/>
      <c r="H51" s="243" t="n"/>
      <c r="I51" s="243" t="n"/>
      <c r="J51" s="243" t="n"/>
      <c r="K51" s="243" t="n"/>
      <c r="L51" s="243" t="n"/>
      <c r="M51" s="243" t="n"/>
      <c r="N51" s="243" t="n"/>
      <c r="O51" s="243" t="n"/>
      <c r="P51" s="243" t="n"/>
      <c r="Q51" s="271" t="n"/>
      <c r="V51" s="394" t="inlineStr">
        <is>
          <t>N</t>
        </is>
      </c>
      <c r="X51" s="394" t="n"/>
    </row>
    <row r="52" hidden="1" ht="25.25" customHeight="1">
      <c r="B52" s="3" t="n"/>
      <c r="D52" s="621" t="n"/>
      <c r="E52" s="622" t="n"/>
      <c r="F52" s="241" t="n"/>
      <c r="G52" s="242" t="n"/>
      <c r="H52" s="243" t="n"/>
      <c r="I52" s="243" t="n"/>
      <c r="J52" s="243" t="n"/>
      <c r="K52" s="243" t="n"/>
      <c r="L52" s="243" t="n"/>
      <c r="M52" s="243" t="n"/>
      <c r="N52" s="243" t="n"/>
      <c r="O52" s="243" t="n"/>
      <c r="P52" s="243" t="n"/>
      <c r="Q52" s="271" t="n"/>
      <c r="V52" s="394" t="inlineStr">
        <is>
          <t>N</t>
        </is>
      </c>
      <c r="X52" s="394" t="n"/>
    </row>
    <row r="53" hidden="1" ht="25.25" customHeight="1">
      <c r="B53" s="3" t="n"/>
      <c r="D53" s="621" t="n"/>
      <c r="E53" s="622" t="n"/>
      <c r="F53" s="241" t="n"/>
      <c r="G53" s="242" t="n"/>
      <c r="H53" s="243" t="n"/>
      <c r="I53" s="243" t="n"/>
      <c r="J53" s="243" t="n"/>
      <c r="K53" s="243" t="n"/>
      <c r="L53" s="243" t="n"/>
      <c r="M53" s="243" t="n"/>
      <c r="N53" s="243" t="n"/>
      <c r="O53" s="243" t="n"/>
      <c r="P53" s="243" t="n"/>
      <c r="Q53" s="271" t="n"/>
      <c r="V53" s="394" t="inlineStr">
        <is>
          <t>N</t>
        </is>
      </c>
      <c r="X53" s="394" t="n"/>
    </row>
    <row r="54" hidden="1" ht="25.25" customHeight="1">
      <c r="B54" s="3" t="n"/>
      <c r="D54" s="621" t="n"/>
      <c r="E54" s="622" t="n"/>
      <c r="F54" s="241" t="n"/>
      <c r="G54" s="242" t="n"/>
      <c r="H54" s="243" t="n"/>
      <c r="I54" s="243" t="n"/>
      <c r="J54" s="243" t="n"/>
      <c r="K54" s="243" t="n"/>
      <c r="L54" s="243" t="n"/>
      <c r="M54" s="243" t="n"/>
      <c r="N54" s="243" t="n"/>
      <c r="O54" s="243" t="n"/>
      <c r="P54" s="243" t="n"/>
      <c r="Q54" s="271" t="n"/>
      <c r="V54" s="394" t="inlineStr">
        <is>
          <t>N</t>
        </is>
      </c>
      <c r="X54" s="394" t="n"/>
    </row>
    <row r="55" hidden="1" ht="25.25" customHeight="1">
      <c r="B55" s="3" t="n"/>
      <c r="D55" s="621" t="n"/>
      <c r="E55" s="622" t="n"/>
      <c r="F55" s="241" t="n"/>
      <c r="G55" s="242" t="n"/>
      <c r="H55" s="243" t="n"/>
      <c r="I55" s="243" t="n"/>
      <c r="J55" s="243" t="n"/>
      <c r="K55" s="243" t="n"/>
      <c r="L55" s="243" t="n"/>
      <c r="M55" s="243" t="n"/>
      <c r="N55" s="243" t="n"/>
      <c r="O55" s="243" t="n"/>
      <c r="P55" s="243" t="n"/>
      <c r="Q55" s="271" t="n"/>
      <c r="V55" s="394" t="inlineStr">
        <is>
          <t>N</t>
        </is>
      </c>
      <c r="X55" s="394" t="n"/>
    </row>
    <row r="56" hidden="1" ht="15" customHeight="1">
      <c r="B56" s="3" t="n"/>
      <c r="D56" s="621" t="n"/>
      <c r="E56" s="622" t="n"/>
      <c r="F56" s="241" t="n"/>
      <c r="G56" s="242" t="n"/>
      <c r="H56" s="243" t="n"/>
      <c r="I56" s="243" t="n"/>
      <c r="J56" s="243" t="n"/>
      <c r="K56" s="243" t="n"/>
      <c r="L56" s="243" t="n"/>
      <c r="M56" s="243" t="n"/>
      <c r="N56" s="243" t="n"/>
      <c r="O56" s="243" t="n"/>
      <c r="P56" s="243" t="n"/>
      <c r="Q56" s="271" t="n"/>
      <c r="V56" s="394" t="inlineStr">
        <is>
          <t>N</t>
        </is>
      </c>
      <c r="X56" s="394" t="n"/>
    </row>
    <row r="57" hidden="1" ht="15" customHeight="1">
      <c r="B57" s="3" t="n"/>
      <c r="D57" s="621" t="n"/>
      <c r="E57" s="622" t="n"/>
      <c r="F57" s="241" t="n"/>
      <c r="G57" s="242" t="n"/>
      <c r="H57" s="243" t="n"/>
      <c r="I57" s="243" t="n"/>
      <c r="J57" s="243" t="n"/>
      <c r="K57" s="243" t="n"/>
      <c r="L57" s="243" t="n"/>
      <c r="M57" s="243" t="n"/>
      <c r="N57" s="243" t="n"/>
      <c r="O57" s="243" t="n"/>
      <c r="P57" s="243" t="n"/>
      <c r="Q57" s="271" t="n"/>
      <c r="V57" s="394" t="inlineStr">
        <is>
          <t>N</t>
        </is>
      </c>
      <c r="X57" s="394" t="n"/>
    </row>
    <row r="58" hidden="1" ht="15" customHeight="1">
      <c r="B58" s="3" t="n"/>
      <c r="D58" s="621" t="n"/>
      <c r="E58" s="622" t="n"/>
      <c r="F58" s="241" t="n"/>
      <c r="G58" s="242" t="n"/>
      <c r="H58" s="243" t="n"/>
      <c r="I58" s="243" t="n"/>
      <c r="J58" s="243" t="n"/>
      <c r="K58" s="243" t="n"/>
      <c r="L58" s="243" t="n"/>
      <c r="M58" s="243" t="n"/>
      <c r="N58" s="243" t="n"/>
      <c r="O58" s="243" t="n"/>
      <c r="P58" s="243" t="n"/>
      <c r="Q58" s="271" t="n"/>
      <c r="V58" s="394" t="inlineStr">
        <is>
          <t>N</t>
        </is>
      </c>
      <c r="X58" s="394" t="n"/>
    </row>
    <row r="59" hidden="1" ht="15" customHeight="1">
      <c r="B59" s="3" t="n"/>
      <c r="D59" s="621" t="n"/>
      <c r="E59" s="622" t="n"/>
      <c r="F59" s="241" t="n"/>
      <c r="G59" s="242" t="n"/>
      <c r="H59" s="243" t="n"/>
      <c r="I59" s="243" t="n"/>
      <c r="J59" s="243" t="n"/>
      <c r="K59" s="243" t="n"/>
      <c r="L59" s="243" t="n"/>
      <c r="M59" s="243" t="n"/>
      <c r="N59" s="243" t="n"/>
      <c r="O59" s="243" t="n"/>
      <c r="P59" s="243" t="n"/>
      <c r="Q59" s="271" t="n"/>
      <c r="V59" s="394" t="inlineStr">
        <is>
          <t>N</t>
        </is>
      </c>
      <c r="X59" s="394" t="n"/>
    </row>
    <row r="60" hidden="1" ht="25.25" customHeight="1">
      <c r="D60" s="621" t="n"/>
      <c r="E60" s="622" t="n"/>
      <c r="F60" s="241" t="n"/>
      <c r="G60" s="12" t="n"/>
      <c r="H60" s="243" t="n"/>
      <c r="I60" s="243" t="n"/>
      <c r="J60" s="243" t="n"/>
      <c r="K60" s="243" t="n"/>
      <c r="L60" s="243" t="n"/>
      <c r="M60" s="243" t="n"/>
      <c r="N60" s="243" t="n"/>
      <c r="O60" s="243" t="n"/>
      <c r="P60" s="245" t="n"/>
      <c r="Q60" s="220" t="n"/>
      <c r="V60" s="394" t="inlineStr">
        <is>
          <t>N</t>
        </is>
      </c>
      <c r="X60" s="394" t="n"/>
    </row>
    <row r="61" hidden="1" ht="25.25" customHeight="1">
      <c r="D61" s="621" t="n"/>
      <c r="E61" s="622" t="n"/>
      <c r="F61" s="241" t="n"/>
      <c r="G61" s="246" t="n"/>
      <c r="H61" s="243" t="n"/>
      <c r="I61" s="243" t="n"/>
      <c r="J61" s="243" t="n"/>
      <c r="K61" s="243" t="n"/>
      <c r="L61" s="243" t="n"/>
      <c r="M61" s="243" t="n"/>
      <c r="N61" s="243" t="n"/>
      <c r="O61" s="243" t="n"/>
      <c r="P61" s="247" t="n"/>
      <c r="Q61" s="220" t="n"/>
      <c r="V61" s="394" t="inlineStr">
        <is>
          <t>N</t>
        </is>
      </c>
      <c r="X61" s="394" t="n"/>
    </row>
    <row r="62" hidden="1" ht="25.25" customHeight="1">
      <c r="D62" s="621" t="n"/>
      <c r="E62" s="622" t="n"/>
      <c r="F62" s="241" t="n"/>
      <c r="G62" s="246" t="n"/>
      <c r="H62" s="243" t="n"/>
      <c r="I62" s="243" t="n"/>
      <c r="J62" s="243" t="n"/>
      <c r="K62" s="243" t="n"/>
      <c r="L62" s="243" t="n"/>
      <c r="M62" s="243" t="n"/>
      <c r="N62" s="243" t="n"/>
      <c r="O62" s="243" t="n"/>
      <c r="P62" s="247" t="n"/>
      <c r="Q62" s="220" t="n"/>
      <c r="V62" s="394" t="inlineStr">
        <is>
          <t>N</t>
        </is>
      </c>
      <c r="X62" s="394" t="n"/>
    </row>
    <row r="63" hidden="1" ht="25.25" customHeight="1">
      <c r="D63" s="621" t="n"/>
      <c r="E63" s="622" t="n"/>
      <c r="F63" s="241" t="n"/>
      <c r="G63" s="246" t="n"/>
      <c r="H63" s="243" t="n"/>
      <c r="I63" s="243" t="n"/>
      <c r="J63" s="243" t="n"/>
      <c r="K63" s="243" t="n"/>
      <c r="L63" s="243" t="n"/>
      <c r="M63" s="243" t="n"/>
      <c r="N63" s="243" t="n"/>
      <c r="O63" s="243" t="n"/>
      <c r="P63" s="247" t="n"/>
      <c r="Q63" s="220" t="n"/>
      <c r="V63" s="394" t="inlineStr">
        <is>
          <t>N</t>
        </is>
      </c>
      <c r="X63" s="394" t="n"/>
    </row>
    <row r="64" hidden="1" ht="25.25" customHeight="1">
      <c r="D64" s="621" t="n"/>
      <c r="E64" s="622" t="n"/>
      <c r="F64" s="241" t="n"/>
      <c r="G64" s="246" t="n"/>
      <c r="H64" s="243" t="n"/>
      <c r="I64" s="243" t="n"/>
      <c r="J64" s="243" t="n"/>
      <c r="K64" s="243" t="n"/>
      <c r="L64" s="243" t="n"/>
      <c r="M64" s="243" t="n"/>
      <c r="N64" s="243" t="n"/>
      <c r="O64" s="243" t="n"/>
      <c r="P64" s="247" t="n"/>
      <c r="Q64" s="220" t="n"/>
      <c r="V64" s="394" t="inlineStr">
        <is>
          <t>N</t>
        </is>
      </c>
      <c r="X64" s="394" t="n"/>
    </row>
    <row r="65" hidden="1" ht="25.25" customHeight="1">
      <c r="D65" s="621" t="n"/>
      <c r="E65" s="622" t="n"/>
      <c r="F65" s="241" t="n"/>
      <c r="G65" s="246" t="n"/>
      <c r="H65" s="243" t="n"/>
      <c r="I65" s="243" t="n"/>
      <c r="J65" s="243" t="n"/>
      <c r="K65" s="243" t="n"/>
      <c r="L65" s="243" t="n"/>
      <c r="M65" s="243" t="n"/>
      <c r="N65" s="243" t="n"/>
      <c r="O65" s="243" t="n"/>
      <c r="P65" s="247" t="n"/>
      <c r="Q65" s="220" t="n"/>
      <c r="V65" s="394" t="inlineStr">
        <is>
          <t>N</t>
        </is>
      </c>
      <c r="X65" s="394" t="n"/>
    </row>
    <row r="66" hidden="1" ht="25.25" customHeight="1">
      <c r="D66" s="621" t="n"/>
      <c r="E66" s="622" t="n"/>
      <c r="F66" s="241" t="n"/>
      <c r="G66" s="246" t="n"/>
      <c r="H66" s="243" t="n"/>
      <c r="I66" s="243" t="n"/>
      <c r="J66" s="243" t="n"/>
      <c r="K66" s="243" t="n"/>
      <c r="L66" s="243" t="n"/>
      <c r="M66" s="243" t="n"/>
      <c r="N66" s="243" t="n"/>
      <c r="O66" s="243" t="n"/>
      <c r="P66" s="247" t="n"/>
      <c r="Q66" s="220" t="n"/>
      <c r="V66" s="394" t="inlineStr">
        <is>
          <t>N</t>
        </is>
      </c>
      <c r="X66" s="394" t="n"/>
    </row>
    <row r="67" hidden="1" ht="25.25" customHeight="1">
      <c r="D67" s="621" t="n"/>
      <c r="E67" s="622" t="n"/>
      <c r="F67" s="241" t="n"/>
      <c r="G67" s="246" t="n"/>
      <c r="H67" s="243" t="n"/>
      <c r="I67" s="243" t="n"/>
      <c r="J67" s="243" t="n"/>
      <c r="K67" s="243" t="n"/>
      <c r="L67" s="243" t="n"/>
      <c r="M67" s="243" t="n"/>
      <c r="N67" s="243" t="n"/>
      <c r="O67" s="243" t="n"/>
      <c r="P67" s="247" t="n"/>
      <c r="Q67" s="220" t="n"/>
      <c r="V67" s="394" t="inlineStr">
        <is>
          <t>N</t>
        </is>
      </c>
      <c r="X67" s="394" t="n"/>
    </row>
    <row r="68" hidden="1" ht="25.25" customHeight="1">
      <c r="D68" s="621" t="n"/>
      <c r="E68" s="622" t="n"/>
      <c r="F68" s="241" t="n"/>
      <c r="G68" s="246" t="n"/>
      <c r="H68" s="243" t="n"/>
      <c r="I68" s="243" t="n"/>
      <c r="J68" s="243" t="n"/>
      <c r="K68" s="243" t="n"/>
      <c r="L68" s="243" t="n"/>
      <c r="M68" s="243" t="n"/>
      <c r="N68" s="243" t="n"/>
      <c r="O68" s="243" t="n"/>
      <c r="P68" s="247" t="n"/>
      <c r="Q68" s="220" t="n"/>
      <c r="V68" s="394" t="inlineStr">
        <is>
          <t>N</t>
        </is>
      </c>
      <c r="X68" s="394" t="n"/>
    </row>
    <row r="69" hidden="1" ht="25.25" customHeight="1">
      <c r="D69" s="621" t="n"/>
      <c r="E69" s="622" t="n"/>
      <c r="F69" s="241" t="n"/>
      <c r="G69" s="246" t="n"/>
      <c r="H69" s="243" t="n"/>
      <c r="I69" s="243" t="n"/>
      <c r="J69" s="243" t="n"/>
      <c r="K69" s="243" t="n"/>
      <c r="L69" s="243" t="n"/>
      <c r="M69" s="243" t="n"/>
      <c r="N69" s="243" t="n"/>
      <c r="O69" s="243" t="n"/>
      <c r="P69" s="247" t="n"/>
      <c r="Q69" s="220" t="n"/>
      <c r="V69" s="394" t="inlineStr">
        <is>
          <t>N</t>
        </is>
      </c>
      <c r="X69" s="394" t="n"/>
    </row>
    <row r="70" hidden="1" ht="25.25" customHeight="1">
      <c r="D70" s="621" t="n"/>
      <c r="E70" s="622" t="n"/>
      <c r="F70" s="241" t="n"/>
      <c r="G70" s="246" t="n"/>
      <c r="H70" s="243" t="n"/>
      <c r="I70" s="243" t="n"/>
      <c r="J70" s="243" t="n"/>
      <c r="K70" s="243" t="n"/>
      <c r="L70" s="243" t="n"/>
      <c r="M70" s="243" t="n"/>
      <c r="N70" s="243" t="n"/>
      <c r="O70" s="243" t="n"/>
      <c r="P70" s="247" t="n"/>
      <c r="Q70" s="220" t="n"/>
      <c r="V70" s="394" t="inlineStr">
        <is>
          <t>N</t>
        </is>
      </c>
      <c r="X70" s="394" t="n"/>
    </row>
    <row r="71" hidden="1" ht="25.25" customHeight="1">
      <c r="D71" s="621" t="n"/>
      <c r="E71" s="622" t="n"/>
      <c r="F71" s="241" t="n"/>
      <c r="G71" s="246" t="n"/>
      <c r="H71" s="243" t="n"/>
      <c r="I71" s="243" t="n"/>
      <c r="J71" s="243" t="n"/>
      <c r="K71" s="243" t="n"/>
      <c r="L71" s="243" t="n"/>
      <c r="M71" s="243" t="n"/>
      <c r="N71" s="243" t="n"/>
      <c r="O71" s="243" t="n"/>
      <c r="P71" s="247" t="n"/>
      <c r="Q71" s="220" t="n"/>
      <c r="V71" s="394" t="inlineStr">
        <is>
          <t>N</t>
        </is>
      </c>
      <c r="X71" s="394" t="n"/>
    </row>
    <row r="72" hidden="1" ht="25.25" customHeight="1">
      <c r="D72" s="621" t="n"/>
      <c r="E72" s="622" t="n"/>
      <c r="F72" s="241" t="n"/>
      <c r="G72" s="246" t="n"/>
      <c r="H72" s="243" t="n"/>
      <c r="I72" s="243" t="n"/>
      <c r="J72" s="243" t="n"/>
      <c r="K72" s="243" t="n"/>
      <c r="L72" s="243" t="n"/>
      <c r="M72" s="243" t="n"/>
      <c r="N72" s="243" t="n"/>
      <c r="O72" s="243" t="n"/>
      <c r="P72" s="247" t="n"/>
      <c r="Q72" s="220" t="n"/>
      <c r="V72" s="394" t="inlineStr">
        <is>
          <t>N</t>
        </is>
      </c>
      <c r="X72" s="394" t="n"/>
    </row>
    <row r="73" hidden="1" ht="25.25" customHeight="1">
      <c r="D73" s="621" t="n"/>
      <c r="E73" s="622" t="n"/>
      <c r="F73" s="241" t="n"/>
      <c r="G73" s="246" t="n"/>
      <c r="H73" s="243" t="n"/>
      <c r="I73" s="243" t="n"/>
      <c r="J73" s="243" t="n"/>
      <c r="K73" s="243" t="n"/>
      <c r="L73" s="243" t="n"/>
      <c r="M73" s="243" t="n"/>
      <c r="N73" s="243" t="n"/>
      <c r="O73" s="243" t="n"/>
      <c r="P73" s="247" t="n"/>
      <c r="Q73" s="220" t="n"/>
      <c r="V73" s="394" t="inlineStr">
        <is>
          <t>N</t>
        </is>
      </c>
      <c r="X73" s="394" t="n"/>
    </row>
    <row r="74" hidden="1" ht="25.25" customHeight="1">
      <c r="D74" s="621" t="n"/>
      <c r="E74" s="622" t="n"/>
      <c r="F74" s="241" t="n"/>
      <c r="G74" s="246" t="n"/>
      <c r="H74" s="243" t="n"/>
      <c r="I74" s="243" t="n"/>
      <c r="J74" s="243" t="n"/>
      <c r="K74" s="243" t="n"/>
      <c r="L74" s="243" t="n"/>
      <c r="M74" s="243" t="n"/>
      <c r="N74" s="243" t="n"/>
      <c r="O74" s="243" t="n"/>
      <c r="P74" s="247" t="n"/>
      <c r="Q74" s="220" t="n"/>
      <c r="V74" s="394" t="inlineStr">
        <is>
          <t>N</t>
        </is>
      </c>
      <c r="X74" s="394" t="n"/>
    </row>
    <row r="75" hidden="1" ht="25.25" customHeight="1">
      <c r="D75" s="621" t="n"/>
      <c r="E75" s="622" t="n"/>
      <c r="F75" s="241" t="n"/>
      <c r="G75" s="246" t="n"/>
      <c r="H75" s="243" t="n"/>
      <c r="I75" s="243" t="n"/>
      <c r="J75" s="243" t="n"/>
      <c r="K75" s="243" t="n"/>
      <c r="L75" s="243" t="n"/>
      <c r="M75" s="243" t="n"/>
      <c r="N75" s="243" t="n"/>
      <c r="O75" s="243" t="n"/>
      <c r="P75" s="247" t="n"/>
      <c r="Q75" s="220" t="n"/>
      <c r="V75" s="394" t="inlineStr">
        <is>
          <t>N</t>
        </is>
      </c>
      <c r="X75" s="394" t="n"/>
    </row>
    <row r="76" hidden="1" ht="25.25" customHeight="1">
      <c r="D76" s="621" t="n"/>
      <c r="E76" s="622" t="n"/>
      <c r="F76" s="241" t="n"/>
      <c r="G76" s="246" t="n"/>
      <c r="H76" s="243" t="n"/>
      <c r="I76" s="243" t="n"/>
      <c r="J76" s="243" t="n"/>
      <c r="K76" s="243" t="n"/>
      <c r="L76" s="243" t="n"/>
      <c r="M76" s="243" t="n"/>
      <c r="N76" s="243" t="n"/>
      <c r="O76" s="243" t="n"/>
      <c r="P76" s="247" t="n"/>
      <c r="Q76" s="220" t="n"/>
      <c r="V76" s="394" t="inlineStr">
        <is>
          <t>N</t>
        </is>
      </c>
      <c r="X76" s="394" t="n"/>
    </row>
    <row r="77" hidden="1" ht="25.25" customHeight="1">
      <c r="D77" s="621" t="n"/>
      <c r="E77" s="622" t="n"/>
      <c r="F77" s="241" t="n"/>
      <c r="G77" s="246" t="n"/>
      <c r="H77" s="243" t="n"/>
      <c r="I77" s="243" t="n"/>
      <c r="J77" s="243" t="n"/>
      <c r="K77" s="243" t="n"/>
      <c r="L77" s="243" t="n"/>
      <c r="M77" s="243" t="n"/>
      <c r="N77" s="243" t="n"/>
      <c r="O77" s="243" t="n"/>
      <c r="P77" s="247" t="n"/>
      <c r="Q77" s="220" t="n"/>
      <c r="V77" s="394" t="inlineStr">
        <is>
          <t>N</t>
        </is>
      </c>
      <c r="X77" s="394" t="n"/>
    </row>
    <row r="78" hidden="1" ht="25.25" customHeight="1">
      <c r="D78" s="621" t="n"/>
      <c r="E78" s="622" t="n"/>
      <c r="F78" s="241" t="n"/>
      <c r="G78" s="246" t="n"/>
      <c r="H78" s="243" t="n"/>
      <c r="I78" s="243" t="n"/>
      <c r="J78" s="243" t="n"/>
      <c r="K78" s="243" t="n"/>
      <c r="L78" s="243" t="n"/>
      <c r="M78" s="243" t="n"/>
      <c r="N78" s="243" t="n"/>
      <c r="O78" s="243" t="n"/>
      <c r="P78" s="247" t="n"/>
      <c r="Q78" s="220" t="n"/>
      <c r="V78" s="394" t="inlineStr">
        <is>
          <t>N</t>
        </is>
      </c>
      <c r="X78" s="394" t="n"/>
    </row>
    <row r="79" hidden="1" ht="25.25" customHeight="1">
      <c r="D79" s="621" t="n"/>
      <c r="E79" s="622" t="n"/>
      <c r="F79" s="241" t="n"/>
      <c r="G79" s="246" t="n"/>
      <c r="H79" s="243" t="n"/>
      <c r="I79" s="243" t="n"/>
      <c r="J79" s="243" t="n"/>
      <c r="K79" s="243" t="n"/>
      <c r="L79" s="243" t="n"/>
      <c r="M79" s="243" t="n"/>
      <c r="N79" s="243" t="n"/>
      <c r="O79" s="243" t="n"/>
      <c r="P79" s="247" t="n"/>
      <c r="Q79" s="220" t="n"/>
      <c r="V79" s="394" t="inlineStr">
        <is>
          <t>N</t>
        </is>
      </c>
      <c r="X79" s="394" t="n"/>
    </row>
    <row r="80" hidden="1" ht="25.25" customHeight="1">
      <c r="D80" s="621" t="n"/>
      <c r="E80" s="622" t="n"/>
      <c r="F80" s="241" t="n"/>
      <c r="G80" s="246" t="n"/>
      <c r="H80" s="243" t="n"/>
      <c r="I80" s="243" t="n"/>
      <c r="J80" s="243" t="n"/>
      <c r="K80" s="243" t="n"/>
      <c r="L80" s="243" t="n"/>
      <c r="M80" s="243" t="n"/>
      <c r="N80" s="243" t="n"/>
      <c r="O80" s="243" t="n"/>
      <c r="P80" s="247" t="n"/>
      <c r="Q80" s="220" t="n"/>
      <c r="V80" s="394" t="inlineStr">
        <is>
          <t>N</t>
        </is>
      </c>
      <c r="X80" s="394" t="n"/>
    </row>
    <row r="81" hidden="1" ht="25.25" customHeight="1">
      <c r="D81" s="621" t="n"/>
      <c r="E81" s="622" t="n"/>
      <c r="F81" s="241" t="n"/>
      <c r="G81" s="12" t="n"/>
      <c r="H81" s="243" t="n"/>
      <c r="I81" s="243" t="n"/>
      <c r="J81" s="243" t="n"/>
      <c r="K81" s="243" t="n"/>
      <c r="L81" s="243" t="n"/>
      <c r="M81" s="243" t="n"/>
      <c r="N81" s="243" t="n"/>
      <c r="O81" s="243" t="n"/>
      <c r="P81" s="245" t="n"/>
      <c r="Q81" s="220" t="n"/>
      <c r="V81" s="394" t="inlineStr">
        <is>
          <t>N</t>
        </is>
      </c>
      <c r="X81" s="394" t="n"/>
    </row>
    <row r="82" hidden="1" ht="25.25" customHeight="1">
      <c r="D82" s="621" t="n"/>
      <c r="E82" s="622" t="n"/>
      <c r="F82" s="241" t="n"/>
      <c r="G82" s="12" t="n"/>
      <c r="H82" s="243" t="n"/>
      <c r="I82" s="243" t="n"/>
      <c r="J82" s="243" t="n"/>
      <c r="K82" s="243" t="n"/>
      <c r="L82" s="243" t="n"/>
      <c r="M82" s="243" t="n"/>
      <c r="N82" s="243" t="n"/>
      <c r="O82" s="243" t="n"/>
      <c r="P82" s="245" t="n"/>
      <c r="Q82" s="220" t="n"/>
      <c r="V82" s="394" t="inlineStr">
        <is>
          <t>N</t>
        </is>
      </c>
      <c r="X82" s="394" t="n"/>
    </row>
    <row r="83" hidden="1" ht="25.25" customHeight="1">
      <c r="D83" s="810" t="n"/>
      <c r="E83" s="811" t="n"/>
      <c r="F83" s="241" t="n"/>
      <c r="G83" s="246" t="n"/>
      <c r="H83" s="243" t="n"/>
      <c r="I83" s="243" t="n"/>
      <c r="J83" s="243" t="n"/>
      <c r="K83" s="243" t="n"/>
      <c r="L83" s="243" t="n"/>
      <c r="M83" s="243" t="n"/>
      <c r="N83" s="243" t="n"/>
      <c r="O83" s="243" t="n"/>
      <c r="P83" s="247" t="n"/>
      <c r="Q83" s="220" t="n"/>
      <c r="V83" s="394" t="inlineStr">
        <is>
          <t>N</t>
        </is>
      </c>
      <c r="X83" s="394" t="n"/>
    </row>
    <row r="84" hidden="1" ht="24.75" customHeight="1">
      <c r="D84" s="621" t="n"/>
      <c r="E84" s="622" t="n"/>
      <c r="F84" s="241" t="n"/>
      <c r="N84" s="245" t="n"/>
      <c r="O84" s="245" t="n"/>
      <c r="P84" s="245" t="n"/>
      <c r="Q84" s="220" t="n"/>
      <c r="V84" s="394" t="inlineStr">
        <is>
          <t>N</t>
        </is>
      </c>
      <c r="X84" s="394" t="n"/>
    </row>
    <row r="85" hidden="1" ht="24.75" customHeight="1" thickBot="1">
      <c r="D85" s="623" t="n"/>
      <c r="E85" s="624" t="n"/>
      <c r="F85" s="241" t="n"/>
      <c r="G85" s="250" t="n"/>
      <c r="H85" s="251" t="n"/>
      <c r="I85" s="251" t="n"/>
      <c r="J85" s="251" t="n"/>
      <c r="K85" s="251" t="n"/>
      <c r="L85" s="251" t="n"/>
      <c r="M85" s="252" t="n"/>
      <c r="N85" s="245" t="n"/>
      <c r="O85" s="245" t="n"/>
      <c r="P85" s="245" t="n"/>
      <c r="Q85" s="220" t="n"/>
      <c r="V85" s="394" t="inlineStr">
        <is>
          <t>N</t>
        </is>
      </c>
      <c r="X85" s="394" t="n"/>
    </row>
    <row r="86" ht="36" customHeight="1">
      <c r="D86" s="810" t="n">
        <v>44</v>
      </c>
      <c r="E86" s="811" t="n"/>
      <c r="F86" s="241" t="inlineStr">
        <is>
          <t>Substantial Compliance
(Remodel, Renovations, Maintenance projects, Equipment Replacement)</t>
        </is>
      </c>
      <c r="G86" s="12" t="inlineStr">
        <is>
          <t>X</t>
        </is>
      </c>
      <c r="H86" s="253" t="inlineStr">
        <is>
          <t>X</t>
        </is>
      </c>
      <c r="I86" s="253" t="inlineStr">
        <is>
          <t>X</t>
        </is>
      </c>
      <c r="J86" s="253" t="inlineStr">
        <is>
          <t>X</t>
        </is>
      </c>
      <c r="K86" s="253" t="inlineStr">
        <is>
          <t>X</t>
        </is>
      </c>
      <c r="L86" s="253" t="inlineStr">
        <is>
          <t>X</t>
        </is>
      </c>
      <c r="M86" s="253" t="inlineStr">
        <is>
          <t>X</t>
        </is>
      </c>
      <c r="N86" s="253" t="inlineStr">
        <is>
          <t>X</t>
        </is>
      </c>
      <c r="O86" s="253" t="inlineStr">
        <is>
          <t>X</t>
        </is>
      </c>
      <c r="P86" s="245" t="n"/>
      <c r="Q86" s="220" t="inlineStr">
        <is>
          <t>NA</t>
        </is>
      </c>
      <c r="T86" s="387" t="n"/>
      <c r="V86" s="397" t="inlineStr">
        <is>
          <t>NA</t>
        </is>
      </c>
      <c r="W86" s="2" t="inlineStr">
        <is>
          <t>NA</t>
        </is>
      </c>
      <c r="X86" s="397" t="n"/>
    </row>
    <row r="87" ht="36" customHeight="1">
      <c r="D87" s="810" t="n">
        <v>45</v>
      </c>
      <c r="E87" s="811" t="n"/>
      <c r="F87" s="241" t="inlineStr">
        <is>
          <t>NOT USED</t>
        </is>
      </c>
      <c r="G87" s="12" t="n"/>
      <c r="H87" s="253" t="n"/>
      <c r="I87" s="253" t="n"/>
      <c r="J87" s="253" t="n"/>
      <c r="K87" s="253" t="n"/>
      <c r="L87" s="253" t="n"/>
      <c r="M87" s="253" t="n"/>
      <c r="N87" s="253" t="n"/>
      <c r="O87" s="253" t="n"/>
      <c r="P87" s="245" t="n"/>
      <c r="Q87" s="220" t="inlineStr">
        <is>
          <t>NA</t>
        </is>
      </c>
      <c r="V87" s="397" t="inlineStr">
        <is>
          <t>NA</t>
        </is>
      </c>
      <c r="W87" s="2" t="inlineStr">
        <is>
          <t>NA</t>
        </is>
      </c>
      <c r="X87" s="397" t="n"/>
    </row>
    <row r="88" ht="36" customHeight="1">
      <c r="D88" s="621" t="n">
        <v>46</v>
      </c>
      <c r="E88" s="622" t="n"/>
      <c r="F88" s="241" t="inlineStr">
        <is>
          <t>Stage 41: Column Base Plates</t>
        </is>
      </c>
      <c r="G88" s="12" t="n"/>
      <c r="H88" s="245" t="n"/>
      <c r="I88" s="245" t="inlineStr">
        <is>
          <t>X</t>
        </is>
      </c>
      <c r="J88" s="245" t="n"/>
      <c r="K88" s="245" t="n"/>
      <c r="L88" s="245" t="inlineStr">
        <is>
          <t>X</t>
        </is>
      </c>
      <c r="M88" s="245" t="inlineStr">
        <is>
          <t>X</t>
        </is>
      </c>
      <c r="N88" s="243" t="inlineStr">
        <is>
          <t>X</t>
        </is>
      </c>
      <c r="O88" s="243" t="inlineStr">
        <is>
          <t>X</t>
        </is>
      </c>
      <c r="P88" s="243" t="n"/>
      <c r="Q88" s="381" t="n"/>
      <c r="V88" s="394" t="n">
        <v>1</v>
      </c>
      <c r="W88" s="2" t="n">
        <v>1</v>
      </c>
      <c r="X88" s="394" t="n"/>
    </row>
    <row r="89" ht="36" customHeight="1" thickBot="1">
      <c r="D89" s="812" t="n">
        <v>47</v>
      </c>
      <c r="E89" s="813" t="n"/>
      <c r="F89" s="254" t="inlineStr">
        <is>
          <t>Stage 42: Construction Final</t>
        </is>
      </c>
      <c r="G89" s="255" t="inlineStr">
        <is>
          <t>X</t>
        </is>
      </c>
      <c r="H89" s="256" t="inlineStr">
        <is>
          <t>X</t>
        </is>
      </c>
      <c r="I89" s="256" t="inlineStr">
        <is>
          <t>X</t>
        </is>
      </c>
      <c r="J89" s="256" t="inlineStr">
        <is>
          <t>X</t>
        </is>
      </c>
      <c r="K89" s="256" t="inlineStr">
        <is>
          <t>X</t>
        </is>
      </c>
      <c r="L89" s="256" t="inlineStr">
        <is>
          <t>X</t>
        </is>
      </c>
      <c r="M89" s="256" t="inlineStr">
        <is>
          <t>X</t>
        </is>
      </c>
      <c r="N89" s="256" t="inlineStr">
        <is>
          <t>X</t>
        </is>
      </c>
      <c r="O89" s="256" t="inlineStr">
        <is>
          <t>X</t>
        </is>
      </c>
      <c r="P89" s="257" t="inlineStr">
        <is>
          <t>SGH</t>
        </is>
      </c>
      <c r="Q89" s="386" t="n"/>
      <c r="V89" s="395" t="n">
        <v>1</v>
      </c>
      <c r="W89" s="2" t="n">
        <v>1</v>
      </c>
      <c r="X89" s="395" t="n"/>
    </row>
    <row r="90" hidden="1" ht="36" customHeight="1" thickBot="1">
      <c r="D90" s="623" t="n"/>
      <c r="E90" s="624" t="n"/>
      <c r="F90" s="254" t="n"/>
      <c r="G90" s="255" t="n"/>
      <c r="H90" s="256" t="n"/>
      <c r="I90" s="256" t="n"/>
      <c r="J90" s="256" t="n"/>
      <c r="K90" s="256" t="n"/>
      <c r="L90" s="256" t="n"/>
      <c r="M90" s="256" t="n"/>
      <c r="N90" s="256" t="n"/>
      <c r="O90" s="256" t="n"/>
      <c r="P90" s="257" t="n"/>
      <c r="Q90" s="378" t="n"/>
    </row>
    <row r="91">
      <c r="D91" s="115" t="inlineStr">
        <is>
          <t>ABBREVIATIONS:</t>
        </is>
      </c>
      <c r="E91" s="13" t="n"/>
      <c r="F91" s="13" t="inlineStr">
        <is>
          <t>GEOR - Geotechnical Engineer of Record</t>
        </is>
      </c>
      <c r="H91" s="14" t="inlineStr">
        <is>
          <t>AOR - Architect of Record</t>
        </is>
      </c>
      <c r="I91" s="14" t="n"/>
      <c r="J91" s="14" t="n"/>
      <c r="K91" s="14" t="n"/>
      <c r="M91" s="13" t="inlineStr">
        <is>
          <t>SEOR - Structural Engineer of Record</t>
        </is>
      </c>
      <c r="N91" s="13" t="n"/>
      <c r="O91" s="13" t="n"/>
      <c r="P91" s="13" t="n"/>
      <c r="Q91" s="383" t="n"/>
    </row>
    <row r="92">
      <c r="D92" s="79" t="n"/>
      <c r="E92" s="14" t="n"/>
      <c r="F92" s="14" t="inlineStr">
        <is>
          <t>MEOR - Mechanical Engineer of Record</t>
        </is>
      </c>
      <c r="H92" s="13" t="inlineStr">
        <is>
          <t>EEOR - Electrical Engineer of Record</t>
        </is>
      </c>
      <c r="I92" s="13" t="n"/>
      <c r="J92" s="13" t="n"/>
      <c r="K92" s="13" t="n"/>
      <c r="M92" s="13" t="inlineStr">
        <is>
          <t>CONT O/B - Contractor or Owner/Builder</t>
        </is>
      </c>
      <c r="N92" s="13" t="n"/>
      <c r="O92" s="13" t="n"/>
      <c r="P92" s="13" t="n"/>
      <c r="Q92" s="383" t="n"/>
      <c r="R92" s="13" t="n"/>
      <c r="V92" s="385">
        <f>SUM(V7:V89)</f>
        <v/>
      </c>
    </row>
    <row r="93" ht="16" customHeight="1" thickBot="1">
      <c r="D93" s="122" t="n"/>
      <c r="E93" s="120" t="n"/>
      <c r="F93" s="120" t="inlineStr">
        <is>
          <t>SP. INSP - Special Inspector</t>
        </is>
      </c>
      <c r="G93" s="123" t="n"/>
      <c r="H93" s="121" t="inlineStr">
        <is>
          <t>IOR - Inspector of Record</t>
        </is>
      </c>
      <c r="I93" s="121" t="n"/>
      <c r="J93" s="121" t="n"/>
      <c r="K93" s="121" t="n"/>
      <c r="L93" s="123" t="n"/>
      <c r="M93" s="121" t="inlineStr">
        <is>
          <t>Test Lab – Engr. For the approved agency</t>
        </is>
      </c>
      <c r="N93" s="121" t="n"/>
      <c r="O93" s="121" t="n"/>
      <c r="P93" s="121" t="n"/>
      <c r="Q93" s="384" t="n"/>
    </row>
    <row r="94">
      <c r="D94" s="14" t="n"/>
      <c r="G94" s="13" t="n"/>
      <c r="L94" s="13" t="n"/>
    </row>
    <row r="99" ht="41.25" customHeight="1"/>
  </sheetData>
  <sheetProtection selectLockedCells="0" selectUnlockedCells="0" algorithmName="SHA-512" sheet="1" objects="1" insertRows="0" insertHyperlinks="1" autoFilter="1" scenarios="0" formatColumns="0" deleteColumns="1" insertColumns="1" pivotTables="1" deleteRows="0" formatCells="0" saltValue="b1oYXv5KlTlFdHVwDOzPuA==" formatRows="0" sort="1" spinCount="100000" hashValue="AyeYOe5NyufiuOldYL93qISMCwCS2Xb/6qK5W/f7ylL/WvN08DMGuBd/4kaJuEVe3+43qZ1CiSaXJiUUUaU5sw=="/>
  <mergeCells count="25">
    <mergeCell ref="G5:P5"/>
    <mergeCell ref="D4:P4"/>
    <mergeCell ref="E3:L3"/>
    <mergeCell ref="D10:E10"/>
    <mergeCell ref="M2:Q2"/>
    <mergeCell ref="D86:E86"/>
    <mergeCell ref="D13:E13"/>
    <mergeCell ref="D11:E11"/>
    <mergeCell ref="D17:E17"/>
    <mergeCell ref="D16:E16"/>
    <mergeCell ref="D87:E87"/>
    <mergeCell ref="D7:E7"/>
    <mergeCell ref="E2:L2"/>
    <mergeCell ref="M3:Q3"/>
    <mergeCell ref="D9:E9"/>
    <mergeCell ref="D1:F1"/>
    <mergeCell ref="D12:E12"/>
    <mergeCell ref="D83:E83"/>
    <mergeCell ref="D8:E8"/>
    <mergeCell ref="Q4:Q6"/>
    <mergeCell ref="D15:E15"/>
    <mergeCell ref="D5:E5"/>
    <mergeCell ref="G1:Q1"/>
    <mergeCell ref="D89:E89"/>
    <mergeCell ref="D14:E14"/>
  </mergeCells>
  <printOptions horizontalCentered="1"/>
  <pageMargins left="0.3" right="0.3" top="1.7" bottom="0.5" header="0" footer="0"/>
  <pageSetup orientation="portrait" scale="84" fitToHeight="0" useFirstPageNumber="1"/>
  <headerFooter>
    <oddHeader>&amp;C&amp;"-,Regular"&amp;15 &amp;G_x000a_Testing, Inspection, and Observation Program_x000a_2019 California Building Standards Code - OSHPD 1</oddHeader>
    <oddFooter>&amp;CSTATE OF CALIFORNIA - HEALTH AND HUMAN SERVICES AGENCY&amp;RS-F&amp;P&amp;LOSH-FD-303A (R04.26)</oddFooter>
    <evenHeader/>
    <evenFooter/>
    <firstHeader/>
    <firstFooter/>
  </headerFooter>
  <legacyDrawing xmlns:r="http://schemas.openxmlformats.org/officeDocument/2006/relationships" r:id="anysvml"/>
</worksheet>
</file>

<file path=xl/worksheets/sheet8.xml><?xml version="1.0" encoding="utf-8"?>
<worksheet xmlns="http://schemas.openxmlformats.org/spreadsheetml/2006/main">
  <sheetPr codeName="Sheet8">
    <tabColor theme="4" tint="-0.249977111117893"/>
    <outlinePr summaryBelow="1" summaryRight="1"/>
    <pageSetUpPr/>
  </sheetPr>
  <dimension ref="B1:G25"/>
  <sheetViews>
    <sheetView tabSelected="1" view="pageBreakPreview" zoomScaleNormal="100" zoomScaleSheetLayoutView="100" workbookViewId="0">
      <pane ySplit="5" topLeftCell="A6" activePane="bottomLeft" state="frozen"/>
      <selection activeCell="G54" sqref="G54:L54"/>
      <selection pane="bottomLeft" activeCell="G54" sqref="G54:L54"/>
    </sheetView>
  </sheetViews>
  <sheetFormatPr baseColWidth="10" defaultColWidth="9" defaultRowHeight="15"/>
  <cols>
    <col width="3.6640625" customWidth="1" style="2" min="1" max="1"/>
    <col width="3" customWidth="1" style="2" min="2" max="2"/>
    <col width="1.6640625" customWidth="1" style="2" min="3" max="3"/>
    <col width="34.83203125" customWidth="1" style="2" min="4" max="4"/>
    <col width="42" customWidth="1" style="2" min="5" max="5"/>
    <col width="20.83203125" customWidth="1" style="2" min="6" max="6"/>
    <col width="13.33203125" customWidth="1" style="2" min="7" max="7"/>
    <col width="21.6640625" customWidth="1" style="2" min="8" max="8"/>
    <col width="9" customWidth="1" style="2" min="9" max="16384"/>
  </cols>
  <sheetData>
    <row r="1" ht="35.5" customHeight="1" thickBot="1">
      <c r="D1" s="16" t="inlineStr">
        <is>
          <t>SECTION G</t>
        </is>
      </c>
      <c r="E1" s="814" t="inlineStr">
        <is>
          <t>Inspector of Record (IOR) Responsibility</t>
        </is>
      </c>
      <c r="F1" s="158" t="n"/>
      <c r="G1" s="159" t="n"/>
    </row>
    <row r="2" ht="11.25" customHeight="1">
      <c r="D2" s="58" t="inlineStr">
        <is>
          <t>Facility #:</t>
        </is>
      </c>
      <c r="E2" s="35" t="inlineStr">
        <is>
          <t>Facility Name:</t>
        </is>
      </c>
      <c r="F2" s="56" t="inlineStr">
        <is>
          <t>Project #:</t>
        </is>
      </c>
      <c r="G2" s="760" t="n"/>
    </row>
    <row r="3" ht="25.25" customHeight="1" thickBot="1">
      <c r="D3" s="539">
        <f>IF('A-Project Info'!D12="","",'A-Project Info'!D12)</f>
        <v/>
      </c>
      <c r="E3" s="68">
        <f>IF('A-Project Info'!F12="","",'A-Project Info'!F12)</f>
        <v/>
      </c>
      <c r="F3" s="803">
        <f>IF('A-Project Info'!I12="","",'A-Project Info'!I12)</f>
        <v/>
      </c>
      <c r="G3" s="797" t="n"/>
    </row>
    <row r="4" ht="108" customHeight="1" thickBot="1">
      <c r="D4" s="804" t="inlineStr">
        <is>
          <t>INSPECTOR OF RECORD RESPONSIBILITIES. Per CAC 7-145: “The Inspector shall have personal knowledge, obtained by continuous inspection of all work of construction in all stages of its progress to ensure that the work is in accordance with the approved construction documents.” This includes applicable Codes, Referenced Standards, Listings and Manufacturer’s Installation Instructions applicable to the work shown in the approved construction documents. If a project has more than one inspector of record, the distribution of responsibilities for the work shall be clearly identified for each IOR per CAC 7-141(f). One IOR shall be designated as the ‘lead’ IOR per CAC 7-144(b). One IOR shall be assigned responsibility for “all other work” to make sure responsibility for the inspection of every part of the work is assigned.</t>
        </is>
      </c>
      <c r="E4" s="776" t="n"/>
      <c r="F4" s="776" t="n"/>
      <c r="G4" s="778" t="n"/>
    </row>
    <row r="5" ht="25.25" customHeight="1" thickBot="1">
      <c r="D5" s="33" t="inlineStr">
        <is>
          <t>INSPECTOR OF RECORD
CAC 7-141, 7-145 &amp; 7-151</t>
        </is>
      </c>
      <c r="E5" s="815" t="inlineStr">
        <is>
          <t>SCOPE OF INSPECTION</t>
        </is>
      </c>
      <c r="F5" s="801" t="n"/>
      <c r="G5" s="34" t="inlineStr">
        <is>
          <t>PERFORMED OFF-SITE</t>
        </is>
      </c>
    </row>
    <row r="6" ht="25.25" customHeight="1">
      <c r="B6" s="3" t="n"/>
      <c r="D6" s="228" t="inlineStr">
        <is>
          <t>Martin Scott A-10365</t>
        </is>
      </c>
      <c r="E6" s="656" t="inlineStr">
        <is>
          <t>Lead IOR, Stage 1, 8, 11, 14, 18, 24, 28</t>
        </is>
      </c>
      <c r="F6" s="816" t="n"/>
      <c r="G6" s="46" t="inlineStr">
        <is>
          <t>N</t>
        </is>
      </c>
    </row>
    <row r="7" ht="44.5" customHeight="1">
      <c r="B7" s="3" t="n"/>
      <c r="D7" s="229" t="inlineStr">
        <is>
          <t>Douglas Hahn A-10418</t>
        </is>
      </c>
      <c r="E7" s="817" t="inlineStr">
        <is>
          <t>Stage 2, 6, 16, 36, 38, 40; all other work. Subslab drainage as of Oct. 2025</t>
        </is>
      </c>
      <c r="F7" s="818" t="n"/>
      <c r="G7" s="59" t="inlineStr">
        <is>
          <t>Y</t>
        </is>
      </c>
    </row>
    <row r="8" ht="25.25" customHeight="1">
      <c r="D8" s="229" t="inlineStr">
        <is>
          <t>Eli Chessen A-21230</t>
        </is>
      </c>
      <c r="E8" s="817" t="inlineStr">
        <is>
          <t>Stage 3, 9, 12, 19, 25, 29, 42</t>
        </is>
      </c>
      <c r="F8" s="818" t="n"/>
      <c r="G8" s="47" t="inlineStr">
        <is>
          <t>N</t>
        </is>
      </c>
    </row>
    <row r="9" ht="36.5" customHeight="1">
      <c r="D9" s="229" t="inlineStr">
        <is>
          <t>REMOVED 4/30/2025
David Burke A-21218</t>
        </is>
      </c>
      <c r="E9" s="817" t="inlineStr">
        <is>
          <t>Stage 4 (Complete)</t>
        </is>
      </c>
      <c r="F9" s="818" t="n"/>
      <c r="G9" s="47" t="inlineStr">
        <is>
          <t>N</t>
        </is>
      </c>
    </row>
    <row r="10" ht="25.25" customHeight="1">
      <c r="D10" s="229" t="inlineStr">
        <is>
          <t>Nathaniel Cutler A-20024</t>
        </is>
      </c>
      <c r="E10" s="817" t="inlineStr">
        <is>
          <t>Steel scope by vendor Schuff Steel - Stage 26</t>
        </is>
      </c>
      <c r="F10" s="818" t="n"/>
      <c r="G10" s="47" t="inlineStr">
        <is>
          <t>Y</t>
        </is>
      </c>
    </row>
    <row r="11" ht="25.25" customHeight="1">
      <c r="D11" s="229" t="inlineStr">
        <is>
          <t>Gregory Villalba A-20308</t>
        </is>
      </c>
      <c r="E11" s="819" t="inlineStr">
        <is>
          <t>Stage 7, 10, 13, 20, 27, and 33</t>
        </is>
      </c>
      <c r="F11" s="818" t="n"/>
      <c r="G11" s="47" t="inlineStr">
        <is>
          <t>N</t>
        </is>
      </c>
    </row>
    <row r="12" ht="42" customHeight="1">
      <c r="D12" s="229" t="inlineStr">
        <is>
          <t>Steven Spalding A-21326</t>
        </is>
      </c>
      <c r="E12" s="819" t="inlineStr">
        <is>
          <t>Stage 22, 34, 35, and waterproofing &amp; vapor barrier. MEP scopes as of Oct. 2025</t>
        </is>
      </c>
      <c r="F12" s="818" t="n"/>
      <c r="G12" s="47" t="inlineStr">
        <is>
          <t>N</t>
        </is>
      </c>
    </row>
    <row r="13" ht="39" customHeight="1">
      <c r="D13" s="44" t="inlineStr">
        <is>
          <t>Daniel Reyes A-21358</t>
        </is>
      </c>
      <c r="E13" s="819" t="inlineStr">
        <is>
          <t>Secondary/Misc. Steel Scope, Stage 15</t>
        </is>
      </c>
      <c r="F13" s="818" t="n"/>
      <c r="G13" s="47" t="inlineStr">
        <is>
          <t>Y</t>
        </is>
      </c>
    </row>
    <row r="14" ht="25.25" customHeight="1">
      <c r="D14" s="15" t="n"/>
      <c r="E14" s="819" t="n"/>
      <c r="F14" s="818" t="n"/>
      <c r="G14" s="47" t="n"/>
    </row>
    <row r="15" ht="25.25" customHeight="1">
      <c r="D15" s="15" t="n"/>
      <c r="E15" s="651" t="n"/>
      <c r="F15" s="820" t="n"/>
      <c r="G15" s="47" t="n"/>
    </row>
    <row r="16" ht="25.25" customHeight="1">
      <c r="B16" s="3" t="n"/>
      <c r="D16" s="15" t="n"/>
      <c r="E16" s="651" t="n"/>
      <c r="F16" s="820" t="n"/>
      <c r="G16" s="47" t="n"/>
    </row>
    <row r="17" ht="25.25" customHeight="1">
      <c r="D17" s="15" t="n"/>
      <c r="E17" s="651" t="n"/>
      <c r="F17" s="820" t="n"/>
      <c r="G17" s="47" t="n"/>
    </row>
    <row r="18" ht="25.25" customHeight="1">
      <c r="D18" s="15" t="n"/>
      <c r="E18" s="651" t="n"/>
      <c r="F18" s="820" t="n"/>
      <c r="G18" s="47" t="n"/>
    </row>
    <row r="19" ht="25.25" customHeight="1">
      <c r="D19" s="15" t="n"/>
      <c r="E19" s="651" t="n"/>
      <c r="F19" s="820" t="n"/>
      <c r="G19" s="47" t="n"/>
    </row>
    <row r="20" ht="25.25" customHeight="1">
      <c r="D20" s="15" t="n"/>
      <c r="E20" s="651" t="n"/>
      <c r="F20" s="820" t="n"/>
      <c r="G20" s="47" t="n"/>
    </row>
    <row r="21" ht="25.25" customHeight="1">
      <c r="D21" s="15" t="n"/>
      <c r="E21" s="651" t="n"/>
      <c r="F21" s="820" t="n"/>
      <c r="G21" s="47" t="n"/>
    </row>
    <row r="22" ht="25.25" customHeight="1">
      <c r="D22" s="15" t="n"/>
      <c r="E22" s="651" t="n"/>
      <c r="F22" s="820" t="n"/>
      <c r="G22" s="47" t="n"/>
    </row>
    <row r="23" ht="25.25" customHeight="1">
      <c r="D23" s="15" t="n"/>
      <c r="E23" s="651" t="n"/>
      <c r="F23" s="820" t="n"/>
      <c r="G23" s="47" t="n"/>
    </row>
    <row r="24" ht="25.25" customHeight="1">
      <c r="D24" s="15" t="n"/>
      <c r="E24" s="651" t="n"/>
      <c r="F24" s="820" t="n"/>
      <c r="G24" s="47" t="n"/>
    </row>
    <row r="25" ht="25.25" customHeight="1" thickBot="1">
      <c r="D25" s="45" t="n"/>
      <c r="E25" s="821" t="n"/>
      <c r="F25" s="764" t="n"/>
      <c r="G25" s="80" t="n"/>
    </row>
    <row r="39" ht="41.25" customHeight="1"/>
  </sheetData>
  <sheetProtection selectLockedCells="0" selectUnlockedCells="0" algorithmName="SHA-512" sheet="1" objects="1" insertRows="0" insertHyperlinks="1" autoFilter="1" scenarios="0" formatColumns="0" deleteColumns="1" insertColumns="1" pivotTables="1" deleteRows="0" formatCells="0" saltValue="EFm/Vlu3MsKJhXPG0N40Aw==" formatRows="0" sort="1" spinCount="100000" hashValue="g2Bf7a/hrNAxJ0D4CgOqNfxDUDjP71pan4hXT0i26bFx7+BLRb71Q0JoNA1F2dKRRZqU9PnuY0Qowp0/7BlR7A=="/>
  <mergeCells count="25">
    <mergeCell ref="E12:F12"/>
    <mergeCell ref="E24:F24"/>
    <mergeCell ref="E5:F5"/>
    <mergeCell ref="E23:F23"/>
    <mergeCell ref="E14:F14"/>
    <mergeCell ref="E17:F17"/>
    <mergeCell ref="E8:F8"/>
    <mergeCell ref="F3:G3"/>
    <mergeCell ref="E20:F20"/>
    <mergeCell ref="E10:F10"/>
    <mergeCell ref="E19:F19"/>
    <mergeCell ref="E13:F13"/>
    <mergeCell ref="E9:F9"/>
    <mergeCell ref="E1:G1"/>
    <mergeCell ref="F2:G2"/>
    <mergeCell ref="E6:F6"/>
    <mergeCell ref="E15:F15"/>
    <mergeCell ref="E11:F11"/>
    <mergeCell ref="E16:F16"/>
    <mergeCell ref="E7:F7"/>
    <mergeCell ref="E25:F25"/>
    <mergeCell ref="E22:F22"/>
    <mergeCell ref="E18:F18"/>
    <mergeCell ref="E21:F21"/>
    <mergeCell ref="D4:G4"/>
  </mergeCells>
  <printOptions horizontalCentered="1"/>
  <pageMargins left="0.3" right="0.3" top="1.7" bottom="0.5" header="0" footer="0"/>
  <pageSetup orientation="portrait" scale="84" fitToHeight="0" useFirstPageNumber="1"/>
  <headerFooter>
    <oddHeader>&amp;C&amp;"-,Regular"&amp;15 &amp;G_x000a_Testing, Inspection, and Observation Program_x000a_2019 California Building Standards Code - OSHPD 1</oddHeader>
    <oddFooter>&amp;CSTATE OF CALIFORNIA - HEALTH AND HUMAN SERVICES AGENCY&amp;RS-G&amp;P&amp;LOSH-FD-303A (R04.26)</oddFooter>
    <evenHeader/>
    <evenFooter/>
    <firstHeader/>
    <firstFooter/>
  </headerFooter>
  <legacyDrawing xmlns:r="http://schemas.openxmlformats.org/officeDocument/2006/relationships" r:id="anysvml"/>
</worksheet>
</file>

<file path=xl/worksheets/sheet9.xml><?xml version="1.0" encoding="utf-8"?>
<worksheet xmlns="http://schemas.openxmlformats.org/spreadsheetml/2006/main">
  <sheetPr codeName="Sheet14">
    <tabColor theme="4" tint="-0.249977111117893"/>
    <outlinePr summaryBelow="1" summaryRight="1"/>
    <pageSetUpPr/>
  </sheetPr>
  <dimension ref="A1:R35"/>
  <sheetViews>
    <sheetView view="pageBreakPreview" zoomScaleNormal="85" zoomScaleSheetLayoutView="100" zoomScalePageLayoutView="85" workbookViewId="0">
      <pane ySplit="5" topLeftCell="A24" activePane="bottomLeft" state="frozen"/>
      <selection activeCell="O16" sqref="O16"/>
      <selection pane="bottomLeft" activeCell="O16" sqref="O16"/>
    </sheetView>
  </sheetViews>
  <sheetFormatPr baseColWidth="10" defaultColWidth="9" defaultRowHeight="15"/>
  <cols>
    <col width="3.6640625" customWidth="1" style="3" min="1" max="1"/>
    <col width="3.33203125" customWidth="1" style="3" min="2" max="2"/>
    <col width="1.33203125" customWidth="1" style="2" min="3" max="3"/>
    <col width="5" customWidth="1" style="2" min="4" max="5"/>
    <col width="43.6640625" customWidth="1" style="2" min="6" max="6"/>
    <col width="5" customWidth="1" style="52" min="7" max="7"/>
    <col width="28.33203125" customWidth="1" style="2" min="8" max="8"/>
    <col width="10.83203125" customWidth="1" style="52" min="9" max="9"/>
    <col width="10.83203125" customWidth="1" style="2" min="10" max="10"/>
    <col width="3.33203125" customWidth="1" style="2" min="11" max="11"/>
    <col width="34.83203125" customWidth="1" style="2" min="12" max="12"/>
    <col width="9" customWidth="1" style="2" min="13" max="16384"/>
  </cols>
  <sheetData>
    <row r="1" ht="28.5" customHeight="1" thickBot="1">
      <c r="A1" s="1" t="n"/>
      <c r="B1" s="1" t="n"/>
      <c r="D1" s="641" t="inlineStr">
        <is>
          <t>SECTION E</t>
        </is>
      </c>
      <c r="E1" s="776" t="n"/>
      <c r="F1" s="776" t="n"/>
      <c r="G1" s="822" t="inlineStr">
        <is>
          <t>REQUIRED COMPLIANCE FORMS</t>
        </is>
      </c>
      <c r="H1" s="776" t="n"/>
      <c r="I1" s="776" t="n"/>
      <c r="J1" s="778" t="n"/>
    </row>
    <row r="2" ht="11.25" customHeight="1">
      <c r="A2" s="1" t="n"/>
      <c r="B2" s="1" t="n"/>
      <c r="D2" s="791" t="inlineStr">
        <is>
          <t>Facility #:</t>
        </is>
      </c>
      <c r="E2" s="756" t="n"/>
      <c r="F2" s="636" t="inlineStr">
        <is>
          <t>Facility Name:</t>
        </is>
      </c>
      <c r="G2" s="792" t="inlineStr">
        <is>
          <t>Project #:</t>
        </is>
      </c>
      <c r="H2" s="779" t="n"/>
      <c r="I2" s="779" t="n"/>
      <c r="J2" s="793" t="n"/>
    </row>
    <row r="3" ht="25.25" customHeight="1" thickBot="1">
      <c r="A3" s="1" t="n"/>
      <c r="B3" s="1" t="n"/>
      <c r="D3" s="794">
        <f>IF('A-Project Info'!D12="","",'A-Project Info'!D12)</f>
        <v/>
      </c>
      <c r="E3" s="795" t="n"/>
      <c r="F3" s="639">
        <f>IF('A-Project Info'!F12="","",'A-Project Info'!F12)</f>
        <v/>
      </c>
      <c r="G3" s="823">
        <f>IF('A-Project Info'!I12="","",'A-Project Info'!I12)</f>
        <v/>
      </c>
      <c r="H3" s="770" t="n"/>
      <c r="I3" s="770" t="n"/>
      <c r="J3" s="797" t="n"/>
    </row>
    <row r="4" ht="34.5" customFormat="1" customHeight="1" s="32" thickBot="1">
      <c r="A4" s="94" t="n"/>
      <c r="B4" s="94" t="n"/>
      <c r="D4" s="523" t="n"/>
      <c r="E4" s="776" t="n"/>
      <c r="F4" s="778" t="n"/>
      <c r="G4" s="523" t="n"/>
      <c r="H4" s="776" t="n"/>
      <c r="I4" s="776" t="n"/>
      <c r="J4" s="778" t="n"/>
    </row>
    <row r="5" ht="78.75" customHeight="1" thickBot="1">
      <c r="A5" s="1" t="n"/>
      <c r="B5" s="1" t="n"/>
      <c r="D5" s="70" t="inlineStr">
        <is>
          <t>FORM #</t>
        </is>
      </c>
      <c r="E5" s="70" t="inlineStr">
        <is>
          <t>Required
(Select with "X")</t>
        </is>
      </c>
      <c r="F5" s="11" t="inlineStr">
        <is>
          <t>DOCUMENT NAME</t>
        </is>
      </c>
      <c r="G5" s="33" t="inlineStr">
        <is>
          <t>RESPONSIBLE DESIGNER
OR
INSTALLING CONTRACTOR</t>
        </is>
      </c>
      <c r="H5" s="778" t="n"/>
      <c r="I5" s="70" t="inlineStr">
        <is>
          <t>COMPLIANCE VERIFICATION BY IOR   (Initial/Date)</t>
        </is>
      </c>
      <c r="J5" s="70" t="inlineStr">
        <is>
          <t>HCAI/FDD USE   (Initial/Date)</t>
        </is>
      </c>
      <c r="L5" s="169" t="n"/>
      <c r="M5" s="73" t="n"/>
      <c r="N5" s="73" t="n"/>
      <c r="O5" s="73" t="n"/>
    </row>
    <row r="6" ht="18" customHeight="1" thickBot="1">
      <c r="A6" s="95" t="inlineStr">
        <is>
          <t>x1</t>
        </is>
      </c>
      <c r="B6" s="38" t="inlineStr">
        <is>
          <t>CALIFORNIA ENERGY CODE</t>
        </is>
      </c>
      <c r="C6" s="17" t="n"/>
      <c r="D6" s="17" t="n"/>
      <c r="E6" s="17" t="n"/>
      <c r="F6" s="17" t="n"/>
      <c r="G6" s="48" t="n"/>
      <c r="H6" s="17" t="n"/>
      <c r="I6" s="17" t="n"/>
      <c r="J6" s="18" t="n"/>
    </row>
    <row r="7" ht="18" customHeight="1" thickBot="1">
      <c r="A7" s="104" t="n"/>
      <c r="B7" s="105" t="inlineStr">
        <is>
          <t>x11</t>
        </is>
      </c>
      <c r="C7" s="29" t="inlineStr">
        <is>
          <t>NON-RESIDENTIAL CERTIFICATE OF INSTALLATION (NRCI)</t>
        </is>
      </c>
      <c r="D7" s="30" t="n"/>
      <c r="E7" s="165" t="n"/>
      <c r="F7" s="82" t="n"/>
      <c r="G7" s="81" t="n"/>
      <c r="H7" s="82" t="n"/>
      <c r="I7" s="30" t="n"/>
      <c r="J7" s="31" t="n"/>
    </row>
    <row r="8" ht="85.25" customHeight="1">
      <c r="A8" s="3" t="n"/>
      <c r="B8" s="3" t="n"/>
      <c r="C8" s="2" t="n"/>
      <c r="D8" s="89" t="inlineStr">
        <is>
          <t>NRCI-ENV-01-E</t>
        </is>
      </c>
      <c r="E8" s="233" t="n"/>
      <c r="F8" s="369" t="inlineStr">
        <is>
          <t>ENVELOPE</t>
        </is>
      </c>
      <c r="G8" s="824" t="n"/>
      <c r="H8" s="825" t="n"/>
      <c r="I8" s="664" t="n"/>
      <c r="J8" s="370" t="n"/>
    </row>
    <row r="9" ht="85.25" customHeight="1">
      <c r="A9" s="3" t="n"/>
      <c r="B9" s="3" t="n"/>
      <c r="C9" s="2" t="n"/>
      <c r="D9" s="90" t="inlineStr">
        <is>
          <t>NRCI-MCH-01-E</t>
        </is>
      </c>
      <c r="E9" s="234" t="n"/>
      <c r="F9" s="371" t="inlineStr">
        <is>
          <t>MECHANICAL</t>
        </is>
      </c>
      <c r="G9" s="826" t="n"/>
      <c r="H9" s="827" t="n"/>
      <c r="I9" s="663" t="n"/>
      <c r="J9" s="372" t="n"/>
    </row>
    <row r="10" ht="85.25" customHeight="1">
      <c r="A10" s="3" t="n"/>
      <c r="B10" s="3" t="n"/>
      <c r="C10" s="2" t="n"/>
      <c r="D10" s="90" t="inlineStr">
        <is>
          <t>NRCI-PLB-01-E</t>
        </is>
      </c>
      <c r="E10" s="234" t="n"/>
      <c r="F10" s="371" t="inlineStr">
        <is>
          <t>PLUMBING</t>
        </is>
      </c>
      <c r="G10" s="826" t="n"/>
      <c r="H10" s="827" t="n"/>
      <c r="I10" s="663" t="n"/>
      <c r="J10" s="372" t="n"/>
    </row>
    <row r="11" ht="85.25" customHeight="1">
      <c r="A11" s="3" t="n"/>
      <c r="B11" s="3" t="n"/>
      <c r="C11" s="2" t="n"/>
      <c r="D11" s="90" t="inlineStr">
        <is>
          <t>NRCI-LTI-01-E</t>
        </is>
      </c>
      <c r="E11" s="234" t="n"/>
      <c r="F11" s="373" t="inlineStr">
        <is>
          <t>INDOOR LIGHTING                                                                                (conditioned, processed spaces)</t>
        </is>
      </c>
      <c r="G11" s="826" t="n"/>
      <c r="H11" s="827" t="n"/>
      <c r="I11" s="663" t="n"/>
      <c r="J11" s="372" t="n"/>
    </row>
    <row r="12" ht="85.25" customHeight="1">
      <c r="A12" s="3" t="n"/>
      <c r="B12" s="3" t="n"/>
      <c r="C12" s="2" t="n"/>
      <c r="D12" s="90" t="inlineStr">
        <is>
          <t>NRCI-LTI-02-E</t>
        </is>
      </c>
      <c r="E12" s="234" t="n"/>
      <c r="F12" s="373" t="inlineStr">
        <is>
          <t>ENERGY MANAGEMENT CONTROL SYSTEM OR LIGHTING CONTROL SYSTEM                                                                                                                   (conditioned, processed spaces)</t>
        </is>
      </c>
      <c r="G12" s="826" t="n"/>
      <c r="H12" s="827" t="n"/>
      <c r="I12" s="663" t="n"/>
      <c r="J12" s="372" t="n"/>
    </row>
    <row r="13" ht="85.25" customHeight="1">
      <c r="A13" s="3" t="n"/>
      <c r="B13" s="3" t="n"/>
      <c r="C13" s="2" t="n"/>
      <c r="D13" s="90" t="inlineStr">
        <is>
          <t>NRCI-LTI-04-E</t>
        </is>
      </c>
      <c r="E13" s="234" t="n"/>
      <c r="F13" s="373" t="inlineStr">
        <is>
          <t>TWO INTERLOCKED LIGHTING SYSTEMS                                                   (conditioned, processed spaces)</t>
        </is>
      </c>
      <c r="G13" s="826" t="n"/>
      <c r="H13" s="827" t="n"/>
      <c r="I13" s="663" t="n"/>
      <c r="J13" s="372" t="n"/>
    </row>
    <row r="14" ht="85.25" customHeight="1">
      <c r="A14" s="3" t="n"/>
      <c r="B14" s="3" t="n"/>
      <c r="C14" s="2" t="n"/>
      <c r="D14" s="90" t="inlineStr">
        <is>
          <t>NRCI-LTI-05-E</t>
        </is>
      </c>
      <c r="E14" s="234" t="n"/>
      <c r="F14" s="373" t="inlineStr">
        <is>
          <t>ENERGY MANAGEMENT CONTROL SYSTEM OR LIGHTING CONTROL SYSTEM                                                                                                                        (conditioned, processed spaces)</t>
        </is>
      </c>
      <c r="G14" s="826" t="n"/>
      <c r="H14" s="827" t="n"/>
      <c r="I14" s="663" t="n"/>
      <c r="J14" s="372" t="n"/>
    </row>
    <row r="15" ht="85.25" customHeight="1">
      <c r="A15" s="3" t="n"/>
      <c r="B15" s="3" t="n"/>
      <c r="C15" s="2" t="n"/>
      <c r="D15" s="90" t="inlineStr">
        <is>
          <t>NRCI-LTI-06-E</t>
        </is>
      </c>
      <c r="E15" s="234" t="n"/>
      <c r="F15" s="373" t="inlineStr">
        <is>
          <t>VIDEO CONFERENCE STUDIO LIGHTING                                          (conditioned, processed spaces)</t>
        </is>
      </c>
      <c r="G15" s="826" t="n"/>
      <c r="H15" s="827" t="n"/>
      <c r="I15" s="663" t="n"/>
      <c r="J15" s="372" t="n"/>
    </row>
    <row r="16" ht="85.25" customHeight="1">
      <c r="A16" s="3" t="n"/>
      <c r="B16" s="3" t="n"/>
      <c r="C16" s="2" t="n"/>
      <c r="D16" s="90" t="inlineStr">
        <is>
          <t>NRCI-LTI-01-E</t>
        </is>
      </c>
      <c r="E16" s="234" t="n"/>
      <c r="F16" s="373" t="inlineStr">
        <is>
          <t>INDOOR LIGHTING                                                                                                                              (conditioned, processed spaces)</t>
        </is>
      </c>
      <c r="G16" s="826" t="n"/>
      <c r="H16" s="827" t="n"/>
      <c r="I16" s="663" t="n"/>
      <c r="J16" s="372" t="n"/>
    </row>
    <row r="17" ht="85.25" customHeight="1">
      <c r="A17" s="3" t="n"/>
      <c r="B17" s="3" t="n"/>
      <c r="C17" s="2" t="n"/>
      <c r="D17" s="90" t="inlineStr">
        <is>
          <t>NRCI-LTI-02-E</t>
        </is>
      </c>
      <c r="E17" s="234" t="n"/>
      <c r="F17" s="373" t="inlineStr">
        <is>
          <t>ENERGY MANAGEMENT CONTROL SYSTEM OR LIGHTING CONTROL SYSTEM                                                                                                                     (conditioned, processed spaces)</t>
        </is>
      </c>
      <c r="G17" s="826" t="n"/>
      <c r="H17" s="827" t="n"/>
      <c r="I17" s="663" t="n"/>
      <c r="J17" s="372" t="n"/>
    </row>
    <row r="18" ht="85.25" customHeight="1">
      <c r="A18" s="3" t="n"/>
      <c r="B18" s="3" t="n"/>
      <c r="C18" s="2" t="n"/>
      <c r="D18" s="90" t="inlineStr">
        <is>
          <t>NRCI-LTI-05-E</t>
        </is>
      </c>
      <c r="E18" s="234" t="n"/>
      <c r="F18" s="373" t="inlineStr">
        <is>
          <t>ENERGY MANAGEMENT CONTROL SYSTEM OR LIGHTING CONTROL SYSTEM                                                                                                                  (conditioned, processed spaces)</t>
        </is>
      </c>
      <c r="G18" s="826" t="n"/>
      <c r="H18" s="827" t="n"/>
      <c r="I18" s="663" t="n"/>
      <c r="J18" s="372" t="n"/>
    </row>
    <row r="19" ht="85.25" customHeight="1">
      <c r="D19" s="88" t="inlineStr">
        <is>
          <t>NRCI-LTO-01-E</t>
        </is>
      </c>
      <c r="E19" s="234" t="n"/>
      <c r="F19" s="373" t="inlineStr">
        <is>
          <t>OUTDOOR LIGHTING</t>
        </is>
      </c>
      <c r="G19" s="826" t="n"/>
      <c r="H19" s="827" t="n"/>
      <c r="I19" s="663" t="n"/>
      <c r="J19" s="372" t="n"/>
    </row>
    <row r="20" ht="85.25" customHeight="1">
      <c r="D20" s="88" t="inlineStr">
        <is>
          <t>NRCI-LTO-02-E</t>
        </is>
      </c>
      <c r="E20" s="234" t="n"/>
      <c r="F20" s="373" t="inlineStr">
        <is>
          <t>ENERGY MANAGEMENT CONTROL SYSTEM OR LIGHTING CONTROL SYSTEM                                                                                                                                      (outdoor lighting)</t>
        </is>
      </c>
      <c r="G20" s="826" t="n"/>
      <c r="H20" s="827" t="n"/>
      <c r="I20" s="663" t="n"/>
      <c r="J20" s="372" t="n"/>
    </row>
    <row r="21" ht="85.25" customFormat="1" customHeight="1" s="86">
      <c r="A21" s="106" t="n"/>
      <c r="B21" s="106" t="n"/>
      <c r="D21" s="88" t="inlineStr">
        <is>
          <t>NRCI-ELC-01-E</t>
        </is>
      </c>
      <c r="E21" s="234" t="n"/>
      <c r="F21" s="373" t="inlineStr">
        <is>
          <t>ELECTRICAL POWER DISTRIBUTION</t>
        </is>
      </c>
      <c r="G21" s="826" t="n"/>
      <c r="H21" s="827" t="n"/>
      <c r="I21" s="663" t="n"/>
      <c r="J21" s="374" t="n"/>
    </row>
    <row r="22" ht="85.25" customFormat="1" customHeight="1" s="86">
      <c r="A22" s="106" t="n"/>
      <c r="B22" s="106" t="n"/>
      <c r="D22" s="88" t="inlineStr">
        <is>
          <t>NRCI-PRC-01-E</t>
        </is>
      </c>
      <c r="E22" s="234" t="n"/>
      <c r="F22" s="373" t="inlineStr">
        <is>
          <t>COVERED PROCESSES                                                                                     (commercial refrigeration)</t>
        </is>
      </c>
      <c r="G22" s="826" t="n"/>
      <c r="H22" s="827" t="n"/>
      <c r="I22" s="663" t="n"/>
      <c r="J22" s="374" t="n"/>
      <c r="N22" s="87" t="n"/>
    </row>
    <row r="23" ht="85.25" customFormat="1" customHeight="1" s="86">
      <c r="A23" s="106" t="n"/>
      <c r="B23" s="106" t="n"/>
      <c r="D23" s="88" t="inlineStr">
        <is>
          <t>NRCI-PRC-01-E</t>
        </is>
      </c>
      <c r="E23" s="234" t="n"/>
      <c r="F23" s="373" t="inlineStr">
        <is>
          <t>COVERED PROCESSES                                                                                           (parking garage)</t>
        </is>
      </c>
      <c r="G23" s="826" t="n"/>
      <c r="H23" s="827" t="n"/>
      <c r="I23" s="663" t="n"/>
      <c r="J23" s="374" t="n"/>
      <c r="N23" s="87" t="n"/>
    </row>
    <row r="24" ht="85.25" customFormat="1" customHeight="1" s="86">
      <c r="A24" s="106" t="n"/>
      <c r="B24" s="106" t="n"/>
      <c r="D24" s="88" t="inlineStr">
        <is>
          <t>NRCI-PRC-01-E</t>
        </is>
      </c>
      <c r="E24" s="234" t="n"/>
      <c r="F24" s="373" t="inlineStr">
        <is>
          <t>COVERED PROCESSES                                                                                       (process boilers greater than 2.5 MM Btu/h)</t>
        </is>
      </c>
      <c r="G24" s="826" t="n"/>
      <c r="H24" s="827" t="n"/>
      <c r="I24" s="663" t="n"/>
      <c r="J24" s="374" t="n"/>
      <c r="N24" s="87" t="n"/>
    </row>
    <row r="25" ht="85.25" customFormat="1" customHeight="1" s="86" thickBot="1">
      <c r="A25" s="106" t="n"/>
      <c r="B25" s="106" t="n"/>
      <c r="D25" s="88" t="inlineStr">
        <is>
          <t>NRCI-LTS-01-E</t>
        </is>
      </c>
      <c r="E25" s="235" t="n"/>
      <c r="F25" s="375" t="inlineStr">
        <is>
          <t>SIGN LIGHTING                                                                                                                (indoor and outdoor)</t>
        </is>
      </c>
      <c r="G25" s="828" t="n"/>
      <c r="H25" s="829" t="n"/>
      <c r="I25" s="670" t="n"/>
      <c r="J25" s="376" t="n"/>
      <c r="N25" s="87" t="n"/>
    </row>
    <row r="26" ht="18" customHeight="1" thickBot="1">
      <c r="A26" s="107" t="n"/>
      <c r="B26" s="108" t="inlineStr">
        <is>
          <t>x12</t>
        </is>
      </c>
      <c r="C26" s="19" t="inlineStr">
        <is>
          <t>NON-RESIDENTIAL CERTIFICATE OF ACCEPTANCE (NRCA)</t>
        </is>
      </c>
      <c r="D26" s="20" t="n"/>
      <c r="E26" s="22" t="n"/>
      <c r="F26" s="19" t="n"/>
      <c r="G26" s="83" t="n"/>
      <c r="H26" s="20" t="n"/>
      <c r="I26" s="20" t="n"/>
      <c r="J26" s="22" t="n"/>
      <c r="N26" s="5" t="n"/>
      <c r="R26" s="53" t="n"/>
    </row>
    <row r="27" ht="85.25" customHeight="1" thickBot="1">
      <c r="C27" s="109" t="n"/>
      <c r="D27" s="209" t="inlineStr">
        <is>
          <t>NRCA-ENV-02-F</t>
        </is>
      </c>
      <c r="E27" s="170" t="n"/>
      <c r="F27" s="210" t="inlineStr">
        <is>
          <t>FENESTRATION ACCEPTANCE</t>
        </is>
      </c>
      <c r="G27" s="669" t="n"/>
      <c r="H27" s="830" t="n"/>
      <c r="I27" s="669" t="n"/>
      <c r="J27" s="168" t="n"/>
      <c r="N27" s="5" t="n"/>
    </row>
    <row r="28">
      <c r="H28" s="52" t="n"/>
    </row>
    <row r="31">
      <c r="D31" s="7" t="n"/>
    </row>
    <row r="32">
      <c r="D32" s="7" t="n"/>
    </row>
    <row r="33">
      <c r="D33" s="7" t="n"/>
    </row>
    <row r="34">
      <c r="D34" s="7" t="n"/>
    </row>
    <row r="35">
      <c r="D35" s="7" t="n"/>
    </row>
  </sheetData>
  <sheetProtection selectLockedCells="0" selectUnlockedCells="0" algorithmName="SHA-512" sheet="1" objects="1" insertRows="0" insertHyperlinks="1" autoFilter="1" scenarios="0" formatColumns="0" deleteColumns="1" insertColumns="1" pivotTables="1" deleteRows="0" formatCells="0" saltValue="WshgFbvTbtgK4JrPRZNW6w==" formatRows="0" sort="1" spinCount="100000" hashValue="Ee3wrWP4X+UQn8UFaX2bPHsJSjr1JJcntR8LgA+NJSeDd0CgrMPRwhi77R7A0CfRIH5fkRJHcduS7WjFfxyicQ=="/>
  <mergeCells count="28">
    <mergeCell ref="G21:H21"/>
    <mergeCell ref="G12:H12"/>
    <mergeCell ref="G4:J4"/>
    <mergeCell ref="G11:H11"/>
    <mergeCell ref="G27:H27"/>
    <mergeCell ref="G23:H23"/>
    <mergeCell ref="G1:J1"/>
    <mergeCell ref="G8:H8"/>
    <mergeCell ref="G17:H17"/>
    <mergeCell ref="D2:E2"/>
    <mergeCell ref="G10:H10"/>
    <mergeCell ref="D4:F4"/>
    <mergeCell ref="G19:H19"/>
    <mergeCell ref="G2:J2"/>
    <mergeCell ref="G13:H13"/>
    <mergeCell ref="G18:H18"/>
    <mergeCell ref="G24:H24"/>
    <mergeCell ref="G15:H15"/>
    <mergeCell ref="G5:H5"/>
    <mergeCell ref="G14:H14"/>
    <mergeCell ref="D3:E3"/>
    <mergeCell ref="D1:F1"/>
    <mergeCell ref="G20:H20"/>
    <mergeCell ref="G3:J3"/>
    <mergeCell ref="G16:H16"/>
    <mergeCell ref="G25:H25"/>
    <mergeCell ref="G22:H22"/>
    <mergeCell ref="G9:H9"/>
  </mergeCells>
  <printOptions horizontalCentered="1"/>
  <pageMargins left="0.3" right="0.3" top="1.7" bottom="0.5" header="0" footer="0"/>
  <pageSetup orientation="portrait" scale="84" fitToHeight="0" useFirstPageNumber="1"/>
  <headerFooter>
    <oddHeader>&amp;C&amp;"-,Regular"&amp;15 &amp;G_x000a_Testing, Inspection, and Observation Program_x000a_2019 California Building Standards Code - OSHPD 1</oddHeader>
    <oddFooter>&amp;CSTATE OF CALIFORNIA - HEALTH AND HUMAN SERVICES AGENCY&amp;RS-E&amp;P&amp;LOSH-FD-303A (R04.26)</oddFooter>
    <evenHeader/>
    <evenFooter/>
    <firstHeader/>
    <firstFooter/>
  </headerFooter>
  <legacyDrawing xmlns:r="http://schemas.openxmlformats.org/officeDocument/2006/relationships" r:id="anysvml"/>
</worksheet>
</file>

<file path=xl/worksheets/sheet10.xml><?xml version="1.0" encoding="utf-8"?>
<worksheet xmlns="http://schemas.openxmlformats.org/spreadsheetml/2006/main">
  <sheetPr codeName="Sheet9">
    <tabColor theme="4" tint="-0.249977111117893"/>
    <outlinePr summaryBelow="1" summaryRight="1"/>
    <pageSetUpPr/>
  </sheetPr>
  <dimension ref="B1:H15"/>
  <sheetViews>
    <sheetView view="pageBreakPreview" topLeftCell="A6" zoomScaleNormal="100" zoomScaleSheetLayoutView="100" workbookViewId="0">
      <selection activeCell="G54" sqref="G54:L54"/>
    </sheetView>
  </sheetViews>
  <sheetFormatPr baseColWidth="10" defaultColWidth="8.83203125" defaultRowHeight="15"/>
  <cols>
    <col width="3.6640625" customWidth="1" min="1" max="1"/>
    <col width="3.33203125" customWidth="1" min="2" max="2"/>
    <col width="1.33203125" customWidth="1" min="3" max="3"/>
    <col width="23" customWidth="1" min="4" max="4"/>
    <col width="19.6640625" customWidth="1" min="5" max="5"/>
    <col width="18.6640625" customWidth="1" min="6" max="6"/>
    <col width="37" customWidth="1" min="7" max="7"/>
    <col width="10.33203125" customWidth="1" min="8" max="8"/>
    <col width="21.6640625" customWidth="1" min="9" max="9"/>
  </cols>
  <sheetData>
    <row r="1" ht="25.25" customHeight="1" thickBot="1">
      <c r="D1" s="16" t="inlineStr">
        <is>
          <t>SECTION H</t>
        </is>
      </c>
      <c r="E1" s="11" t="inlineStr">
        <is>
          <t>HCAI REVIEWED</t>
        </is>
      </c>
      <c r="F1" s="776" t="n"/>
      <c r="G1" s="776" t="n"/>
      <c r="H1" s="778" t="n"/>
    </row>
    <row r="2" ht="11.25" customHeight="1">
      <c r="D2" s="35" t="inlineStr">
        <is>
          <t>Facility #:</t>
        </is>
      </c>
      <c r="E2" s="695" t="inlineStr">
        <is>
          <t>Facility Name:</t>
        </is>
      </c>
      <c r="F2" s="758" t="n"/>
      <c r="G2" s="56" t="inlineStr">
        <is>
          <t>Project #:</t>
        </is>
      </c>
      <c r="H2" s="760" t="n"/>
    </row>
    <row r="3" ht="25.25" customHeight="1" thickBot="1">
      <c r="D3" s="36">
        <f>IF('A-Project Info'!D12="","",'A-Project Info'!D12)</f>
        <v/>
      </c>
      <c r="E3" s="696">
        <f>IF('A-Project Info'!F12="","",'A-Project Info'!F12)</f>
        <v/>
      </c>
      <c r="F3" s="771" t="n"/>
      <c r="G3" s="803">
        <f>IF('A-Project Info'!I12="","",'A-Project Info'!I12)</f>
        <v/>
      </c>
      <c r="H3" s="797" t="n"/>
    </row>
    <row r="4" ht="35.5" customHeight="1" thickBot="1">
      <c r="D4" s="743" t="inlineStr">
        <is>
          <t>NOTE: When a structural engineer has been delegated responsibility for a portion of this project his or her signature is also required.</t>
        </is>
      </c>
      <c r="E4" s="773" t="n"/>
      <c r="F4" s="773" t="n"/>
      <c r="G4" s="773" t="n"/>
      <c r="H4" s="774" t="n"/>
    </row>
    <row r="5" ht="27" customHeight="1" thickBot="1">
      <c r="D5" s="75" t="inlineStr">
        <is>
          <t>Submitted By:</t>
        </is>
      </c>
      <c r="E5" s="76" t="n"/>
      <c r="F5" s="76" t="n"/>
      <c r="G5" s="76" t="n"/>
      <c r="H5" s="77" t="n"/>
    </row>
    <row r="6" ht="34.5" customHeight="1">
      <c r="D6" s="831" t="inlineStr">
        <is>
          <t xml:space="preserve">
I have reviewed the approved construction documents for this project and all tests and special inspections required by Code are marked as “required” on this form.</t>
        </is>
      </c>
      <c r="E6" s="158" t="n"/>
      <c r="F6" s="158" t="n"/>
      <c r="G6" s="158" t="n"/>
      <c r="H6" s="159" t="n"/>
    </row>
    <row r="7" ht="26.5" customHeight="1">
      <c r="D7" s="697" t="n"/>
      <c r="E7" s="2" t="n"/>
      <c r="F7" s="2" t="n"/>
      <c r="G7" s="39" t="n"/>
      <c r="H7" s="91" t="n"/>
    </row>
    <row r="8" ht="21.75" customHeight="1">
      <c r="D8" s="699" t="inlineStr">
        <is>
          <t>Architect/Engineer of Record (Print Name)</t>
        </is>
      </c>
      <c r="G8" s="40" t="inlineStr">
        <is>
          <t>Architect/Engineer of Record (Signature)</t>
        </is>
      </c>
      <c r="H8" s="41" t="inlineStr">
        <is>
          <t>Date</t>
        </is>
      </c>
    </row>
    <row r="9" ht="25.25" customHeight="1">
      <c r="B9" s="1" t="n"/>
      <c r="D9" s="697" t="n"/>
      <c r="E9" s="2" t="n"/>
      <c r="F9" s="2" t="n"/>
      <c r="G9" s="39" t="n"/>
      <c r="H9" s="91" t="n"/>
    </row>
    <row r="10" ht="25.25" customHeight="1" thickBot="1">
      <c r="D10" s="701" t="inlineStr">
        <is>
          <t>Structural Engineer of Record (Print Name)</t>
        </is>
      </c>
      <c r="E10" s="773" t="n"/>
      <c r="F10" s="773" t="n"/>
      <c r="G10" s="42" t="inlineStr">
        <is>
          <t>Structural Engineer of Record (Signature)</t>
        </is>
      </c>
      <c r="H10" s="43" t="inlineStr">
        <is>
          <t>Date</t>
        </is>
      </c>
    </row>
    <row r="11" ht="25.25" customHeight="1" thickBot="1">
      <c r="D11" s="832" t="inlineStr">
        <is>
          <t>FOR HCAI USE</t>
        </is>
      </c>
      <c r="E11" s="158" t="n"/>
      <c r="F11" s="158" t="n"/>
      <c r="G11" s="158" t="n"/>
      <c r="H11" s="159" t="n"/>
    </row>
    <row r="12" ht="32.25" customHeight="1">
      <c r="B12" s="1" t="n"/>
      <c r="D12" s="833" t="inlineStr">
        <is>
          <t>TIO Program Reviewed by HCAI Plan Review Staff:</t>
        </is>
      </c>
      <c r="E12" s="158" t="n"/>
      <c r="F12" s="158" t="n"/>
      <c r="G12" s="158" t="n"/>
      <c r="H12" s="159" t="n"/>
    </row>
    <row r="13" ht="33" customHeight="1">
      <c r="D13" s="154" t="n"/>
      <c r="H13" s="155" t="n"/>
    </row>
    <row r="14" ht="127.5" customHeight="1" thickBot="1">
      <c r="D14" s="834" t="n"/>
      <c r="E14" s="773" t="n"/>
      <c r="F14" s="773" t="n"/>
      <c r="G14" s="773" t="n"/>
      <c r="H14" s="774" t="n"/>
    </row>
    <row r="15" ht="245.25" customHeight="1" thickBot="1">
      <c r="D15" s="835" t="inlineStr">
        <is>
          <t xml:space="preserve">
Note: HCAI plan review staff must provide verification that the TIO program has beeen "Reviewed" prior to plan approval to confirm the applicability of the tests and inspections identified in the TIO program for work scope,  building systems, and the construction materials shown in the design drawings.  Field staff will issue subsequent "TIO Program Approval".</t>
        </is>
      </c>
      <c r="E15" s="123" t="n"/>
      <c r="F15" s="123" t="n"/>
      <c r="G15" s="123" t="n"/>
      <c r="H15" s="836" t="n"/>
    </row>
    <row r="16" ht="25.25" customHeight="1"/>
    <row r="17" ht="25.25" customHeight="1"/>
    <row r="18" ht="25.25" customHeight="1"/>
    <row r="19" ht="25.25" customHeight="1"/>
    <row r="20" ht="25.25" customHeight="1"/>
    <row r="21" ht="25.25" customHeight="1"/>
    <row r="22" ht="25.25" customHeight="1"/>
    <row r="33" ht="85.75" customHeight="1"/>
    <row r="39" ht="25.25" customHeight="1"/>
    <row r="45" ht="41.25" customHeight="1"/>
  </sheetData>
  <sheetProtection selectLockedCells="0" selectUnlockedCells="0" algorithmName="SHA-512" sheet="1" objects="1" insertRows="0" insertHyperlinks="1" autoFilter="1" scenarios="0" formatColumns="0" deleteColumns="1" insertColumns="1" pivotTables="1" deleteRows="0" formatCells="0" saltValue="J0yFEtNVCHgRE3Ve8PGCdw==" formatRows="0" sort="1" spinCount="100000" hashValue="9M/K7JNqKD/JsIXCkpjxIo+NJijhNcTiiXYvdC6cO9LxCDXO3DJ+N/NvLLiBfCeEXM+eVJKMT/ybFIAVFt0fsw=="/>
  <mergeCells count="14">
    <mergeCell ref="D12:H14"/>
    <mergeCell ref="D6:H6"/>
    <mergeCell ref="D15:H15"/>
    <mergeCell ref="D4:H4"/>
    <mergeCell ref="G2:H2"/>
    <mergeCell ref="E2:F2"/>
    <mergeCell ref="D11:H11"/>
    <mergeCell ref="D9:F9"/>
    <mergeCell ref="E1:H1"/>
    <mergeCell ref="D7:F7"/>
    <mergeCell ref="D8:F8"/>
    <mergeCell ref="G3:H3"/>
    <mergeCell ref="E3:F3"/>
    <mergeCell ref="D10:F10"/>
  </mergeCells>
  <printOptions horizontalCentered="1"/>
  <pageMargins left="0.3" right="0.3" top="1.7" bottom="0.5" header="0" footer="0"/>
  <pageSetup orientation="portrait" scale="84" fitToHeight="0" useFirstPageNumber="1"/>
  <headerFooter>
    <oddHeader>&amp;C&amp;"-,Regular"&amp;15 &amp;G_x000a_Testing, Inspection, and Observation Program_x000a_2019 California Building Standards Code - OSHPD 1</oddHeader>
    <oddFooter>&amp;CSTATE OF CALIFORNIA - HEALTH AND HUMAN SERVICES AGENCY&amp;RS-H&amp;P&amp;LOSH-FD-303A (R04.26)</oddFooter>
    <evenHeader/>
    <evenFooter/>
    <firstHeader/>
    <firstFooter/>
  </headerFooter>
  <legacyDrawing xmlns:r="http://schemas.openxmlformats.org/officeDocument/2006/relationships" r:id="anysvml"/>
</worksheet>
</file>

<file path=xl/worksheets/sheet11.xml><?xml version="1.0" encoding="utf-8"?>
<worksheet xmlns="http://schemas.openxmlformats.org/spreadsheetml/2006/main">
  <sheetPr codeName="Sheet10">
    <tabColor theme="4" tint="-0.249977111117893"/>
    <outlinePr summaryBelow="1" summaryRight="1"/>
    <pageSetUpPr/>
  </sheetPr>
  <dimension ref="B1:H25"/>
  <sheetViews>
    <sheetView view="pageBreakPreview" zoomScaleNormal="100" zoomScaleSheetLayoutView="100" workbookViewId="0">
      <selection activeCell="G54" sqref="G54:L54"/>
    </sheetView>
  </sheetViews>
  <sheetFormatPr baseColWidth="10" defaultColWidth="8.83203125" defaultRowHeight="15"/>
  <cols>
    <col width="3.6640625" customWidth="1" min="1" max="1"/>
    <col width="3.33203125" customWidth="1" min="2" max="2"/>
    <col width="1.33203125" customWidth="1" min="3" max="3"/>
    <col width="25.6640625" customWidth="1" min="4" max="4"/>
    <col width="11.6640625" customWidth="1" min="5" max="5"/>
    <col width="24" customWidth="1" min="6" max="6"/>
    <col width="33.6640625" customWidth="1" min="7" max="7"/>
    <col width="13.6640625" customWidth="1" min="8" max="8"/>
    <col width="21.6640625" customWidth="1" min="9" max="9"/>
  </cols>
  <sheetData>
    <row r="1" ht="29.25" customHeight="1" thickBot="1">
      <c r="D1" s="16" t="inlineStr">
        <is>
          <t>SECTION I</t>
        </is>
      </c>
      <c r="E1" s="837" t="inlineStr">
        <is>
          <t>TIO PROGRAM APPROVAL</t>
        </is>
      </c>
      <c r="F1" s="776" t="n"/>
      <c r="G1" s="776" t="n"/>
      <c r="H1" s="778" t="n"/>
    </row>
    <row r="2" ht="11.25" customHeight="1">
      <c r="D2" s="35" t="inlineStr">
        <is>
          <t>Facility #:</t>
        </is>
      </c>
      <c r="E2" s="695" t="inlineStr">
        <is>
          <t>Facility Name:</t>
        </is>
      </c>
      <c r="F2" s="758" t="n"/>
      <c r="G2" s="56" t="inlineStr">
        <is>
          <t>Project #:</t>
        </is>
      </c>
      <c r="H2" s="760" t="n"/>
    </row>
    <row r="3" ht="25.25" customHeight="1" thickBot="1">
      <c r="D3" s="36">
        <f>IF('A-Project Info'!D12="","",'A-Project Info'!D12)</f>
        <v/>
      </c>
      <c r="E3" s="696">
        <f>IF('A-Project Info'!F12="","",'A-Project Info'!F12)</f>
        <v/>
      </c>
      <c r="F3" s="771" t="n"/>
      <c r="G3" s="803">
        <f>IF('A-Project Info'!I12="","",'A-Project Info'!I12)</f>
        <v/>
      </c>
      <c r="H3" s="797" t="n"/>
    </row>
    <row r="4" ht="27" customHeight="1">
      <c r="D4" s="838" t="inlineStr">
        <is>
          <t>This program is prepared and submitted for an OSHPD 1 project.  OSHPD 1 projects include all construction and remodel projects for: general acute care hospitals, acute psychiatric hospitals, and general acute care hospitals providing only acute medical rehabilitation center services (2019 CBC 1224.1).</t>
        </is>
      </c>
      <c r="E4" s="158" t="n"/>
      <c r="F4" s="158" t="n"/>
      <c r="G4" s="158" t="n"/>
      <c r="H4" s="159" t="n"/>
    </row>
    <row r="5" ht="37.5" customHeight="1" thickBot="1">
      <c r="D5" s="834" t="n"/>
      <c r="E5" s="773" t="n"/>
      <c r="F5" s="773" t="n"/>
      <c r="G5" s="773" t="n"/>
      <c r="H5" s="774" t="n"/>
    </row>
    <row r="6" ht="20" customHeight="1" thickBot="1">
      <c r="D6" s="839" t="inlineStr">
        <is>
          <t>Samples of Test and Inspection Reports are NOT required for tests performed by laboratories approved through OPAA Program</t>
        </is>
      </c>
      <c r="H6" s="155" t="n"/>
    </row>
    <row r="7" hidden="1" ht="68.5" customHeight="1" thickBot="1">
      <c r="D7" s="840" t="inlineStr">
        <is>
          <t xml:space="preserve">   Testing agency qualification for approval or approval of testing agencies shall be through HCAIs OPAA program.</t>
        </is>
      </c>
      <c r="E7" s="773" t="n"/>
      <c r="F7" s="773" t="n"/>
      <c r="G7" s="773" t="n"/>
      <c r="H7" s="774" t="n"/>
    </row>
    <row r="8" hidden="1" ht="116" customHeight="1">
      <c r="D8" s="841" t="inlineStr">
        <is>
          <t>Select one of the following two: OPAA or Certification by Design Professional of Record</t>
        </is>
      </c>
      <c r="E8" s="158" t="n"/>
      <c r="F8" s="158" t="n"/>
      <c r="G8" s="158" t="n"/>
      <c r="H8" s="159" t="n"/>
    </row>
    <row r="9" hidden="1" ht="97.25" customHeight="1">
      <c r="D9" s="842" t="inlineStr">
        <is>
          <t xml:space="preserve">        OPAA PROGRAM (Provide copy of OPAA program approval for OPAA approved laboratories and testing agencies) or,</t>
        </is>
      </c>
      <c r="H9" s="155" t="n"/>
    </row>
    <row r="10" hidden="1" ht="41" customHeight="1">
      <c r="D10" s="842" t="inlineStr">
        <is>
          <t xml:space="preserve">        Certification by Design Professional of Record - The qualifications, certifications, experience and independence of the approved agencies and individuals named on this form have been evaluated and accepted by the undersigned in accordance with CAC Section 7-141, 7-144 &amp; 7-149; CBC 1703A.1.1 &amp; 1704A.2.1; and ISO 17025 Section 4.1.4 as applicable. Approved agencies and individuals named for structural tests and special inspections have been evaluated and accepted by the structural engineer delegated responsibility for the design and administration of construction of the structural aspects (when such delegation has been made).       </t>
        </is>
      </c>
      <c r="H10" s="155" t="n"/>
    </row>
    <row r="11" hidden="1" ht="53" customHeight="1">
      <c r="D11" s="843" t="inlineStr">
        <is>
          <t>Samples (select one of the boxes below. See Section B, C and D for required test and inspection(s))</t>
        </is>
      </c>
      <c r="H11" s="155" t="n"/>
    </row>
    <row r="12" hidden="1" ht="39.25" customHeight="1">
      <c r="D12" s="844" t="inlineStr">
        <is>
          <t xml:space="preserve">        Samples of Test and Inspection reports to be provided following determination of the responsible firm(s) or individuals. Samples shall be submitted to and approved by the Office prior to proceeding with the work that requires test or special inspections.      </t>
        </is>
      </c>
      <c r="H12" s="155" t="n"/>
    </row>
    <row r="13" hidden="1" ht="44.75" customHeight="1">
      <c r="D13" s="845" t="inlineStr">
        <is>
          <t xml:space="preserve">           Samples attached.</t>
        </is>
      </c>
      <c r="H13" s="155" t="n"/>
    </row>
    <row r="14" hidden="1" ht="20" customHeight="1" thickBot="1">
      <c r="D14" s="846" t="inlineStr">
        <is>
          <t xml:space="preserve">           Not applicable. Project has no required test, special inspections or test will be performed by an approved OPAA program.</t>
        </is>
      </c>
      <c r="E14" s="773" t="n"/>
      <c r="F14" s="773" t="n"/>
      <c r="G14" s="773" t="n"/>
      <c r="H14" s="774" t="n"/>
    </row>
    <row r="15" ht="29" customHeight="1" thickBot="1">
      <c r="D15" s="847" t="inlineStr">
        <is>
          <t xml:space="preserve">All test and special inspection reports shall be submitted to the IOR, hospital owner, architect in responsible charge, and the structural engineer by the testing agency per CAC 7-149(a). </t>
        </is>
      </c>
      <c r="E15" s="776" t="n"/>
      <c r="F15" s="776" t="n"/>
      <c r="G15" s="776" t="n"/>
      <c r="H15" s="778" t="n"/>
    </row>
    <row r="16" ht="60.5" customHeight="1" thickBot="1">
      <c r="D16" s="847" t="inlineStr">
        <is>
          <t xml:space="preserve">Verified compliance reports shall be signed by the individual who performed the special inspection(s) as outlined in CAC 7-151 (c).
All reports shall clearly state whether the tests or special inspections were performed in accordance with the HCAI stamped approved documents and whether the results indicate compliance with those documents per CAC 7-149 (a). All IORs performing special inspections shall hold the appropriate certification and equipment, and shall obtain approval from the design professional of record and HCAI prior to performing such work. </t>
        </is>
      </c>
      <c r="E16" s="776" t="n"/>
      <c r="F16" s="776" t="n"/>
      <c r="G16" s="776" t="n"/>
      <c r="H16" s="778" t="n"/>
    </row>
    <row r="17" ht="33.5" customHeight="1" thickBot="1">
      <c r="D17" s="848" t="inlineStr">
        <is>
          <t>NOTE: This Test, Inspection, and Observation Report shall be approved by HCAI field personnel prior to start of construction.</t>
        </is>
      </c>
      <c r="E17" s="776" t="n"/>
      <c r="F17" s="776" t="n"/>
      <c r="G17" s="776" t="n"/>
      <c r="H17" s="778" t="n"/>
    </row>
    <row r="18" ht="25.25" customHeight="1">
      <c r="D18" s="697" t="n"/>
      <c r="E18" s="698" t="n"/>
      <c r="F18" s="61" t="n"/>
      <c r="G18" s="63" t="n"/>
      <c r="H18" s="193" t="n"/>
    </row>
    <row r="19" ht="25.25" customHeight="1">
      <c r="D19" s="62" t="inlineStr">
        <is>
          <t>Architect/Engineer of Record (Print Name)</t>
        </is>
      </c>
      <c r="E19" s="62" t="n"/>
      <c r="F19" s="40" t="inlineStr">
        <is>
          <t>Professional License #</t>
        </is>
      </c>
      <c r="G19" s="40" t="inlineStr">
        <is>
          <t>Architect/Engineer of Record (Signature)</t>
        </is>
      </c>
      <c r="H19" s="41" t="inlineStr">
        <is>
          <t>Date</t>
        </is>
      </c>
    </row>
    <row r="20" ht="8.5" customHeight="1" thickBot="1">
      <c r="D20" s="62" t="n"/>
      <c r="E20" s="40" t="n"/>
      <c r="F20" s="40" t="n"/>
      <c r="G20" s="40" t="n"/>
      <c r="H20" s="41" t="n"/>
    </row>
    <row r="21" ht="25.25" customHeight="1" thickBot="1">
      <c r="D21" s="849" t="inlineStr">
        <is>
          <t>FOR HCAI FIELD STAFF USE</t>
        </is>
      </c>
      <c r="E21" s="776" t="n"/>
      <c r="F21" s="776" t="n"/>
      <c r="G21" s="776" t="n"/>
      <c r="H21" s="778" t="n"/>
    </row>
    <row r="22" ht="25.25" customHeight="1">
      <c r="B22" s="1" t="n"/>
      <c r="D22" s="833" t="inlineStr">
        <is>
          <t>TIO Program Approved by HCAI Field Staff:</t>
        </is>
      </c>
      <c r="E22" s="158" t="n"/>
      <c r="F22" s="158" t="n"/>
      <c r="G22" s="158" t="n"/>
      <c r="H22" s="159" t="n"/>
    </row>
    <row r="23" ht="33" customHeight="1">
      <c r="D23" s="154" t="n"/>
      <c r="H23" s="155" t="n"/>
    </row>
    <row r="24" ht="127.5" customHeight="1" thickBot="1">
      <c r="D24" s="834" t="n"/>
      <c r="E24" s="773" t="n"/>
      <c r="F24" s="773" t="n"/>
      <c r="G24" s="773" t="n"/>
      <c r="H24" s="774" t="n"/>
    </row>
    <row r="25" ht="169.5" customHeight="1" thickBot="1">
      <c r="D25" s="835" t="inlineStr">
        <is>
          <t xml:space="preserve">
Note: HCAI plan review staff must provide verification that the TIO program has been "Reviewed" prior to plan approval to confirm the applicability of the tests and inspections identified in the TIO program for work scope,  building systems, and the construction materials shown in the design drawings.  HCAI Field staff will issue subsequent "TIO Program Approval".
If "Approved with Comments" is checked the following comments shall be resolved by the designer prior to proceeding with the related construction:</t>
        </is>
      </c>
      <c r="E25" s="123" t="n"/>
      <c r="F25" s="123" t="n"/>
      <c r="G25" s="123" t="n"/>
      <c r="H25" s="836" t="n"/>
    </row>
    <row r="26" ht="25.25" customHeight="1"/>
    <row r="27" ht="25.25" customHeight="1"/>
    <row r="28" ht="25.25" customHeight="1"/>
    <row r="29" ht="25.25" customHeight="1"/>
    <row r="30" ht="25.25" customHeight="1"/>
    <row r="31" ht="25.25" customHeight="1"/>
    <row r="32" ht="25.25" customHeight="1"/>
    <row r="33" ht="25.25" customHeight="1"/>
    <row r="34" ht="25.25" customHeight="1"/>
    <row r="35" ht="25.25" customHeight="1"/>
    <row r="36" ht="25.25" customHeight="1"/>
    <row r="37" ht="25.25" customHeight="1"/>
    <row r="38" ht="25.25" customHeight="1"/>
    <row r="50" ht="25.25" customHeight="1"/>
    <row r="56" ht="41.25" customHeight="1"/>
  </sheetData>
  <sheetProtection selectLockedCells="0" selectUnlockedCells="0" algorithmName="SHA-512" sheet="1" objects="1" insertRows="0" insertHyperlinks="1" autoFilter="1" scenarios="0" formatColumns="0" deleteColumns="1" insertColumns="1" pivotTables="1" deleteRows="0" formatCells="0" saltValue="o63HPFJLpjTst7SthWx0sA==" formatRows="0" sort="1" spinCount="100000" hashValue="qZmhwq9kzxrcuEdztM5wKctiXl1EWikLM6PPPEdoj4yfOnbpSsoQkEr1YZyBLeQUuAZTj99zAIM+MhzSxjWtnA=="/>
  <mergeCells count="21">
    <mergeCell ref="D4:H5"/>
    <mergeCell ref="D10:H10"/>
    <mergeCell ref="G2:H2"/>
    <mergeCell ref="D22:H24"/>
    <mergeCell ref="D21:H21"/>
    <mergeCell ref="D6:H6"/>
    <mergeCell ref="D11:H11"/>
    <mergeCell ref="D13:H13"/>
    <mergeCell ref="G3:H3"/>
    <mergeCell ref="D17:H17"/>
    <mergeCell ref="D7:H7"/>
    <mergeCell ref="D16:H16"/>
    <mergeCell ref="E2:F2"/>
    <mergeCell ref="E1:H1"/>
    <mergeCell ref="D9:H9"/>
    <mergeCell ref="D12:H12"/>
    <mergeCell ref="D8:H8"/>
    <mergeCell ref="D25:H25"/>
    <mergeCell ref="D15:H15"/>
    <mergeCell ref="D14:H14"/>
    <mergeCell ref="E3:F3"/>
  </mergeCells>
  <printOptions horizontalCentered="1"/>
  <pageMargins left="0.3" right="0.3" top="1.7" bottom="0.5" header="0" footer="0"/>
  <pageSetup orientation="portrait" scale="84" fitToHeight="0" useFirstPageNumber="1"/>
  <headerFooter>
    <oddHeader>&amp;C&amp;"-,Regular"&amp;15 &amp;G_x000a_Testing, Inspection, and Observation Program_x000a_2019 California Building Standards Code - OSHPD 1</oddHeader>
    <oddFooter>&amp;CSTATE OF CALIFORNIA - HEALTH AND HUMAN SERVICES AGENCY&amp;RS-I&amp;P&amp;LOSH-FD-303A (R04.26)</oddFooter>
    <evenHeader/>
    <evenFooter/>
    <firstHeader/>
    <firstFooter/>
  </headerFooter>
  <legacyDrawing xmlns:r="http://schemas.openxmlformats.org/officeDocument/2006/relationships" r:id="anysvml"/>
</worksheet>
</file>

<file path=xl/worksheets/sheet12.xml><?xml version="1.0" encoding="utf-8"?>
<worksheet xmlns="http://schemas.openxmlformats.org/spreadsheetml/2006/main">
  <sheetPr codeName="Sheet7">
    <tabColor theme="4" tint="-0.249977111117893"/>
    <outlinePr summaryBelow="1" summaryRight="1"/>
    <pageSetUpPr/>
  </sheetPr>
  <dimension ref="B1:J33"/>
  <sheetViews>
    <sheetView view="pageBreakPreview" zoomScaleNormal="100" zoomScaleSheetLayoutView="100" workbookViewId="0">
      <pane ySplit="6" topLeftCell="A33" activePane="bottomLeft" state="frozen"/>
      <selection activeCell="G54" sqref="G54:L54"/>
      <selection pane="bottomLeft" activeCell="K25" sqref="K25"/>
    </sheetView>
  </sheetViews>
  <sheetFormatPr baseColWidth="10" defaultColWidth="9" defaultRowHeight="15"/>
  <cols>
    <col width="3.6640625" customWidth="1" style="2" min="1" max="1"/>
    <col width="3.33203125" customWidth="1" style="2" min="2" max="2"/>
    <col width="1.33203125" customWidth="1" style="2" min="3" max="3"/>
    <col width="9.33203125" customWidth="1" style="2" min="4" max="4"/>
    <col width="35.6640625" customWidth="1" style="2" min="5" max="5"/>
    <col width="16.33203125" customWidth="1" style="2" min="6" max="6"/>
    <col width="17" customWidth="1" style="2" min="7" max="7"/>
    <col width="16.33203125" customWidth="1" style="2" min="8" max="8"/>
    <col width="14.33203125" customWidth="1" style="2" min="9" max="9"/>
    <col width="9" customWidth="1" style="2" min="10" max="16384"/>
  </cols>
  <sheetData>
    <row r="1" ht="57.75" customHeight="1" thickBot="1">
      <c r="D1" s="850" t="inlineStr">
        <is>
          <t>SECTION J</t>
        </is>
      </c>
      <c r="E1" s="778" t="n"/>
      <c r="F1" s="632" t="inlineStr">
        <is>
          <t xml:space="preserve">SUMMARY OF CHANGES TO THE TIO PROGRAM
NOTE: Note all changes shall be approved as amended construction documents per CAC 7-153, or “concurred with” as non-material alterations per CAC 7-153(b), by HCAI prior to proceeding with the related work.
</t>
        </is>
      </c>
      <c r="G1" s="776" t="n"/>
      <c r="H1" s="776" t="n"/>
      <c r="I1" s="778" t="n"/>
    </row>
    <row r="2" ht="11.25" customHeight="1">
      <c r="D2" s="35" t="inlineStr">
        <is>
          <t>Facility #:</t>
        </is>
      </c>
      <c r="E2" s="695" t="inlineStr">
        <is>
          <t>Facility Name:</t>
        </is>
      </c>
      <c r="F2" s="757" t="n"/>
      <c r="G2" s="758" t="n"/>
      <c r="H2" s="56" t="inlineStr">
        <is>
          <t>Project #:</t>
        </is>
      </c>
      <c r="I2" s="760" t="n"/>
    </row>
    <row r="3" ht="25.25" customHeight="1" thickBot="1">
      <c r="D3" s="36">
        <f>IF('A-Project Info'!D12="","",'A-Project Info'!D12)</f>
        <v/>
      </c>
      <c r="E3" s="696">
        <f>IF('A-Project Info'!F12="","",'A-Project Info'!F12)</f>
        <v/>
      </c>
      <c r="F3" s="770" t="n"/>
      <c r="G3" s="771" t="n"/>
      <c r="H3" s="803">
        <f>IF('A-Project Info'!I12="","",'A-Project Info'!I12)</f>
        <v/>
      </c>
      <c r="I3" s="797" t="n"/>
      <c r="J3" s="66" t="n"/>
    </row>
    <row r="4" ht="27" customHeight="1" thickBot="1">
      <c r="D4" s="743" t="inlineStr">
        <is>
          <t>TESTING, INSPECTION, AND OBSERVATION PROGRAM NON-MATERIALLY ALTERING CHANGES
BY THE ARCHITECT OF RECORD / ENGINEER OF RECORD IN RESPONSIBLE CHARGE</t>
        </is>
      </c>
      <c r="E4" s="773" t="n"/>
      <c r="F4" s="773" t="n"/>
      <c r="G4" s="773" t="n"/>
      <c r="H4" s="774" t="n"/>
      <c r="I4" s="851" t="inlineStr">
        <is>
          <t>HCAI FDD CONCURRENCE (Initial/date)</t>
        </is>
      </c>
    </row>
    <row r="5" ht="26.5" customHeight="1" thickBot="1">
      <c r="D5" s="748" t="inlineStr">
        <is>
          <t>A signature below indicates that the DPOR has verified the acceptance statements in Section I of this Form are applicable to any approved agencies/testing laboratories and special inspectors added.</t>
        </is>
      </c>
      <c r="E5" s="776" t="n"/>
      <c r="F5" s="776" t="n"/>
      <c r="G5" s="776" t="n"/>
      <c r="H5" s="776" t="n"/>
      <c r="I5" s="806" t="n"/>
    </row>
    <row r="6" ht="40.25" customHeight="1" thickBot="1">
      <c r="B6" s="1" t="n"/>
      <c r="D6" s="33" t="inlineStr">
        <is>
          <t>REVISION NUMBER</t>
        </is>
      </c>
      <c r="E6" s="33" t="inlineStr">
        <is>
          <t>SYNOPSIS OF CHANGE</t>
        </is>
      </c>
      <c r="F6" s="33" t="inlineStr">
        <is>
          <t>Architect/Engineer of Record Signature             (Initial/date)</t>
        </is>
      </c>
      <c r="G6" s="33" t="inlineStr">
        <is>
          <t>Structural Engineer of Record Signature (Initial/date)</t>
        </is>
      </c>
      <c r="H6" s="627" t="inlineStr">
        <is>
          <t>DATE of Effective Change</t>
        </is>
      </c>
      <c r="I6" s="807" t="n"/>
    </row>
    <row r="7" ht="189.5" customHeight="1">
      <c r="D7" s="44" t="n">
        <v>1</v>
      </c>
      <c r="E7" s="232" t="inlineStr">
        <is>
          <t xml:space="preserve">Updated Section A to remove B1L from description of initial stages. Clarified Stage 7 as B1L. Clarified Stage 14 as "all remaining"
Updated Section B, C, &amp; D for each structural stage.
Updated Section F to include milestone on Stage 14 for mass concrete temperature
Updated Section F to clarify stages that are split into first half &amp; second half. Including splitting up Stage 15 &amp; 16 into two milestones. Corrected minor typos.
Added IORs and their responsibilties to Section G. 
Updated RMA fire protection listed individuals. 
</t>
        </is>
      </c>
      <c r="F7" s="230" t="n">
        <v>45463</v>
      </c>
      <c r="G7" s="231" t="n">
        <v>45463</v>
      </c>
      <c r="H7" s="203" t="n">
        <v>45463</v>
      </c>
      <c r="I7" s="220" t="inlineStr">
        <is>
          <t>LSG 6/24/2024</t>
        </is>
      </c>
    </row>
    <row r="8" ht="66.5" customHeight="1">
      <c r="D8" s="44" t="n">
        <v>2</v>
      </c>
      <c r="E8" s="232" t="inlineStr">
        <is>
          <t>Remove C-C7 from Stage 1 as this scope is instead addressed in Inc 1 Stage 2. Remove individuals names from R+C listing on Stage 1 C-F3 (see attached list of names); add RMA (in addition to R+C) as responsible for C-F3 Stage 1.</t>
        </is>
      </c>
      <c r="F8" s="230" t="n">
        <v>45488</v>
      </c>
      <c r="G8" s="230" t="n">
        <v>45488</v>
      </c>
      <c r="H8" s="230" t="n">
        <v>45488</v>
      </c>
      <c r="I8" s="220" t="inlineStr">
        <is>
          <t>LSG 7/17/2024</t>
        </is>
      </c>
    </row>
    <row r="9" ht="68" customHeight="1">
      <c r="B9" s="3" t="n"/>
      <c r="D9" s="44" t="n">
        <v>3</v>
      </c>
      <c r="E9" s="232" t="inlineStr">
        <is>
          <t>Stages and respective tests have been updated with structural revisions per DSE, NYA, and HDR field meetings held on 7/23/24, 8/12/24, and 8/20/24 and with MEP revisions per CO and HDR field meetings held on 8/9/24 and 8/23/24.</t>
        </is>
      </c>
      <c r="F9" s="230" t="n">
        <v>45531</v>
      </c>
      <c r="G9" s="231" t="n">
        <v>45531</v>
      </c>
      <c r="H9" s="203" t="n">
        <v>45531</v>
      </c>
      <c r="I9" s="220" t="inlineStr">
        <is>
          <t>Patrick Carroll
9/6/2024</t>
        </is>
      </c>
    </row>
    <row r="10" ht="71" customHeight="1">
      <c r="D10" s="44" t="n">
        <v>4</v>
      </c>
      <c r="E10" s="232" t="inlineStr">
        <is>
          <t>Section G has been updated to include two new IORs (Eli Chessen and David Burke) with respective scopes of inspection updated amongst all IORs.</t>
        </is>
      </c>
      <c r="F10" s="230" t="n">
        <v>45541</v>
      </c>
      <c r="G10" s="231" t="n">
        <v>45541</v>
      </c>
      <c r="H10" s="203" t="n">
        <v>45541</v>
      </c>
      <c r="I10" s="220" t="inlineStr">
        <is>
          <t>Richard George 9/6/2024</t>
        </is>
      </c>
    </row>
    <row r="11" ht="43.25" customHeight="1">
      <c r="D11" s="44" t="n">
        <v>5</v>
      </c>
      <c r="E11" s="232" t="inlineStr">
        <is>
          <t>Section G has been updated to include IOR Nathaniel Cutler with scope definition.</t>
        </is>
      </c>
      <c r="F11" s="230" t="n">
        <v>45642</v>
      </c>
      <c r="G11" s="231" t="n">
        <v>45642</v>
      </c>
      <c r="H11" s="203" t="n">
        <v>45642</v>
      </c>
      <c r="I11" s="220" t="inlineStr">
        <is>
          <t>Richard George 1/9/2025</t>
        </is>
      </c>
    </row>
    <row r="12" ht="45.5" customHeight="1">
      <c r="D12" s="44" t="n">
        <v>6</v>
      </c>
      <c r="E12" s="232" t="inlineStr">
        <is>
          <t xml:space="preserve">Revised stage name and description for Stage 7. Added C-S1, C-S2, D-S3, and D-S4 to Stages 13, 20, 25, and 28 to include shop and field welding for welded couplers and studs. </t>
        </is>
      </c>
      <c r="F12" s="230" t="n">
        <v>45672</v>
      </c>
      <c r="G12" s="231" t="n">
        <v>45672</v>
      </c>
      <c r="H12" s="203" t="n">
        <v>45672</v>
      </c>
      <c r="I12" s="220" t="inlineStr">
        <is>
          <t>Shane Gross
2/4/25</t>
        </is>
      </c>
    </row>
    <row r="13" ht="247.25" customHeight="1">
      <c r="D13" s="44" t="n">
        <v>7</v>
      </c>
      <c r="E13" s="232" t="inlineStr">
        <is>
          <t>Stage 5: Add note for EG75 WP Grout
Stage 6: Add Slab &amp; Wall Drainage
Stage 12: Add Waterproofing
Stage 16: Add Slab &amp; Wall Drainage
Stage 19: Add Waterproofing
Stage 21: Revise to note ALL locations &amp; Add "Mfr continuous observation during grouting"
Stage 22: added note "SEOR select tieback mockup loc, i.e. most restrictive area where wall strength is a concern; include substrate prep, tieback cover inst, WP memb inst around tieback cover"
Stage 32: Add "includes termination detail, does not include positive side waterproofing of foundation elements"
Stage 36: Add Slab &amp; Wall Drainage
Stage 38: Add Slab &amp; Wall Drainage
Stage 40: Add Slab &amp; Wall Drainage
MS 5, 18, 19: Remove SP INSP
MS 6, 20 &amp; 21: Add SGH VCR
MS 29 &amp; 30: Add SEOR &amp; SGH/CEOR VCR
Added MS 13 &amp; 26</t>
        </is>
      </c>
      <c r="F13" s="230" t="n">
        <v>45719</v>
      </c>
      <c r="G13" s="231" t="n">
        <v>45719</v>
      </c>
      <c r="H13" s="203" t="n">
        <v>45719</v>
      </c>
      <c r="I13" s="220" t="inlineStr">
        <is>
          <t>Shane Gross
3/25/2025</t>
        </is>
      </c>
    </row>
    <row r="14" ht="307.25" customHeight="1">
      <c r="D14" s="44" t="n">
        <v>8</v>
      </c>
      <c r="E14" s="232" t="inlineStr">
        <is>
          <t>Remove inspection C-F3 from Stages 3, 4, 7, and 14.
Add tests and inspection B-F1, B-F2, and C-F1 to Stage 9. 
For C-F1, show "RMA and/or R+C" as the responsible agency/individual in Stages 9, 11, 18, and 24.
Add OPAA-0020 CTS as responsible party for the tests and inspections noted below, related to the INC 3 Structural Steel, Welded Half Couplers scope.
Stage 13: B-C5, B-S1, B-S3, C-C7, C-S1, C-S2, D-C7, D-S1, D-S2, D-S3, D-S4
Stage 20: B-C5, B-S1, B-S3, C-C7, C-S1, C-S2, D-C7, D-S1, D-S2, D-S3, D-S4
Stage 25: B-S1, B-S3, C-S1, C-S2, D-S1, D-S2, D-S3, D-S4
Stage 28: B-S1, B-S3, C-S1, C-S2, D-S1, D-S2, D-S3, D-S4
Removoe C-C13 from Stage 1 as it's not appplicable.
SEOR acceptances of James Stuckey (ASNT RT Leve IIl), Nick Alvarez (ASNT RT Level II), and Richard Gonzalez (ASNT RT Level II) as TCE inspectors (computerized radiographic inspection) for Stage 3, 5, 7, and 14 for C-C13.</t>
        </is>
      </c>
      <c r="F14" s="230" t="n">
        <v>45750</v>
      </c>
      <c r="G14" s="230" t="n">
        <v>45750</v>
      </c>
      <c r="H14" s="230" t="n">
        <v>45750</v>
      </c>
      <c r="I14" s="220" t="inlineStr">
        <is>
          <t xml:space="preserve">Shane Gross   
4/25/2025                      </t>
        </is>
      </c>
    </row>
    <row r="15" ht="52.25" customHeight="1">
      <c r="D15" s="44" t="n">
        <v>9</v>
      </c>
      <c r="E15" s="232" t="inlineStr">
        <is>
          <t>Remove D-S3 Steel (shop welding) and D-S4 (shop welding WPS) from Stage 3 because optin to field-weld per 12/S5.204 was not needed.</t>
        </is>
      </c>
      <c r="F15" s="230" t="n">
        <v>45775</v>
      </c>
      <c r="G15" s="230" t="n">
        <v>45776</v>
      </c>
      <c r="H15" s="230" t="n">
        <v>45777</v>
      </c>
      <c r="I15" s="220" t="inlineStr">
        <is>
          <t>Shane Gross
4/29/2025</t>
        </is>
      </c>
    </row>
    <row r="16" ht="145.25" customHeight="1">
      <c r="D16" s="44" t="n">
        <v>10</v>
      </c>
      <c r="E16" s="232" t="inlineStr">
        <is>
          <t>Added Stage 41 on Column Base Plates, adding tests B-S1, B-S4, C-S2, C-S4, D-S1, D-S3, and D-S4. 
Updated language of the responsible approved agency combo with RMA/CTS to say "RMA / CTS (Structural Steel &amp; Welded Half Couplers attached to Inc 3 Cols)."
Deleted CTS from test C-C7 for Stage 13. 
Added Milestone 47 Stage 41: Column Base Plates.</t>
        </is>
      </c>
      <c r="F16" s="230" t="n">
        <v>45785</v>
      </c>
      <c r="G16" s="231" t="n">
        <v>45785</v>
      </c>
      <c r="H16" s="203" t="n">
        <v>45785</v>
      </c>
      <c r="I16" s="220" t="inlineStr">
        <is>
          <t>Shane Gross
5/15/2025</t>
        </is>
      </c>
    </row>
    <row r="17" ht="73.25" customHeight="1">
      <c r="D17" s="44" t="n">
        <v>11</v>
      </c>
      <c r="E17" s="232" t="inlineStr">
        <is>
          <t>CTS may perform inspections where RMA is
indicated on this TIO. Further delineation of
scope and resulting special inspector revisions
to the TIO will follow.</t>
        </is>
      </c>
      <c r="F17" s="230" t="n">
        <v>45791</v>
      </c>
      <c r="G17" s="230" t="n">
        <v>45791</v>
      </c>
      <c r="H17" s="230" t="n">
        <v>45791</v>
      </c>
      <c r="I17" s="220" t="inlineStr">
        <is>
          <t>Richard George
5/14/2025</t>
        </is>
      </c>
    </row>
    <row r="18" ht="119.5" customHeight="1">
      <c r="D18" s="44" t="n">
        <v>12</v>
      </c>
      <c r="E18" s="232" t="inlineStr">
        <is>
          <t>Remove IOR David Burke; add IORs Steven Spalding and Gregory Villalba. Revise IOR responsibilities of stages on Section G to reflect the following scopes per IOR: concrete/rebar stages split between IORs Martin Scott, Gregory Villalba, and Eli Chessen, Nathaniel Cutler responsible for early steel, Douglas Hahn responsible for underground utilities and other work not summarized, and Steven Spalding responsible for waterproofing.</t>
        </is>
      </c>
      <c r="F18" s="258" t="n">
        <v>45797</v>
      </c>
      <c r="G18" s="231" t="n">
        <v>45797</v>
      </c>
      <c r="H18" s="203" t="n">
        <v>45797</v>
      </c>
      <c r="I18" s="220" t="inlineStr">
        <is>
          <t>Stephen Jackson
5/28/2025</t>
        </is>
      </c>
    </row>
    <row r="19" ht="134.5" customHeight="1">
      <c r="D19" s="44" t="n">
        <v>13</v>
      </c>
      <c r="E19" s="232" t="inlineStr">
        <is>
          <t>Remove Milestone 45: Certificate of Occupancy by labeling Not Used as this Inc does not have occupiable spaces.
Remove B-E15 from all Stages (6, 16, 27, 36, 38, and 40) because there are no electrical torque requirements in this increment.
Stage 6: Add C-C5 and B-C14 for conduit/piping anchorage used in B1L area only.
Stage 6, 36, 38: Remove B-ME7 as there is no HDPE piping in Areas B1L, B, C</t>
        </is>
      </c>
      <c r="F19" s="258" t="n">
        <v>45810</v>
      </c>
      <c r="G19" s="231" t="n">
        <v>45810</v>
      </c>
      <c r="H19" s="203" t="n">
        <v>45810</v>
      </c>
      <c r="I19" s="220" t="inlineStr">
        <is>
          <t>Stephen Jackson
6/4/2025</t>
        </is>
      </c>
    </row>
    <row r="20" ht="409.25" customHeight="1">
      <c r="D20" s="44" t="n">
        <v>14</v>
      </c>
      <c r="E20" s="265" t="inlineStr">
        <is>
          <t>Follow-up revisions to approved Delta 11 Special Inspector Revisions as follows:
Remove "initial" from Stage 22 name and description, revising all mentions of Stage 22 in Sections A, B, C, D, and F to "Tieback Cover" only. Revise Stage 22 description to remove requirement for SOER to select tieback mockup location.
Add company name Fenagh where OPAA-0016 is listed in all locations.
Correct RMA OPAA number to OPAA-0015 where incorrect listing was shown.
Stages 14 and 17 – update Stage descriptions in Section A to reference RMA Scope Clarification Exhibit.
Section B: Stage 7, 9, 10, 11, 12, 18, 19, 20, 24, 25, 27, 28, 29, 30, 31, 33: Replace RMA with CTS on all concrete and foundation line items.
Section B: Stage 11, 12, 13, 18, 19, 20, 25, 27, 28, 29, 30, 31, 33: Replace RMA with Fenagh, CTS on all steel line-items
Section B Stage 13: Replace RMA with Fenagh, CTS for B-C5, replace RMA with CTS for B-C7
Section B: Stage 14, 17: Add CTS in addition to RMA for all concrete lines
Section B: Stage 41: Add Fenagh in addition to CTS for all steel lines
Section B: Stage 14: Add Fenagh and CTS to RMA for all steel lines.
Section C: Stage 7, 9, 10, 11, 12, 13, 18, 19, 20, 24, 25, 27, 28, 29, 30, 31, 33: Replace RMA with CTS on all concrete and foundation line items (Exception Stage 7 C-C13: Add CTS to RMA)
Section C: Stage 13, 20, 25, 28: Replace RMA with Fenagh, CTS on all steel line-items
Section C: Stage 26, 41: Replace RMA with CTS on all steel line-items
Section C: Stage 14, 17: Add CTS in addition to RMA for all soils and concrete lines
Section C: Stage 19: Update C-FP3 responsibilities from RMA to CTS.
Section D: Stage 7, 9, 10, 11, 12, 13, 18, 19, 20, 24, 25, 27, 29, 30, 31, 33: Replace RMA with CTS on all concrete and foundation line items. (Exception Stage 20 &amp; 28 D-C7: Add Fenagh to CTS, remove RMA)
Section D: Stage 11, 12, 18, 19, 20, 24, 25, 27, 28, 29, 30, 31, 33: Replace RMA with Fenagh, CTS on all steel line-items
Section D: Stage 13: Remove RMA, add Fenagh (keep CTS) on all steel line-items
Section D: Stage 14: Add CTS to RMA for D-C2, D-C3, D-C4, D-C7, D-C8. Replace RMA with CTS for D-C15, D-C16. Add Fenagh and CTS to RMA for D-S1, D-S3, and D-S4. Add test D-S2 (RMA, CTS)
Section D: Stage 17: Add CTS to RMA
Section D: Stage 26, 41: Add Fenagh, CTS to RMA for D-S4
Section D: Stage 41: Add Fenagh, to D-S1, D-S2
Section F: Milestones 5, 29, and 30: Remove SEOR. 
Add test B-S3 to Stage 14.
Add tests B-S1 and B-S3, both CTS, to Stage 24.
Add test C-C5 (CTS) to Stage 24.
Add test C-S2 (CTS) to Stage 26.</t>
        </is>
      </c>
      <c r="F20" s="258" t="n">
        <v>45818</v>
      </c>
      <c r="G20" s="231" t="n">
        <v>45818</v>
      </c>
      <c r="H20" s="266" t="n">
        <v>45818</v>
      </c>
      <c r="I20" s="220" t="inlineStr">
        <is>
          <t>Stephen Jackson
6/18/2025</t>
        </is>
      </c>
    </row>
    <row r="21" ht="105.5" customHeight="1">
      <c r="D21" s="74" t="n">
        <v>15</v>
      </c>
      <c r="E21" s="267" t="inlineStr">
        <is>
          <t>A supplemental document of proposed steel shop inspectors has been added to this TIO until CTS-OPAA-0020 is approved. Inspectors are NYA-approved and will perform inspections at Recal’s facility in Mexico. This revision is submitted for HCAI review and initialing.</t>
        </is>
      </c>
      <c r="F21" s="270" t="n">
        <v>45845</v>
      </c>
      <c r="G21" s="268" t="n">
        <v>45845</v>
      </c>
      <c r="H21" s="269" t="n">
        <v>45845</v>
      </c>
      <c r="I21" s="272" t="inlineStr">
        <is>
          <t>Shane Gross
7/7/2025</t>
        </is>
      </c>
    </row>
    <row r="22" ht="51" customHeight="1">
      <c r="D22" s="74" t="n">
        <v>16</v>
      </c>
      <c r="E22" s="267" t="inlineStr">
        <is>
          <t>Add replace Fenagh with RMA as special inspector
on Stage 13 for the following tests: B-S1, B-S3,
D-S1, D-S2, D-S3, and D-S4.</t>
        </is>
      </c>
      <c r="F22" s="270" t="n">
        <v>45855</v>
      </c>
      <c r="G22" s="268" t="n">
        <v>45855</v>
      </c>
      <c r="H22" s="269" t="n">
        <v>45855</v>
      </c>
      <c r="I22" s="272" t="inlineStr">
        <is>
          <t>Shane Gross
7/18/2025</t>
        </is>
      </c>
    </row>
    <row r="23" ht="78" customHeight="1">
      <c r="D23" s="74" t="n">
        <v>17</v>
      </c>
      <c r="E23" s="267" t="inlineStr">
        <is>
          <t>Section G Edits: Add IOR Daniel Reyes, scope is "Secondary/misc. Steel Scope” with Y for off-site. Correct IOR Gregory Villalba license number.
Stage 19: add C-S2, D-S3, and D-S4 for HSS bearing assembly.</t>
        </is>
      </c>
      <c r="F23" s="270" t="n">
        <v>45890</v>
      </c>
      <c r="G23" s="268" t="n">
        <v>45890</v>
      </c>
      <c r="H23" s="269" t="n">
        <v>45890</v>
      </c>
      <c r="I23" s="272" t="inlineStr">
        <is>
          <t>Shane Gross
8/28/2025</t>
        </is>
      </c>
    </row>
    <row r="24" ht="64.75" customHeight="1">
      <c r="D24" s="74" t="n">
        <v>18</v>
      </c>
      <c r="E24" s="267" t="inlineStr">
        <is>
          <t xml:space="preserve">SEOR acceptance of Brandon Doyel (ASNT RT Level II) and Nathan Chalk (ASNT RT Level II) as TCE Inspectors (computerized radiographic inspection) for Stage 7 &amp; Stage 14 C-C13. </t>
        </is>
      </c>
      <c r="F24" s="270" t="n">
        <v>45918</v>
      </c>
      <c r="G24" s="268" t="n">
        <v>45918</v>
      </c>
      <c r="H24" s="269" t="n">
        <v>45918</v>
      </c>
      <c r="I24" s="272" t="inlineStr">
        <is>
          <t>Shane Gross
9/18/2025</t>
        </is>
      </c>
    </row>
    <row r="25" ht="409.25" customHeight="1">
      <c r="D25" s="74" t="n">
        <v>19</v>
      </c>
      <c r="E25" s="377" t="inlineStr">
        <is>
          <t>Revise waterproofing Stages 5, 15, 21, 23, 32, 37, and 39 to "Not Used" since there are no line-items for these stages, so stages are not needed. Remove references to these stages in Milestones. 
Consolidate Stage 17 (Deep Grade Beams) scope to Stage 14 (Pier &amp; Wall Caps) because these elements will be poured at the same time. Consolidate Milestones 16 (Stage 14: Pier &amp; Wall Caps 1st Half), MS 17 (Stage 14: Pier &amp; Wall Caps 2nd Half), and MS 22 (Stage 17: Deep Grade Beams) into a single Milestone 16: Stage 14 (Pier &amp; Wall Caps &amp; Deep Grade Beams Complete) 
Replace "CIP" with "Concrete" on Stage 12 and 19 titles and associate MS 25 and 26 since walls will be combination of CIP and shotcrete.
Remove MS 15: Stage 14: Review of Mass Concrete since this topic is regularly reviewed.  
Consolidate MS 24: Stage 18: SOG &amp; Shallow Grade Beams (2nd Half) with MS 23: Stage 18: SOG &amp; Shallow Grade Beams (1st Half); remove reference to "1st half" from MS 23 since it will capture entire scope.
Consolidate 2026 Infill Stages and Milestones into one Stage (Stage 29: SOG, Chiller Room, &amp; Tank Wall leave-outs) and Milestone as follows: Stage 29: SOG Block-out Infills, Stage 30: Chiller Room Wall leavouts, Stage 31: Tank Wall Leave-outs. Consolodate associated DPOR VCRs and tests and inspections.
Remove MS 41 Installation of temp equipment and MS 42 removal of temp equipment as both are not relevant to this scope. 
Add Stage 42: Construction Final to capture all content not captured in other stages. No line-items added at this time.
Updated Section G IOR scope of inspection accordingly.</t>
        </is>
      </c>
      <c r="F25" s="270" t="n">
        <v>45939</v>
      </c>
      <c r="G25" s="270" t="n">
        <v>45939</v>
      </c>
      <c r="H25" s="270" t="n">
        <v>45939</v>
      </c>
      <c r="I25" s="272" t="inlineStr">
        <is>
          <t>Shane Gross
11/5/2025.
HCAI comment: Deletion of Waterproofing Stages pending acceptance by Compliance Officer and Shall be resolved in the next TIO revision.</t>
        </is>
      </c>
    </row>
    <row r="26" ht="103.75" customHeight="1" thickBot="1">
      <c r="D26" s="44" t="n">
        <v>20</v>
      </c>
      <c r="E26" s="232" t="inlineStr">
        <is>
          <t>A supplemental document (dated 10/29/25) of proposed steel shop inspectors has been added to this TIO until CTS-OPAA-0020 is approved. Inspectors are NYA-approved and will perform inspections at Recal's facility in Mexico. This revision is submitted for HCAI review and initialing.</t>
        </is>
      </c>
      <c r="F26" s="230" t="n">
        <v>45966</v>
      </c>
      <c r="G26" s="231" t="n">
        <v>45966</v>
      </c>
      <c r="H26" s="203" t="n">
        <v>45966</v>
      </c>
      <c r="I26" s="378" t="inlineStr">
        <is>
          <t>Shane Gross
11/6/2025</t>
        </is>
      </c>
    </row>
    <row r="27" ht="73.75" customHeight="1" thickBot="1">
      <c r="D27" s="44" t="n">
        <v>21</v>
      </c>
      <c r="E27" s="232" t="inlineStr">
        <is>
          <t>Change Responsible Approved Agency to CTS, Fenagh from RMA for Stage 11 lines B-S1 and B-S3. 
Change Responsible Approved Agency to be RMA and CTS, Fenagh for Stage 9 lines B-S1 and B-S3.</t>
        </is>
      </c>
      <c r="F27" s="230" t="n">
        <v>45992</v>
      </c>
      <c r="G27" s="231" t="n">
        <v>45992</v>
      </c>
      <c r="H27" s="203" t="n">
        <v>45992</v>
      </c>
      <c r="I27" s="224" t="n"/>
    </row>
    <row r="28" ht="133.25" customHeight="1" thickBot="1">
      <c r="D28" s="44" t="n">
        <v>22</v>
      </c>
      <c r="E28" s="232" t="inlineStr">
        <is>
          <t>Add CTS and Fenagh to RMA as Responsible Approved Agency for Stage 9 lines D-S1 and D-S2.
A supplemental document (dated 12/10/25) of proposed steel shop inspectors has been added to this TIO until CTS-OPAA-0020 is approved. Inspectors are NYA-approved and will perform inspections at Recal's facility in Mexico. This revision is submitted for HCAI review and initialing.
Remove C-C13 from Milestone 11 as this test isn't applicable to the scope</t>
        </is>
      </c>
      <c r="F28" s="230" t="n">
        <v>46000</v>
      </c>
      <c r="G28" s="231" t="n">
        <v>46000</v>
      </c>
      <c r="H28" s="231" t="n">
        <v>46000</v>
      </c>
      <c r="I28" s="224" t="n"/>
    </row>
    <row r="29" ht="409.5" customHeight="1" thickBot="1">
      <c r="D29" s="44" t="n">
        <v>23</v>
      </c>
      <c r="E29" s="232" t="inlineStr">
        <is>
          <t>Add Waterproofing under IOR responsibility to Section C for the following Stages: 9, 10, 12, 14, 19, and 22
Add Dampproofing under IOR responsibility to Section C for the following Stages: 18, 27, 29 and 33.
Update Stage descriptions to include waterproofing for the following stages: 9, 10, 14.
Update Stage descriptions to include dampproofing for the following stages: 18
Add SGH to the following Milestones based on edits above: 9 (Stage 9), 10 (Stage 10), 12 (Stage 12), 16 (Stage 14), 23 (Stage 18), 25 (Stage 19), 34 (Stage 27), 36 (Stage 29), 40 (Stage 33), Stage 47 (Const. Final).
Remove the following water-proofing only Milestones 13, 18, 19, 26, 28, and 39 as these scope have been incorporated into other stages.
Removed CTS (SP INSP) from Milestone 6.
Add back Stage 5 B1L Underslab Waterproofing; include lines for waterproofing C-0T1 and Dampproofing C-0T2.
Add Subsoil Drainage System line C-OT3 to Stages 6, 14, 16, 36, 38, 40.
Update Section G IOR Responsibilities to clarify IOR responsibility revisions as of Oct. 2025: Doug Hahn as responsible fo r subslab drainage and Steve Spalding as responsible for MEP</t>
        </is>
      </c>
      <c r="F29" s="230" t="n">
        <v>46008</v>
      </c>
      <c r="G29" s="230" t="n">
        <v>46008</v>
      </c>
      <c r="H29" s="230" t="n">
        <v>46008</v>
      </c>
      <c r="I29" s="224" t="n"/>
      <c r="J29" s="13" t="n"/>
    </row>
    <row r="30" ht="46" customHeight="1" thickBot="1">
      <c r="D30" s="44" t="n">
        <v>24</v>
      </c>
      <c r="E30" s="232" t="inlineStr">
        <is>
          <t>Add C-OT4 Wall Drainage line item to Perimeter Wall Stages 12 and 19 to address CO Delta 23 Approval with Comment.</t>
        </is>
      </c>
      <c r="F30" s="230" t="n">
        <v>46031</v>
      </c>
      <c r="G30" s="230" t="n">
        <v>46031</v>
      </c>
      <c r="H30" s="230" t="n">
        <v>46031</v>
      </c>
      <c r="I30" s="224" t="n"/>
      <c r="J30" s="13" t="n"/>
    </row>
    <row r="31" ht="129" customHeight="1" thickBot="1">
      <c r="D31" s="44" t="n">
        <v>25</v>
      </c>
      <c r="E31" s="232" t="inlineStr">
        <is>
          <t xml:space="preserve">Add C-S2, D-S3, and D-S4 to Stage 12 since the section of initial perimeter wall includes these elements with CTS &amp; Fenagh as responsible. Remove C-C13 from Stage 12 as this scope isn't applicable.
A supplemental document (dated 12/23/25) of proposed steel shop inspectors has been added to this TIO until CTS-OPAA-0020 is approved. Inspectors are NYA-approved and will perform inspections at Recal's facility in Mexico. This revision is submitted for HCAI review and initialing. </t>
        </is>
      </c>
      <c r="F31" s="230" t="n">
        <v>46038</v>
      </c>
      <c r="G31" s="230" t="n">
        <v>46038</v>
      </c>
      <c r="H31" s="230" t="n">
        <v>46038</v>
      </c>
      <c r="I31" s="224" t="n"/>
    </row>
    <row r="32" ht="86.5" customHeight="1" thickBot="1">
      <c r="D32" s="44" t="n">
        <v>26</v>
      </c>
      <c r="E32" s="232" t="inlineStr">
        <is>
          <t xml:space="preserve">A supplemental document (dated 2/14/26) of proposed steel shop inspectors has been added to this TIO until CTS-OPAA-0020 is approved. Inspectors are NYA-approved and will perform inspections at Recal's facility in Mexico. This revision is submitted for HCAI review and initialing. </t>
        </is>
      </c>
      <c r="F32" s="230" t="n">
        <v>46069</v>
      </c>
      <c r="G32" s="230" t="n">
        <v>46069</v>
      </c>
      <c r="H32" s="230" t="n">
        <v>46069</v>
      </c>
      <c r="I32" s="224" t="n"/>
    </row>
    <row r="33" ht="148.75" customHeight="1" thickBot="1">
      <c r="D33" s="44" t="n">
        <v>27</v>
      </c>
      <c r="E33" s="232" t="inlineStr">
        <is>
          <t>Repurpose Not Used Stage 15 to Utility Racks to address scope in approved ACD 172: Added structural tests B-S1, D-S1, D-S3, &amp; D-S4. Added Milestone 15 for Stage 15: Utility Racks Complete with VCRs required from AOR, SEOR, MEOR, CONT, IOR, SP INSP, and Test Lab. Added Stage 15 to IOR Daniel Reyes' responsibility in Section G.
Add GEOR as required VCR to MS 23 and MS 31.
Remove GEOR and Special Inspector as required VCRs from MS 2, as they have no scope.
Add C-S1 to Stage 19 for connection to Inc 1 shoring.</t>
        </is>
      </c>
      <c r="F33" s="230" t="n">
        <v>46090</v>
      </c>
      <c r="G33" s="230" t="n">
        <v>46090</v>
      </c>
      <c r="H33" s="230" t="n">
        <v>46090</v>
      </c>
      <c r="I33" s="224" t="n"/>
    </row>
  </sheetData>
  <sheetProtection selectLockedCells="0" selectUnlockedCells="0" algorithmName="SHA-512" sheet="1" objects="1" insertRows="0" insertHyperlinks="1" autoFilter="1" scenarios="0" formatColumns="0" deleteColumns="1" insertColumns="1" pivotTables="1" deleteRows="0" formatCells="0" saltValue="LozxEYE42YqY2Ess1/PAxg==" formatRows="0" sort="1" spinCount="100000" hashValue="+c1Jge8iqJvwurSyNAB93pBFLD/3QGb7X5x38eO6+Kd618VeQO5WSovNXn7mtHVpuYvpPyixrxw9MoWgfsrktA=="/>
  <mergeCells count="9">
    <mergeCell ref="E2:G2"/>
    <mergeCell ref="H2:I2"/>
    <mergeCell ref="F1:I1"/>
    <mergeCell ref="D1:E1"/>
    <mergeCell ref="I4:I6"/>
    <mergeCell ref="D5:H5"/>
    <mergeCell ref="E3:G3"/>
    <mergeCell ref="D4:H4"/>
    <mergeCell ref="H3:I3"/>
  </mergeCells>
  <printOptions horizontalCentered="1"/>
  <pageMargins left="0.3" right="0.3" top="1.7" bottom="0.5" header="0" footer="0"/>
  <pageSetup orientation="portrait" scale="78" fitToHeight="0" useFirstPageNumber="1"/>
  <headerFooter>
    <oddHeader>&amp;C&amp;"-,Regular"&amp;15 &amp;G_x000a_Testing, Inspection, and Observation Program_x000a_2019 California Building Standards Code - OSHPD 1</oddHeader>
    <oddFooter>&amp;CSTATE OF CALIFORNIA - HEALTH AND HUMAN SERVICES AGENCY&amp;RS-J&amp;P&amp;LOSH-FD-303A (R04.26)</oddFooter>
    <evenHeader/>
    <evenFooter/>
    <firstHeader/>
    <firstFooter/>
  </headerFooter>
  <rowBreaks count="6" manualBreakCount="6">
    <brk id="12" min="3" max="8" man="1"/>
    <brk id="15" min="3" max="8" man="1"/>
    <brk id="19" min="3" max="8" man="1"/>
    <brk id="22" min="3" max="8" man="1"/>
    <brk id="24" min="3" max="8" man="1"/>
    <brk id="26" min="3" max="8" man="1"/>
  </rowBreaks>
  <legacyDrawing xmlns:r="http://schemas.openxmlformats.org/officeDocument/2006/relationships" r:id="anysvml"/>
</worksheet>
</file>

<file path=xl/worksheets/sheet13.xml><?xml version="1.0" encoding="utf-8"?>
<worksheet xmlns="http://schemas.openxmlformats.org/spreadsheetml/2006/main">
  <sheetPr codeName="Sheet5">
    <tabColor theme="7" tint="0.7999816888943144"/>
    <outlinePr summaryBelow="1" summaryRight="1"/>
    <pageSetUpPr/>
  </sheetPr>
  <dimension ref="A1:C43"/>
  <sheetViews>
    <sheetView zoomScaleNormal="100" workbookViewId="0">
      <selection activeCell="F16" sqref="F16:G16"/>
    </sheetView>
  </sheetViews>
  <sheetFormatPr baseColWidth="10" defaultColWidth="8.83203125" defaultRowHeight="15"/>
  <cols>
    <col width="11.33203125" customWidth="1" min="2" max="2"/>
    <col width="81.33203125" customWidth="1" min="3" max="3"/>
    <col width="17" customWidth="1" min="5" max="5"/>
  </cols>
  <sheetData>
    <row r="1">
      <c r="A1" t="inlineStr">
        <is>
          <t xml:space="preserve">Revision number is shown at Section A, bottom right corner. </t>
        </is>
      </c>
    </row>
    <row r="3">
      <c r="A3" s="65" t="inlineStr">
        <is>
          <t>Version</t>
        </is>
      </c>
      <c r="B3" s="65" t="inlineStr">
        <is>
          <t>Date</t>
        </is>
      </c>
      <c r="C3" s="65" t="inlineStr">
        <is>
          <t>Description</t>
        </is>
      </c>
    </row>
    <row r="4" ht="16" customHeight="1">
      <c r="A4" s="151" t="inlineStr">
        <is>
          <t>R04.0</t>
        </is>
      </c>
      <c r="B4" s="152" t="n">
        <v>44538</v>
      </c>
      <c r="C4" s="153" t="inlineStr">
        <is>
          <t>Added Phasing</t>
        </is>
      </c>
    </row>
    <row r="5" ht="16" customHeight="1">
      <c r="A5" s="171" t="inlineStr">
        <is>
          <t>R04.01</t>
        </is>
      </c>
      <c r="B5" s="173" t="n">
        <v>44539</v>
      </c>
      <c r="C5" s="172" t="inlineStr">
        <is>
          <t>Addressed Cesar's Comments</t>
        </is>
      </c>
    </row>
    <row r="6" ht="16" customHeight="1">
      <c r="A6" s="171" t="inlineStr">
        <is>
          <t>R04.02</t>
        </is>
      </c>
      <c r="B6" s="173" t="n">
        <v>44540</v>
      </c>
      <c r="C6" s="172" t="inlineStr">
        <is>
          <t>Updated formatting</t>
        </is>
      </c>
    </row>
    <row r="7" ht="16" customHeight="1">
      <c r="A7" s="171" t="inlineStr">
        <is>
          <t>R04.03</t>
        </is>
      </c>
      <c r="B7" s="173" t="n">
        <v>44540</v>
      </c>
      <c r="C7" s="172" t="inlineStr">
        <is>
          <t>Changed phase selection process</t>
        </is>
      </c>
    </row>
    <row r="8" ht="16" customHeight="1">
      <c r="A8" s="171" t="inlineStr">
        <is>
          <t>R04.04</t>
        </is>
      </c>
      <c r="B8" s="173" t="n">
        <v>44545</v>
      </c>
      <c r="C8" s="172" t="inlineStr">
        <is>
          <t>Macro revisions for HCAI updating of OSHPD1 and OSHPD2/5 Forms</t>
        </is>
      </c>
    </row>
    <row r="9" ht="16" customHeight="1">
      <c r="A9" s="171" t="inlineStr">
        <is>
          <t>R04.05</t>
        </is>
      </c>
      <c r="B9" s="173" t="n">
        <v>44545</v>
      </c>
      <c r="C9" s="172" t="inlineStr">
        <is>
          <t>Addressed Joe's Comments</t>
        </is>
      </c>
    </row>
    <row r="10" ht="16" customHeight="1">
      <c r="A10" s="171" t="inlineStr">
        <is>
          <t>R04.06</t>
        </is>
      </c>
      <c r="B10" s="173" t="n">
        <v>44545</v>
      </c>
      <c r="C10" s="172" t="inlineStr">
        <is>
          <t>Removed cell validation on Tab B</t>
        </is>
      </c>
    </row>
    <row r="11" ht="32" customHeight="1">
      <c r="A11" s="174" t="inlineStr">
        <is>
          <t>R04.07</t>
        </is>
      </c>
      <c r="B11" s="175" t="n">
        <v>44546</v>
      </c>
      <c r="C11" s="176" t="inlineStr">
        <is>
          <t>Tab B,C,D,E will state if there are no requirements for that phase when printing, instead of not printing sheet.</t>
        </is>
      </c>
    </row>
    <row r="12" ht="16" customHeight="1">
      <c r="A12" s="174" t="n"/>
      <c r="B12" s="140" t="inlineStr">
        <is>
          <t>•</t>
        </is>
      </c>
      <c r="C12" s="176" t="inlineStr">
        <is>
          <t>Fixed bugs</t>
        </is>
      </c>
    </row>
    <row r="13" ht="16" customHeight="1">
      <c r="A13" s="174" t="inlineStr">
        <is>
          <t>R04.08</t>
        </is>
      </c>
      <c r="B13" s="175" t="n">
        <v>44546</v>
      </c>
      <c r="C13" s="176" t="inlineStr">
        <is>
          <t>Tab J will print even if no items are included.</t>
        </is>
      </c>
    </row>
    <row r="14" ht="16" customHeight="1">
      <c r="A14" s="174" t="inlineStr">
        <is>
          <t>R04.09</t>
        </is>
      </c>
      <c r="B14" s="175" t="n">
        <v>44552</v>
      </c>
      <c r="C14" s="176" t="inlineStr">
        <is>
          <t>Added warning dialogue box when user reduces number of phases.</t>
        </is>
      </c>
    </row>
    <row r="15" ht="16" customHeight="1">
      <c r="A15" s="182" t="inlineStr">
        <is>
          <t>R04.10</t>
        </is>
      </c>
      <c r="B15" s="183" t="n">
        <v>44553</v>
      </c>
      <c r="C15" s="184" t="inlineStr">
        <is>
          <t>Added splash screen when printing</t>
        </is>
      </c>
    </row>
    <row r="16" ht="16" customHeight="1">
      <c r="A16" s="182" t="n"/>
      <c r="B16" s="185" t="inlineStr">
        <is>
          <t>•</t>
        </is>
      </c>
      <c r="C16" s="184" t="inlineStr">
        <is>
          <t>Tab G prints with every PDF</t>
        </is>
      </c>
    </row>
    <row r="17" ht="16" customHeight="1">
      <c r="A17" s="182" t="n"/>
      <c r="B17" s="185" t="inlineStr">
        <is>
          <t>•</t>
        </is>
      </c>
      <c r="C17" s="184" t="inlineStr">
        <is>
          <t>Added facility info drop down</t>
        </is>
      </c>
    </row>
    <row r="18" ht="16" customHeight="1">
      <c r="A18" s="182" t="n"/>
      <c r="B18" s="185" t="inlineStr">
        <is>
          <t>•</t>
        </is>
      </c>
      <c r="C18" s="184" t="inlineStr">
        <is>
          <t>Fixed password bug</t>
        </is>
      </c>
    </row>
    <row r="19" ht="16" customHeight="1">
      <c r="A19" s="182" t="n"/>
      <c r="B19" s="185" t="inlineStr">
        <is>
          <t>•</t>
        </is>
      </c>
      <c r="C19" s="184" t="inlineStr">
        <is>
          <t>Fixed Facility Drop Down Function at Startup</t>
        </is>
      </c>
    </row>
    <row r="20" ht="32" customHeight="1">
      <c r="A20" s="189" t="inlineStr">
        <is>
          <t>R04.11</t>
        </is>
      </c>
      <c r="B20" s="190" t="n">
        <v>44557</v>
      </c>
      <c r="C20" s="191" t="inlineStr">
        <is>
          <t>Modified facility combo box to seelct text when clicking drop down to allow user to easily delete text for new search</t>
        </is>
      </c>
    </row>
    <row r="21" ht="16" customHeight="1">
      <c r="A21" s="189" t="inlineStr">
        <is>
          <t>R04.12</t>
        </is>
      </c>
      <c r="B21" s="190" t="n">
        <v>44560</v>
      </c>
      <c r="C21" s="191" t="inlineStr">
        <is>
          <t>Added screen warning.</t>
        </is>
      </c>
    </row>
    <row r="22" ht="16" customHeight="1">
      <c r="A22" s="189" t="n"/>
      <c r="B22" s="192" t="inlineStr">
        <is>
          <t>•</t>
        </is>
      </c>
      <c r="C22" s="191" t="inlineStr">
        <is>
          <t>Added Facility Number to Facility Name</t>
        </is>
      </c>
    </row>
    <row r="23" ht="16" customHeight="1">
      <c r="A23" s="189" t="inlineStr">
        <is>
          <t>R04.13</t>
        </is>
      </c>
      <c r="B23" s="197" t="n">
        <v>44565</v>
      </c>
      <c r="C23" s="191" t="inlineStr">
        <is>
          <t>Updated macro hide rows button to loop over NoPhase</t>
        </is>
      </c>
    </row>
    <row r="24" ht="16" customHeight="1">
      <c r="A24" s="204" t="inlineStr">
        <is>
          <t>R04.14</t>
        </is>
      </c>
      <c r="B24" s="205" t="n">
        <v>44566</v>
      </c>
      <c r="C24" s="206" t="inlineStr">
        <is>
          <t>Updated Clear Phase Macro to Work on Tab F</t>
        </is>
      </c>
    </row>
    <row r="25" ht="16" customHeight="1">
      <c r="A25" s="213" t="inlineStr">
        <is>
          <t>R04.15</t>
        </is>
      </c>
      <c r="B25" s="214" t="n">
        <v>44209</v>
      </c>
      <c r="C25" s="215" t="inlineStr">
        <is>
          <t>Updated userforms to show on main monitor</t>
        </is>
      </c>
    </row>
    <row r="26" ht="16" customHeight="1">
      <c r="A26" s="217" t="n"/>
      <c r="B26" s="192" t="inlineStr">
        <is>
          <t>•</t>
        </is>
      </c>
      <c r="C26" s="212" t="inlineStr">
        <is>
          <t>Added macro to set print areas when opening spreadsheet</t>
        </is>
      </c>
    </row>
    <row r="27" ht="16" customHeight="1">
      <c r="A27" s="217" t="n"/>
      <c r="B27" s="192" t="inlineStr">
        <is>
          <t>•</t>
        </is>
      </c>
      <c r="C27" s="212" t="inlineStr">
        <is>
          <t>Minor bug fixes</t>
        </is>
      </c>
    </row>
    <row r="28" ht="16" customHeight="1">
      <c r="A28" s="218" t="n"/>
      <c r="B28" s="192" t="inlineStr">
        <is>
          <t>•</t>
        </is>
      </c>
      <c r="C28" s="216" t="inlineStr">
        <is>
          <t>Minor formatting updates</t>
        </is>
      </c>
    </row>
    <row r="29" ht="16" customHeight="1">
      <c r="A29" s="204" t="inlineStr">
        <is>
          <t>R04.16</t>
        </is>
      </c>
      <c r="B29" s="205" t="n">
        <v>44209</v>
      </c>
      <c r="C29" s="206" t="inlineStr">
        <is>
          <t>Created demo version for beta testing.</t>
        </is>
      </c>
    </row>
    <row r="30" ht="16" customHeight="1">
      <c r="A30" s="204" t="inlineStr">
        <is>
          <t>R04.17</t>
        </is>
      </c>
      <c r="B30" s="205" t="n">
        <v>44215</v>
      </c>
      <c r="C30" s="206" t="inlineStr">
        <is>
          <t>Modified row heights for better printing of tabs H,J,F</t>
        </is>
      </c>
    </row>
    <row r="31" ht="16" customHeight="1">
      <c r="A31" s="204" t="n"/>
      <c r="B31" s="219" t="inlineStr">
        <is>
          <t>•</t>
        </is>
      </c>
      <c r="C31" s="206" t="inlineStr">
        <is>
          <t>Updated Clear TIO macro to fix formatting issues.</t>
        </is>
      </c>
    </row>
    <row r="32" ht="16" customHeight="1">
      <c r="A32" s="221" t="inlineStr">
        <is>
          <t>R04.18</t>
        </is>
      </c>
      <c r="B32" s="222" t="n">
        <v>44656</v>
      </c>
      <c r="C32" s="223" t="inlineStr">
        <is>
          <t>Replaced 'Phase' with 'Stage'</t>
        </is>
      </c>
    </row>
    <row r="33" ht="16" customHeight="1">
      <c r="A33" s="221" t="inlineStr">
        <is>
          <t>R04.19</t>
        </is>
      </c>
      <c r="B33" s="222" t="n">
        <v>44670</v>
      </c>
      <c r="C33" s="223" t="inlineStr">
        <is>
          <t>Add instructions to each sheet.</t>
        </is>
      </c>
    </row>
    <row r="34" ht="16" customHeight="1">
      <c r="A34" s="221" t="inlineStr">
        <is>
          <t>R04.20</t>
        </is>
      </c>
      <c r="B34" s="222" t="n">
        <v>44686</v>
      </c>
      <c r="C34" s="223" t="inlineStr">
        <is>
          <t>Numerous updates based on comments</t>
        </is>
      </c>
    </row>
    <row r="35" ht="16" customHeight="1">
      <c r="A35" s="221" t="inlineStr">
        <is>
          <t>R04.21</t>
        </is>
      </c>
      <c r="B35" s="222" t="n">
        <v>44690</v>
      </c>
      <c r="C35" s="223" t="inlineStr">
        <is>
          <t>Updated sheet security</t>
        </is>
      </c>
    </row>
    <row r="36" ht="16" customHeight="1">
      <c r="A36" s="221" t="inlineStr">
        <is>
          <t>R04.22</t>
        </is>
      </c>
      <c r="B36" s="222" t="n">
        <v>44693</v>
      </c>
      <c r="C36" s="223" t="inlineStr">
        <is>
          <t>Updated embedded instructions for compatibility with Excel 2013</t>
        </is>
      </c>
    </row>
    <row r="37" ht="16" customHeight="1">
      <c r="A37" s="221" t="inlineStr">
        <is>
          <t>R04.23</t>
        </is>
      </c>
      <c r="B37" s="222" t="n">
        <v>44697</v>
      </c>
      <c r="C37" s="223" t="inlineStr">
        <is>
          <t>Coordinated TIO items with Master List</t>
        </is>
      </c>
    </row>
    <row r="38" ht="16" customHeight="1">
      <c r="A38" s="221" t="inlineStr">
        <is>
          <t>R04.24</t>
        </is>
      </c>
      <c r="B38" s="222" t="n">
        <v>44715</v>
      </c>
      <c r="C38" s="215" t="inlineStr">
        <is>
          <t>Minor text and grammar updates on macro instructions.</t>
        </is>
      </c>
    </row>
    <row r="39" ht="16" customHeight="1">
      <c r="A39" s="221" t="n"/>
      <c r="B39" s="225" t="inlineStr">
        <is>
          <t>•</t>
        </is>
      </c>
      <c r="C39" s="216" t="inlineStr">
        <is>
          <t>Updated OSHPD to HCAI on TIO Flowchart</t>
        </is>
      </c>
    </row>
    <row r="40" ht="16" customHeight="1">
      <c r="A40" s="221" t="inlineStr">
        <is>
          <t>R04.25</t>
        </is>
      </c>
      <c r="B40" s="222" t="n">
        <v>44845</v>
      </c>
      <c r="C40" s="223" t="inlineStr">
        <is>
          <t>Added missing facilities to drop down</t>
        </is>
      </c>
    </row>
    <row r="41" ht="16" customHeight="1">
      <c r="A41" s="221" t="n"/>
      <c r="B41" s="225" t="inlineStr">
        <is>
          <t>•</t>
        </is>
      </c>
      <c r="C41" s="216" t="inlineStr">
        <is>
          <t>Added C-OT3 and C-OT4 on OSHPD 2/5</t>
        </is>
      </c>
    </row>
    <row r="42" ht="16" customHeight="1">
      <c r="A42" s="221" t="n"/>
      <c r="B42" s="225" t="inlineStr">
        <is>
          <t>•</t>
        </is>
      </c>
      <c r="C42" s="223" t="inlineStr">
        <is>
          <t>Fixed drop down since some facilities were not showing up.</t>
        </is>
      </c>
    </row>
    <row r="43" ht="16" customHeight="1">
      <c r="A43" s="221" t="inlineStr">
        <is>
          <t>R04.26</t>
        </is>
      </c>
      <c r="B43" s="222" t="n">
        <v>45156</v>
      </c>
      <c r="C43" s="223" t="inlineStr">
        <is>
          <t>Updated print area to include column headings on each page</t>
        </is>
      </c>
    </row>
  </sheetData>
  <sheetProtection selectLockedCells="0" selectUnlockedCells="0" algorithmName="SHA-512" sheet="1" objects="1" insertRows="0" insertHyperlinks="1" autoFilter="1" scenarios="0" formatColumns="0" deleteColumns="1" insertColumns="1" pivotTables="1" deleteRows="0" formatCells="0" saltValue="+86HHEDaeAkBCkdeJmxyyA==" formatRows="0" sort="1" spinCount="100000" hashValue="44dVtE71os28PP/+SHUVyikmRh9xBIBmddBiqabZdD3/NDvctdKwFKze9lVyZL4AGQhCA9T0YdCQZ7oAuNWPzQ=="/>
  <pageMargins left="0.7" right="0.7" top="0.75" bottom="0.75" header="0.3" footer="0.3"/>
  <pageSetup orientation="portrait" useFirstPageNumber="1"/>
  <headerFooter>
    <oddHeader>&amp;C&amp;"-,Regular"&amp;15 &amp;G_x000a_Testing, Inspection, and Observation Program_x000a_2019 California Building Standards Code - OSHPD 1</oddHeader>
    <oddFooter>&amp;RS-R&amp;P&amp;LOSH-FD-303A (R04.26)</oddFooter>
    <evenHeader/>
    <evenFooter/>
    <firstHeader/>
    <firstFooter/>
  </headerFooter>
</worksheet>
</file>

<file path=xl/worksheets/sheet14.xml><?xml version="1.0" encoding="utf-8"?>
<worksheet xmlns="http://schemas.openxmlformats.org/spreadsheetml/2006/main">
  <sheetPr codeName="Sheet16">
    <outlinePr summaryBelow="1" summaryRight="1"/>
    <pageSetUpPr/>
  </sheetPr>
  <dimension ref="A1:K1750"/>
  <sheetViews>
    <sheetView zoomScaleNormal="100" workbookViewId="0">
      <selection activeCell="C7" sqref="C7"/>
    </sheetView>
  </sheetViews>
  <sheetFormatPr baseColWidth="10" defaultColWidth="8.83203125" defaultRowHeight="15"/>
  <cols>
    <col width="78.83203125" bestFit="1" customWidth="1" min="3" max="3"/>
    <col width="80.1640625" bestFit="1" customWidth="1" min="4" max="4"/>
    <col width="10.6640625" bestFit="1" customWidth="1" min="5" max="5"/>
    <col width="37" bestFit="1" customWidth="1" min="6" max="6"/>
    <col width="33.1640625" bestFit="1" customWidth="1" min="7" max="7"/>
    <col width="20.1640625" bestFit="1" customWidth="1" min="8" max="8"/>
    <col width="14.83203125" bestFit="1" customWidth="1" min="9" max="9"/>
    <col width="13.1640625" customWidth="1" min="10" max="10"/>
  </cols>
  <sheetData>
    <row r="1" ht="16" customHeight="1">
      <c r="C1" s="186" t="inlineStr">
        <is>
          <t>42 Stages</t>
        </is>
      </c>
      <c r="D1" s="187">
        <f t="array" ref="D1">"Version: " &amp;LOOKUP(2,1/('Revison History'!A:A&lt;&gt;""),'Revison History'!A:A)</f>
        <v/>
      </c>
      <c r="E1" s="207" t="inlineStr">
        <is>
          <t>https://sft.oshpd.ca.gov/s/8CwDRiWaWGgfEC3</t>
        </is>
      </c>
    </row>
    <row r="5">
      <c r="C5" s="2" t="inlineStr">
        <is>
          <t>UCSF Medical Center (12476)</t>
        </is>
      </c>
      <c r="D5" s="156" t="inlineStr">
        <is>
          <t>FacilityName</t>
        </is>
      </c>
      <c r="E5" s="226" t="inlineStr">
        <is>
          <t>FacilityNbr</t>
        </is>
      </c>
      <c r="F5" s="226" t="inlineStr">
        <is>
          <t>FacilityType</t>
        </is>
      </c>
      <c r="G5" s="226" t="inlineStr">
        <is>
          <t>Address1</t>
        </is>
      </c>
      <c r="H5" s="226" t="inlineStr">
        <is>
          <t>AddrCity</t>
        </is>
      </c>
      <c r="I5" s="226" t="inlineStr">
        <is>
          <t>County</t>
        </is>
      </c>
      <c r="J5" s="226" t="inlineStr">
        <is>
          <t>FacilityName</t>
        </is>
      </c>
      <c r="K5" s="156" t="n"/>
    </row>
    <row r="6">
      <c r="A6">
        <f>--ISNUMBER(IFERROR(SEARCH($C$5,Inputs!$D6,1),""))</f>
        <v/>
      </c>
      <c r="B6">
        <f>IF(A6=1,COUNTIF($A$6:A6,1),"")</f>
        <v/>
      </c>
      <c r="C6">
        <f>IFERROR(INDEX($D$6:$D$1750,MATCH(ROWS($B$6:B6),$B$6:$B$1750,0)),"")</f>
        <v/>
      </c>
      <c r="D6">
        <f>J6&amp;" ("&amp;E6&amp;")"</f>
        <v/>
      </c>
      <c r="E6" t="n">
        <v>10006</v>
      </c>
      <c r="F6" t="inlineStr">
        <is>
          <t>General Acute Care</t>
        </is>
      </c>
      <c r="G6" t="inlineStr">
        <is>
          <t>240 Spruce St</t>
        </is>
      </c>
      <c r="H6" t="inlineStr">
        <is>
          <t>Gridley</t>
        </is>
      </c>
      <c r="I6" t="inlineStr">
        <is>
          <t>Butte</t>
        </is>
      </c>
      <c r="J6" t="inlineStr">
        <is>
          <t>Orchard Hospital</t>
        </is>
      </c>
    </row>
    <row r="7">
      <c r="A7">
        <f>--ISNUMBER(IFERROR(SEARCH($C$5,Inputs!$D7,1),""))</f>
        <v/>
      </c>
      <c r="B7">
        <f>IF(A7=1,COUNTIF($A$6:A7,1),"")</f>
        <v/>
      </c>
      <c r="C7">
        <f>IFERROR(INDEX($D$6:$D$1750,MATCH(ROWS($B$6:B7),$B$6:$B$1750,0)),"")</f>
        <v/>
      </c>
      <c r="D7">
        <f>J7&amp;" ("&amp;E7&amp;")"</f>
        <v/>
      </c>
      <c r="E7" t="n">
        <v>10009</v>
      </c>
      <c r="F7" t="inlineStr">
        <is>
          <t>General Acute Care</t>
        </is>
      </c>
      <c r="G7" t="inlineStr">
        <is>
          <t>560 Cohasset Rd</t>
        </is>
      </c>
      <c r="H7" t="inlineStr">
        <is>
          <t>Chico</t>
        </is>
      </c>
      <c r="I7" t="inlineStr">
        <is>
          <t>Butte</t>
        </is>
      </c>
      <c r="J7" t="inlineStr">
        <is>
          <t>Enloe Medical Center - Cohasset</t>
        </is>
      </c>
    </row>
    <row r="8">
      <c r="A8">
        <f>--ISNUMBER(IFERROR(SEARCH($C$5,Inputs!$D8,1),""))</f>
        <v/>
      </c>
      <c r="B8">
        <f>IF(A8=1,COUNTIF($A$6:A8,1),"")</f>
        <v/>
      </c>
      <c r="C8">
        <f>IFERROR(INDEX($D$6:$D$1750,MATCH(ROWS($B$6:B8),$B$6:$B$1750,0)),"")</f>
        <v/>
      </c>
      <c r="D8">
        <f>J8&amp;" ("&amp;E8&amp;")"</f>
        <v/>
      </c>
      <c r="E8" t="n">
        <v>10013</v>
      </c>
      <c r="F8" t="inlineStr">
        <is>
          <t>General Acute Care</t>
        </is>
      </c>
      <c r="G8" t="inlineStr">
        <is>
          <t>1531 Esplanade</t>
        </is>
      </c>
      <c r="H8" t="inlineStr">
        <is>
          <t>Chico</t>
        </is>
      </c>
      <c r="I8" t="inlineStr">
        <is>
          <t>Butte</t>
        </is>
      </c>
      <c r="J8" t="inlineStr">
        <is>
          <t>Enloe Medical Center - Esplanade</t>
        </is>
      </c>
    </row>
    <row r="9">
      <c r="A9">
        <f>--ISNUMBER(IFERROR(SEARCH($C$5,Inputs!$D9,1),""))</f>
        <v/>
      </c>
      <c r="B9">
        <f>IF(A9=1,COUNTIF($A$6:A9,1),"")</f>
        <v/>
      </c>
      <c r="C9">
        <f>IFERROR(INDEX($D$6:$D$1750,MATCH(ROWS($B$6:B9),$B$6:$B$1750,0)),"")</f>
        <v/>
      </c>
      <c r="D9">
        <f>J9&amp;" ("&amp;E9&amp;")"</f>
        <v/>
      </c>
      <c r="E9" t="n">
        <v>10014</v>
      </c>
      <c r="F9" t="inlineStr">
        <is>
          <t>General Acute Care</t>
        </is>
      </c>
      <c r="G9" t="inlineStr">
        <is>
          <t>5974 Pentz Rd</t>
        </is>
      </c>
      <c r="H9" t="inlineStr">
        <is>
          <t>Paradise</t>
        </is>
      </c>
      <c r="I9" t="inlineStr">
        <is>
          <t>Butte</t>
        </is>
      </c>
      <c r="J9" t="inlineStr">
        <is>
          <t>Adventist Health Feather River</t>
        </is>
      </c>
    </row>
    <row r="10">
      <c r="A10">
        <f>--ISNUMBER(IFERROR(SEARCH($C$5,Inputs!$D10,1),""))</f>
        <v/>
      </c>
      <c r="B10">
        <f>IF(A10=1,COUNTIF($A$6:A10,1),"")</f>
        <v/>
      </c>
      <c r="C10">
        <f>IFERROR(INDEX($D$6:$D$1750,MATCH(ROWS($B$6:B10),$B$6:$B$1750,0)),"")</f>
        <v/>
      </c>
      <c r="D10">
        <f>J10&amp;" ("&amp;E10&amp;")"</f>
        <v/>
      </c>
      <c r="E10" t="n">
        <v>10019</v>
      </c>
      <c r="F10" t="inlineStr">
        <is>
          <t>General Acute Care</t>
        </is>
      </c>
      <c r="G10" t="inlineStr">
        <is>
          <t>2767 Olive Hwy</t>
        </is>
      </c>
      <c r="H10" t="inlineStr">
        <is>
          <t>Oroville</t>
        </is>
      </c>
      <c r="I10" t="inlineStr">
        <is>
          <t>Butte</t>
        </is>
      </c>
      <c r="J10" t="inlineStr">
        <is>
          <t>Oroville Hospital</t>
        </is>
      </c>
    </row>
    <row r="11">
      <c r="A11">
        <f>--ISNUMBER(IFERROR(SEARCH($C$5,Inputs!$D11,1),""))</f>
        <v/>
      </c>
      <c r="B11">
        <f>IF(A11=1,COUNTIF($A$6:A11,1),"")</f>
        <v/>
      </c>
      <c r="C11">
        <f>IFERROR(INDEX($D$6:$D$1750,MATCH(ROWS($B$6:B11),$B$6:$B$1750,0)),"")</f>
        <v/>
      </c>
      <c r="D11">
        <f>J11&amp;" ("&amp;E11&amp;")"</f>
        <v/>
      </c>
      <c r="E11" t="n">
        <v>10021</v>
      </c>
      <c r="F11" t="inlineStr">
        <is>
          <t>Acute Psychiatric Hospital</t>
        </is>
      </c>
      <c r="G11" t="inlineStr">
        <is>
          <t>430 Enzo Drive</t>
        </is>
      </c>
      <c r="H11" t="inlineStr">
        <is>
          <t>San Jose</t>
        </is>
      </c>
      <c r="I11" t="inlineStr">
        <is>
          <t>Santa Clara</t>
        </is>
      </c>
      <c r="J11" t="inlineStr">
        <is>
          <t>Silver Creek Behavioral Health Hospital</t>
        </is>
      </c>
    </row>
    <row r="12">
      <c r="A12">
        <f>--ISNUMBER(IFERROR(SEARCH($C$5,Inputs!$D12,1),""))</f>
        <v/>
      </c>
      <c r="B12">
        <f>IF(A12=1,COUNTIF($A$6:A12,1),"")</f>
        <v/>
      </c>
      <c r="C12">
        <f>IFERROR(INDEX($D$6:$D$1750,MATCH(ROWS($B$6:B12),$B$6:$B$1750,0)),"")</f>
        <v/>
      </c>
      <c r="D12">
        <f>J12&amp;" ("&amp;E12&amp;")"</f>
        <v/>
      </c>
      <c r="E12" t="n">
        <v>10022</v>
      </c>
      <c r="F12" t="inlineStr">
        <is>
          <t>General Acute Care</t>
        </is>
      </c>
      <c r="G12" t="inlineStr">
        <is>
          <t>0 Railyards Blvd &amp; 5th St</t>
        </is>
      </c>
      <c r="H12" t="inlineStr">
        <is>
          <t>Sacramento</t>
        </is>
      </c>
      <c r="I12" t="inlineStr">
        <is>
          <t>Sacramento</t>
        </is>
      </c>
      <c r="J12" t="inlineStr">
        <is>
          <t>Kaiser Permanente Railyards Medical Center</t>
        </is>
      </c>
    </row>
    <row r="13">
      <c r="A13">
        <f>--ISNUMBER(IFERROR(SEARCH($C$5,Inputs!$D13,1),""))</f>
        <v/>
      </c>
      <c r="B13">
        <f>IF(A13=1,COUNTIF($A$6:A13,1),"")</f>
        <v/>
      </c>
      <c r="C13">
        <f>IFERROR(INDEX($D$6:$D$1750,MATCH(ROWS($B$6:B13),$B$6:$B$1750,0)),"")</f>
        <v/>
      </c>
      <c r="D13">
        <f>J13&amp;" ("&amp;E13&amp;")"</f>
        <v/>
      </c>
      <c r="E13" t="n">
        <v>10025</v>
      </c>
      <c r="F13" t="inlineStr">
        <is>
          <t>General Acute Care</t>
        </is>
      </c>
      <c r="G13" t="inlineStr">
        <is>
          <t>4875 Broadway</t>
        </is>
      </c>
      <c r="H13" t="inlineStr">
        <is>
          <t>Sacramento</t>
        </is>
      </c>
      <c r="I13" t="inlineStr">
        <is>
          <t>Sacramento</t>
        </is>
      </c>
      <c r="J13" t="inlineStr">
        <is>
          <t>UC Davis Rehabilitation Institute</t>
        </is>
      </c>
    </row>
    <row r="14">
      <c r="A14">
        <f>--ISNUMBER(IFERROR(SEARCH($C$5,Inputs!$D14,1),""))</f>
        <v/>
      </c>
      <c r="B14">
        <f>IF(A14=1,COUNTIF($A$6:A14,1),"")</f>
        <v/>
      </c>
      <c r="C14">
        <f>IFERROR(INDEX($D$6:$D$1750,MATCH(ROWS($B$6:B14),$B$6:$B$1750,0)),"")</f>
        <v/>
      </c>
      <c r="D14">
        <f>J14&amp;" ("&amp;E14&amp;")"</f>
        <v/>
      </c>
      <c r="E14" t="n">
        <v>10027</v>
      </c>
      <c r="F14" t="inlineStr">
        <is>
          <t>General Acute Care</t>
        </is>
      </c>
      <c r="G14" t="inlineStr">
        <is>
          <t>1 Sports Parkway</t>
        </is>
      </c>
      <c r="H14" t="inlineStr">
        <is>
          <t>Sacramento</t>
        </is>
      </c>
      <c r="I14" t="inlineStr">
        <is>
          <t>Sacramento</t>
        </is>
      </c>
      <c r="J14" t="inlineStr">
        <is>
          <t>California Northstate University Medical Center</t>
        </is>
      </c>
    </row>
    <row r="15">
      <c r="A15">
        <f>--ISNUMBER(IFERROR(SEARCH($C$5,Inputs!$D15,1),""))</f>
        <v/>
      </c>
      <c r="B15">
        <f>IF(A15=1,COUNTIF($A$6:A15,1),"")</f>
        <v/>
      </c>
      <c r="C15">
        <f>IFERROR(INDEX($D$6:$D$1750,MATCH(ROWS($B$6:B15),$B$6:$B$1750,0)),"")</f>
        <v/>
      </c>
      <c r="D15">
        <f>J15&amp;" ("&amp;E15&amp;")"</f>
        <v/>
      </c>
      <c r="E15" t="n">
        <v>10028</v>
      </c>
      <c r="F15" t="inlineStr">
        <is>
          <t>General Acute Care</t>
        </is>
      </c>
      <c r="G15" t="inlineStr">
        <is>
          <t>400 Craven Rd.</t>
        </is>
      </c>
      <c r="H15" t="inlineStr">
        <is>
          <t>San Marcos</t>
        </is>
      </c>
      <c r="I15" t="inlineStr">
        <is>
          <t>San Diego</t>
        </is>
      </c>
      <c r="J15" t="inlineStr">
        <is>
          <t>Kaiser Permanente San Marcos Medical Center</t>
        </is>
      </c>
    </row>
    <row r="16">
      <c r="A16">
        <f>--ISNUMBER(IFERROR(SEARCH($C$5,Inputs!$D16,1),""))</f>
        <v/>
      </c>
      <c r="B16">
        <f>IF(A16=1,COUNTIF($A$6:A16,1),"")</f>
        <v/>
      </c>
      <c r="C16">
        <f>IFERROR(INDEX($D$6:$D$1750,MATCH(ROWS($B$6:B16),$B$6:$B$1750,0)),"")</f>
        <v/>
      </c>
      <c r="D16">
        <f>J16&amp;" ("&amp;E16&amp;")"</f>
        <v/>
      </c>
      <c r="E16" t="n">
        <v>10029</v>
      </c>
      <c r="F16" t="inlineStr">
        <is>
          <t>General Acute Care</t>
        </is>
      </c>
      <c r="G16" t="inlineStr">
        <is>
          <t>768 Mountain Ranch Rd</t>
        </is>
      </c>
      <c r="H16" t="inlineStr">
        <is>
          <t>San Andreas</t>
        </is>
      </c>
      <c r="I16" t="inlineStr">
        <is>
          <t>Calaveras</t>
        </is>
      </c>
      <c r="J16" t="inlineStr">
        <is>
          <t>Mark Twain Medical Center</t>
        </is>
      </c>
    </row>
    <row r="17">
      <c r="A17">
        <f>--ISNUMBER(IFERROR(SEARCH($C$5,Inputs!$D17,1),""))</f>
        <v/>
      </c>
      <c r="B17">
        <f>IF(A17=1,COUNTIF($A$6:A17,1),"")</f>
        <v/>
      </c>
      <c r="C17">
        <f>IFERROR(INDEX($D$6:$D$1750,MATCH(ROWS($B$6:B17),$B$6:$B$1750,0)),"")</f>
        <v/>
      </c>
      <c r="D17">
        <f>J17&amp;" ("&amp;E17&amp;")"</f>
        <v/>
      </c>
      <c r="E17" t="n">
        <v>10030</v>
      </c>
      <c r="F17" t="inlineStr">
        <is>
          <t>Acute Psychiatric Hospital</t>
        </is>
      </c>
      <c r="G17" t="inlineStr">
        <is>
          <t>40886 Goodwin Way</t>
        </is>
      </c>
      <c r="H17" t="inlineStr">
        <is>
          <t>Madera</t>
        </is>
      </c>
      <c r="I17" t="inlineStr">
        <is>
          <t>Madera</t>
        </is>
      </c>
      <c r="J17" t="inlineStr">
        <is>
          <t>Madera Behavioral Health Hospital</t>
        </is>
      </c>
    </row>
    <row r="18">
      <c r="A18">
        <f>--ISNUMBER(IFERROR(SEARCH($C$5,Inputs!$D18,1),""))</f>
        <v/>
      </c>
      <c r="B18">
        <f>IF(A18=1,COUNTIF($A$6:A18,1),"")</f>
        <v/>
      </c>
      <c r="C18">
        <f>IFERROR(INDEX($D$6:$D$1750,MATCH(ROWS($B$6:B18),$B$6:$B$1750,0)),"")</f>
        <v/>
      </c>
      <c r="D18">
        <f>J18&amp;" ("&amp;E18&amp;")"</f>
        <v/>
      </c>
      <c r="E18" t="n">
        <v>10031</v>
      </c>
      <c r="F18" t="inlineStr">
        <is>
          <t>Acute Psychiatric Hospital</t>
        </is>
      </c>
      <c r="G18" t="inlineStr">
        <is>
          <t>2323 Sacramento St</t>
        </is>
      </c>
      <c r="H18" t="inlineStr">
        <is>
          <t>San Francisco</t>
        </is>
      </c>
      <c r="I18" t="inlineStr">
        <is>
          <t>San Francisco</t>
        </is>
      </c>
      <c r="J18" t="inlineStr">
        <is>
          <t>California Pacific Medical Center - D/P APH</t>
        </is>
      </c>
    </row>
    <row r="19">
      <c r="A19">
        <f>--ISNUMBER(IFERROR(SEARCH($C$5,Inputs!$D19,1),""))</f>
        <v/>
      </c>
      <c r="B19">
        <f>IF(A19=1,COUNTIF($A$6:A19,1),"")</f>
        <v/>
      </c>
      <c r="C19">
        <f>IFERROR(INDEX($D$6:$D$1750,MATCH(ROWS($B$6:B19),$B$6:$B$1750,0)),"")</f>
        <v/>
      </c>
      <c r="D19">
        <f>J19&amp;" ("&amp;E19&amp;")"</f>
        <v/>
      </c>
      <c r="E19" t="n">
        <v>10032</v>
      </c>
      <c r="F19" t="inlineStr">
        <is>
          <t>General Acute Care</t>
        </is>
      </c>
      <c r="G19" t="inlineStr">
        <is>
          <t>199 E Webster St</t>
        </is>
      </c>
      <c r="H19" t="inlineStr">
        <is>
          <t>Colusa</t>
        </is>
      </c>
      <c r="I19" t="inlineStr">
        <is>
          <t>Colusa</t>
        </is>
      </c>
      <c r="J19" t="inlineStr">
        <is>
          <t>Colusa Medical Center</t>
        </is>
      </c>
    </row>
    <row r="20">
      <c r="A20">
        <f>--ISNUMBER(IFERROR(SEARCH($C$5,Inputs!$D20,1),""))</f>
        <v/>
      </c>
      <c r="B20">
        <f>IF(A20=1,COUNTIF($A$6:A20,1),"")</f>
        <v/>
      </c>
      <c r="C20">
        <f>IFERROR(INDEX($D$6:$D$1750,MATCH(ROWS($B$6:B20),$B$6:$B$1750,0)),"")</f>
        <v/>
      </c>
      <c r="D20">
        <f>J20&amp;" ("&amp;E20&amp;")"</f>
        <v/>
      </c>
      <c r="E20" t="n">
        <v>10034</v>
      </c>
      <c r="F20" t="inlineStr">
        <is>
          <t>General Acute Care</t>
        </is>
      </c>
      <c r="G20" t="inlineStr">
        <is>
          <t>0 NE Corner of W Avenue J-5 and 18th St</t>
        </is>
      </c>
      <c r="H20" t="inlineStr">
        <is>
          <t>Lancaster</t>
        </is>
      </c>
      <c r="I20" t="inlineStr">
        <is>
          <t>Los Angeles</t>
        </is>
      </c>
      <c r="J20" t="inlineStr">
        <is>
          <t>Antelope Valley Specialty Hospital, LLC</t>
        </is>
      </c>
    </row>
    <row r="21">
      <c r="A21">
        <f>--ISNUMBER(IFERROR(SEARCH($C$5,Inputs!$D21,1),""))</f>
        <v/>
      </c>
      <c r="B21">
        <f>IF(A21=1,COUNTIF($A$6:A21,1),"")</f>
        <v/>
      </c>
      <c r="C21">
        <f>IFERROR(INDEX($D$6:$D$1750,MATCH(ROWS($B$6:B21),$B$6:$B$1750,0)),"")</f>
        <v/>
      </c>
      <c r="D21">
        <f>J21&amp;" ("&amp;E21&amp;")"</f>
        <v/>
      </c>
      <c r="E21" t="n">
        <v>10035</v>
      </c>
      <c r="F21" t="inlineStr">
        <is>
          <t>General Acute Care</t>
        </is>
      </c>
      <c r="G21" t="inlineStr">
        <is>
          <t>500 Pasteur Drive</t>
        </is>
      </c>
      <c r="H21" t="inlineStr">
        <is>
          <t>Palo Alto</t>
        </is>
      </c>
      <c r="I21" t="inlineStr">
        <is>
          <t>Santa Clara</t>
        </is>
      </c>
      <c r="J21" t="inlineStr">
        <is>
          <t>Stanford Health Care</t>
        </is>
      </c>
    </row>
    <row r="22">
      <c r="A22">
        <f>--ISNUMBER(IFERROR(SEARCH($C$5,Inputs!$D22,1),""))</f>
        <v/>
      </c>
      <c r="B22">
        <f>IF(A22=1,COUNTIF($A$6:A22,1),"")</f>
        <v/>
      </c>
      <c r="C22">
        <f>IFERROR(INDEX($D$6:$D$1750,MATCH(ROWS($B$6:B22),$B$6:$B$1750,0)),"")</f>
        <v/>
      </c>
      <c r="D22">
        <f>J22&amp;" ("&amp;E22&amp;")"</f>
        <v/>
      </c>
      <c r="E22" t="n">
        <v>10036</v>
      </c>
      <c r="F22" t="inlineStr">
        <is>
          <t>General Acute Care</t>
        </is>
      </c>
      <c r="G22" t="inlineStr">
        <is>
          <t>1000 FivePoint</t>
        </is>
      </c>
      <c r="H22" t="inlineStr">
        <is>
          <t>Irvine</t>
        </is>
      </c>
      <c r="I22" t="inlineStr">
        <is>
          <t>Orange</t>
        </is>
      </c>
      <c r="J22" t="inlineStr">
        <is>
          <t>City of Hope National Medical Center Orange County</t>
        </is>
      </c>
    </row>
    <row r="23">
      <c r="A23">
        <f>--ISNUMBER(IFERROR(SEARCH($C$5,Inputs!$D23,1),""))</f>
        <v/>
      </c>
      <c r="B23">
        <f>IF(A23=1,COUNTIF($A$6:A23,1),"")</f>
        <v/>
      </c>
      <c r="C23">
        <f>IFERROR(INDEX($D$6:$D$1750,MATCH(ROWS($B$6:B23),$B$6:$B$1750,0)),"")</f>
        <v/>
      </c>
      <c r="D23">
        <f>J23&amp;" ("&amp;E23&amp;")"</f>
        <v/>
      </c>
      <c r="E23" t="n">
        <v>10037</v>
      </c>
      <c r="F23" t="inlineStr">
        <is>
          <t>General Acute Care</t>
        </is>
      </c>
      <c r="G23" t="inlineStr">
        <is>
          <t>286 Sprowel Creek Road</t>
        </is>
      </c>
      <c r="H23" t="inlineStr">
        <is>
          <t>Garberville</t>
        </is>
      </c>
      <c r="I23" t="inlineStr">
        <is>
          <t>Humboldt</t>
        </is>
      </c>
      <c r="J23" t="inlineStr">
        <is>
          <t>Southern Humboldt Community Healthcare District</t>
        </is>
      </c>
    </row>
    <row r="24">
      <c r="A24">
        <f>--ISNUMBER(IFERROR(SEARCH($C$5,Inputs!$D24,1),""))</f>
        <v/>
      </c>
      <c r="B24">
        <f>IF(A24=1,COUNTIF($A$6:A24,1),"")</f>
        <v/>
      </c>
      <c r="C24">
        <f>IFERROR(INDEX($D$6:$D$1750,MATCH(ROWS($B$6:B24),$B$6:$B$1750,0)),"")</f>
        <v/>
      </c>
      <c r="D24">
        <f>J24&amp;" ("&amp;E24&amp;")"</f>
        <v/>
      </c>
      <c r="E24" t="n">
        <v>10039</v>
      </c>
      <c r="F24" t="inlineStr">
        <is>
          <t>General Acute Care</t>
        </is>
      </c>
      <c r="G24" t="inlineStr">
        <is>
          <t>0 Jamboree Rd and Birch St</t>
        </is>
      </c>
      <c r="H24" t="inlineStr">
        <is>
          <t>Irvine</t>
        </is>
      </c>
      <c r="I24" t="inlineStr">
        <is>
          <t>Orange</t>
        </is>
      </c>
      <c r="J24" t="inlineStr">
        <is>
          <t>University of California Irvine Medical Center - Irvine</t>
        </is>
      </c>
    </row>
    <row r="25">
      <c r="A25">
        <f>--ISNUMBER(IFERROR(SEARCH($C$5,Inputs!$D25,1),""))</f>
        <v/>
      </c>
      <c r="B25">
        <f>IF(A25=1,COUNTIF($A$6:A25,1),"")</f>
        <v/>
      </c>
      <c r="C25">
        <f>IFERROR(INDEX($D$6:$D$1750,MATCH(ROWS($B$6:B25),$B$6:$B$1750,0)),"")</f>
        <v/>
      </c>
      <c r="D25">
        <f>J25&amp;" ("&amp;E25&amp;")"</f>
        <v/>
      </c>
      <c r="E25" t="n">
        <v>10040</v>
      </c>
      <c r="F25" t="inlineStr">
        <is>
          <t>General Acute Care</t>
        </is>
      </c>
      <c r="G25" t="inlineStr">
        <is>
          <t>0 Highway 126 and S Hallock Dr</t>
        </is>
      </c>
      <c r="H25" t="inlineStr">
        <is>
          <t>Santa Paula</t>
        </is>
      </c>
      <c r="I25" t="inlineStr">
        <is>
          <t>Ventura</t>
        </is>
      </c>
      <c r="J25" t="inlineStr">
        <is>
          <t>Harvest Medical Complex</t>
        </is>
      </c>
    </row>
    <row r="26">
      <c r="A26">
        <f>--ISNUMBER(IFERROR(SEARCH($C$5,Inputs!$D26,1),""))</f>
        <v/>
      </c>
      <c r="B26">
        <f>IF(A26=1,COUNTIF($A$6:A26,1),"")</f>
        <v/>
      </c>
      <c r="C26">
        <f>IFERROR(INDEX($D$6:$D$1750,MATCH(ROWS($B$6:B26),$B$6:$B$1750,0)),"")</f>
        <v/>
      </c>
      <c r="D26">
        <f>J26&amp;" ("&amp;E26&amp;")"</f>
        <v/>
      </c>
      <c r="E26" t="n">
        <v>10048</v>
      </c>
      <c r="F26" t="inlineStr">
        <is>
          <t>General Acute Care</t>
        </is>
      </c>
      <c r="G26" t="inlineStr">
        <is>
          <t>2540 East Street</t>
        </is>
      </c>
      <c r="H26" t="inlineStr">
        <is>
          <t>Concord</t>
        </is>
      </c>
      <c r="I26" t="inlineStr">
        <is>
          <t>Contra Costa</t>
        </is>
      </c>
      <c r="J26" t="inlineStr">
        <is>
          <t>John Muir Medical Center-Concord Campus</t>
        </is>
      </c>
    </row>
    <row r="27">
      <c r="A27">
        <f>--ISNUMBER(IFERROR(SEARCH($C$5,Inputs!$D27,1),""))</f>
        <v/>
      </c>
      <c r="B27">
        <f>IF(A27=1,COUNTIF($A$6:A27,1),"")</f>
        <v/>
      </c>
      <c r="C27">
        <f>IFERROR(INDEX($D$6:$D$1750,MATCH(ROWS($B$6:B27),$B$6:$B$1750,0)),"")</f>
        <v/>
      </c>
      <c r="D27">
        <f>J27&amp;" ("&amp;E27&amp;")"</f>
        <v/>
      </c>
      <c r="E27" t="n">
        <v>10049</v>
      </c>
      <c r="F27" t="inlineStr">
        <is>
          <t>General Acute Care</t>
        </is>
      </c>
      <c r="G27" t="inlineStr">
        <is>
          <t>2500 Alhambra Avenue</t>
        </is>
      </c>
      <c r="H27" t="inlineStr">
        <is>
          <t>Martinez</t>
        </is>
      </c>
      <c r="I27" t="inlineStr">
        <is>
          <t>Contra Costa</t>
        </is>
      </c>
      <c r="J27" t="inlineStr">
        <is>
          <t>Contra Costa Regional Medical Center</t>
        </is>
      </c>
    </row>
    <row r="28">
      <c r="A28">
        <f>--ISNUMBER(IFERROR(SEARCH($C$5,Inputs!$D28,1),""))</f>
        <v/>
      </c>
      <c r="B28">
        <f>IF(A28=1,COUNTIF($A$6:A28,1),"")</f>
        <v/>
      </c>
      <c r="C28">
        <f>IFERROR(INDEX($D$6:$D$1750,MATCH(ROWS($B$6:B28),$B$6:$B$1750,0)),"")</f>
        <v/>
      </c>
      <c r="D28">
        <f>J28&amp;" ("&amp;E28&amp;")"</f>
        <v/>
      </c>
      <c r="E28" t="n">
        <v>10052</v>
      </c>
      <c r="F28" t="inlineStr">
        <is>
          <t>General Acute Care</t>
        </is>
      </c>
      <c r="G28" t="inlineStr">
        <is>
          <t>3901 Lone Tree Way</t>
        </is>
      </c>
      <c r="H28" t="inlineStr">
        <is>
          <t>Antioch</t>
        </is>
      </c>
      <c r="I28" t="inlineStr">
        <is>
          <t>Contra Costa</t>
        </is>
      </c>
      <c r="J28" t="inlineStr">
        <is>
          <t>Sutter Delta Medical Center</t>
        </is>
      </c>
    </row>
    <row r="29">
      <c r="A29">
        <f>--ISNUMBER(IFERROR(SEARCH($C$5,Inputs!$D29,1),""))</f>
        <v/>
      </c>
      <c r="B29">
        <f>IF(A29=1,COUNTIF($A$6:A29,1),"")</f>
        <v/>
      </c>
      <c r="C29">
        <f>IFERROR(INDEX($D$6:$D$1750,MATCH(ROWS($B$6:B29),$B$6:$B$1750,0)),"")</f>
        <v/>
      </c>
      <c r="D29">
        <f>J29&amp;" ("&amp;E29&amp;")"</f>
        <v/>
      </c>
      <c r="E29" t="n">
        <v>10060</v>
      </c>
      <c r="F29" t="inlineStr">
        <is>
          <t>Acute Psychiatric Hospital</t>
        </is>
      </c>
      <c r="G29" t="inlineStr">
        <is>
          <t>655 Park Center Drive</t>
        </is>
      </c>
      <c r="H29" t="inlineStr">
        <is>
          <t>Santee</t>
        </is>
      </c>
      <c r="I29" t="inlineStr">
        <is>
          <t>San Diego</t>
        </is>
      </c>
      <c r="J29" t="inlineStr">
        <is>
          <t>Edgemoor  Acute Psychiatric</t>
        </is>
      </c>
    </row>
    <row r="30">
      <c r="A30">
        <f>--ISNUMBER(IFERROR(SEARCH($C$5,Inputs!$D30,1),""))</f>
        <v/>
      </c>
      <c r="B30">
        <f>IF(A30=1,COUNTIF($A$6:A30,1),"")</f>
        <v/>
      </c>
      <c r="C30">
        <f>IFERROR(INDEX($D$6:$D$1750,MATCH(ROWS($B$6:B30),$B$6:$B$1750,0)),"")</f>
        <v/>
      </c>
      <c r="D30">
        <f>J30&amp;" ("&amp;E30&amp;")"</f>
        <v/>
      </c>
      <c r="E30" t="n">
        <v>10062</v>
      </c>
      <c r="F30" t="inlineStr">
        <is>
          <t>General Acute Care</t>
        </is>
      </c>
      <c r="G30" t="inlineStr">
        <is>
          <t>17931 Von Karman Avenue</t>
        </is>
      </c>
      <c r="H30" t="inlineStr">
        <is>
          <t>Irvine</t>
        </is>
      </c>
      <c r="I30" t="inlineStr">
        <is>
          <t>Orange</t>
        </is>
      </c>
      <c r="J30" t="inlineStr">
        <is>
          <t>UCI Health Rehabilitation Hospital</t>
        </is>
      </c>
    </row>
    <row r="31">
      <c r="A31">
        <f>--ISNUMBER(IFERROR(SEARCH($C$5,Inputs!$D31,1),""))</f>
        <v/>
      </c>
      <c r="B31">
        <f>IF(A31=1,COUNTIF($A$6:A31,1),"")</f>
        <v/>
      </c>
      <c r="C31">
        <f>IFERROR(INDEX($D$6:$D$1750,MATCH(ROWS($B$6:B31),$B$6:$B$1750,0)),"")</f>
        <v/>
      </c>
      <c r="D31">
        <f>J31&amp;" ("&amp;E31&amp;")"</f>
        <v/>
      </c>
      <c r="E31" t="n">
        <v>10072</v>
      </c>
      <c r="F31" t="inlineStr">
        <is>
          <t>General Acute Care</t>
        </is>
      </c>
      <c r="G31" t="inlineStr">
        <is>
          <t>1425 S Main Street</t>
        </is>
      </c>
      <c r="H31" t="inlineStr">
        <is>
          <t>Walnut Creek</t>
        </is>
      </c>
      <c r="I31" t="inlineStr">
        <is>
          <t>Contra Costa</t>
        </is>
      </c>
      <c r="J31" t="inlineStr">
        <is>
          <t>Kaiser Foundation Hospital - Walnut Creek</t>
        </is>
      </c>
    </row>
    <row r="32">
      <c r="A32">
        <f>--ISNUMBER(IFERROR(SEARCH($C$5,Inputs!$D32,1),""))</f>
        <v/>
      </c>
      <c r="B32">
        <f>IF(A32=1,COUNTIF($A$6:A32,1),"")</f>
        <v/>
      </c>
      <c r="C32">
        <f>IFERROR(INDEX($D$6:$D$1750,MATCH(ROWS($B$6:B32),$B$6:$B$1750,0)),"")</f>
        <v/>
      </c>
      <c r="D32">
        <f>J32&amp;" ("&amp;E32&amp;")"</f>
        <v/>
      </c>
      <c r="E32" t="n">
        <v>10075</v>
      </c>
      <c r="F32" t="inlineStr">
        <is>
          <t>General Acute Care</t>
        </is>
      </c>
      <c r="G32" t="inlineStr">
        <is>
          <t>0 Parcel 5 of the Tentative Parcel Map for</t>
        </is>
      </c>
      <c r="H32" t="inlineStr">
        <is>
          <t>Madera</t>
        </is>
      </c>
      <c r="I32" t="inlineStr">
        <is>
          <t>Madera</t>
        </is>
      </c>
      <c r="J32" t="inlineStr">
        <is>
          <t>Valley Children's Specialty Acute Care Hospital</t>
        </is>
      </c>
    </row>
    <row r="33">
      <c r="A33">
        <f>--ISNUMBER(IFERROR(SEARCH($C$5,Inputs!$D33,1),""))</f>
        <v/>
      </c>
      <c r="B33">
        <f>IF(A33=1,COUNTIF($A$6:A33,1),"")</f>
        <v/>
      </c>
      <c r="C33">
        <f>IFERROR(INDEX($D$6:$D$1750,MATCH(ROWS($B$6:B33),$B$6:$B$1750,0)),"")</f>
        <v/>
      </c>
      <c r="D33">
        <f>J33&amp;" ("&amp;E33&amp;")"</f>
        <v/>
      </c>
      <c r="E33" t="n">
        <v>10081</v>
      </c>
      <c r="F33" t="inlineStr">
        <is>
          <t>General Acute Care</t>
        </is>
      </c>
      <c r="G33" t="inlineStr">
        <is>
          <t>1601 Ygnacio Valley Road</t>
        </is>
      </c>
      <c r="H33" t="inlineStr">
        <is>
          <t>Walnut Creek</t>
        </is>
      </c>
      <c r="I33" t="inlineStr">
        <is>
          <t>Contra Costa</t>
        </is>
      </c>
      <c r="J33" t="inlineStr">
        <is>
          <t>John Muir Medical Center-Walnut Creek Campus</t>
        </is>
      </c>
    </row>
    <row r="34">
      <c r="A34">
        <f>--ISNUMBER(IFERROR(SEARCH($C$5,Inputs!$D34,1),""))</f>
        <v/>
      </c>
      <c r="B34">
        <f>IF(A34=1,COUNTIF($A$6:A34,1),"")</f>
        <v/>
      </c>
      <c r="C34">
        <f>IFERROR(INDEX($D$6:$D$1750,MATCH(ROWS($B$6:B34),$B$6:$B$1750,0)),"")</f>
        <v/>
      </c>
      <c r="D34">
        <f>J34&amp;" ("&amp;E34&amp;")"</f>
        <v/>
      </c>
      <c r="E34" t="n">
        <v>10109</v>
      </c>
      <c r="F34" t="inlineStr">
        <is>
          <t>General Acute Care</t>
        </is>
      </c>
      <c r="G34" t="inlineStr">
        <is>
          <t>2170 South Ave</t>
        </is>
      </c>
      <c r="H34" t="inlineStr">
        <is>
          <t>South Lake Tahoe</t>
        </is>
      </c>
      <c r="I34" t="inlineStr">
        <is>
          <t>El Dorado</t>
        </is>
      </c>
      <c r="J34" t="inlineStr">
        <is>
          <t>Barton Memorial Hospital</t>
        </is>
      </c>
    </row>
    <row r="35">
      <c r="A35">
        <f>--ISNUMBER(IFERROR(SEARCH($C$5,Inputs!$D35,1),""))</f>
        <v/>
      </c>
      <c r="B35">
        <f>IF(A35=1,COUNTIF($A$6:A35,1),"")</f>
        <v/>
      </c>
      <c r="C35">
        <f>IFERROR(INDEX($D$6:$D$1750,MATCH(ROWS($B$6:B35),$B$6:$B$1750,0)),"")</f>
        <v/>
      </c>
      <c r="D35">
        <f>J35&amp;" ("&amp;E35&amp;")"</f>
        <v/>
      </c>
      <c r="E35" t="n">
        <v>10112</v>
      </c>
      <c r="F35" t="inlineStr">
        <is>
          <t>General Acute Care</t>
        </is>
      </c>
      <c r="G35" t="inlineStr">
        <is>
          <t>1100 Marshall Way</t>
        </is>
      </c>
      <c r="H35" t="inlineStr">
        <is>
          <t>Placerville</t>
        </is>
      </c>
      <c r="I35" t="inlineStr">
        <is>
          <t>El Dorado</t>
        </is>
      </c>
      <c r="J35" t="inlineStr">
        <is>
          <t>Marshall Medical Center</t>
        </is>
      </c>
    </row>
    <row r="36">
      <c r="A36">
        <f>--ISNUMBER(IFERROR(SEARCH($C$5,Inputs!$D36,1),""))</f>
        <v/>
      </c>
      <c r="B36">
        <f>IF(A36=1,COUNTIF($A$6:A36,1),"")</f>
        <v/>
      </c>
      <c r="C36">
        <f>IFERROR(INDEX($D$6:$D$1750,MATCH(ROWS($B$6:B36),$B$6:$B$1750,0)),"")</f>
        <v/>
      </c>
      <c r="D36">
        <f>J36&amp;" ("&amp;E36&amp;")"</f>
        <v/>
      </c>
      <c r="E36" t="n">
        <v>10122</v>
      </c>
      <c r="F36" t="inlineStr">
        <is>
          <t>General Acute Care</t>
        </is>
      </c>
      <c r="G36" t="inlineStr">
        <is>
          <t>1191 Phelps Ave</t>
        </is>
      </c>
      <c r="H36" t="inlineStr">
        <is>
          <t>Coalinga</t>
        </is>
      </c>
      <c r="I36" t="inlineStr">
        <is>
          <t>Fresno</t>
        </is>
      </c>
      <c r="J36" t="inlineStr">
        <is>
          <t>Coalinga Regional Medical Center</t>
        </is>
      </c>
    </row>
    <row r="37">
      <c r="A37">
        <f>--ISNUMBER(IFERROR(SEARCH($C$5,Inputs!$D37,1),""))</f>
        <v/>
      </c>
      <c r="B37">
        <f>IF(A37=1,COUNTIF($A$6:A37,1),"")</f>
        <v/>
      </c>
      <c r="C37">
        <f>IFERROR(INDEX($D$6:$D$1750,MATCH(ROWS($B$6:B37),$B$6:$B$1750,0)),"")</f>
        <v/>
      </c>
      <c r="D37">
        <f>J37&amp;" ("&amp;E37&amp;")"</f>
        <v/>
      </c>
      <c r="E37" t="n">
        <v>10127</v>
      </c>
      <c r="F37" t="inlineStr">
        <is>
          <t>General Acute Care</t>
        </is>
      </c>
      <c r="G37" t="inlineStr">
        <is>
          <t>2823 Fresno St</t>
        </is>
      </c>
      <c r="H37" t="inlineStr">
        <is>
          <t>Fresno</t>
        </is>
      </c>
      <c r="I37" t="inlineStr">
        <is>
          <t>Fresno</t>
        </is>
      </c>
      <c r="J37" t="inlineStr">
        <is>
          <t>Community Regional Medical Center</t>
        </is>
      </c>
    </row>
    <row r="38">
      <c r="A38">
        <f>--ISNUMBER(IFERROR(SEARCH($C$5,Inputs!$D38,1),""))</f>
        <v/>
      </c>
      <c r="B38">
        <f>IF(A38=1,COUNTIF($A$6:A38,1),"")</f>
        <v/>
      </c>
      <c r="C38">
        <f>IFERROR(INDEX($D$6:$D$1750,MATCH(ROWS($B$6:B38),$B$6:$B$1750,0)),"")</f>
        <v/>
      </c>
      <c r="D38">
        <f>J38&amp;" ("&amp;E38&amp;")"</f>
        <v/>
      </c>
      <c r="E38" t="n">
        <v>10155</v>
      </c>
      <c r="F38" t="inlineStr">
        <is>
          <t>General Acute Care</t>
        </is>
      </c>
      <c r="G38" t="inlineStr">
        <is>
          <t>1303 E Herndon Ave</t>
        </is>
      </c>
      <c r="H38" t="inlineStr">
        <is>
          <t>Fresno</t>
        </is>
      </c>
      <c r="I38" t="inlineStr">
        <is>
          <t>Fresno</t>
        </is>
      </c>
      <c r="J38" t="inlineStr">
        <is>
          <t>Saint Agnes Medical Center</t>
        </is>
      </c>
    </row>
    <row r="39">
      <c r="A39">
        <f>--ISNUMBER(IFERROR(SEARCH($C$5,Inputs!$D39,1),""))</f>
        <v/>
      </c>
      <c r="B39">
        <f>IF(A39=1,COUNTIF($A$6:A39,1),"")</f>
        <v/>
      </c>
      <c r="C39">
        <f>IFERROR(INDEX($D$6:$D$1750,MATCH(ROWS($B$6:B39),$B$6:$B$1750,0)),"")</f>
        <v/>
      </c>
      <c r="D39">
        <f>J39&amp;" ("&amp;E39&amp;")"</f>
        <v/>
      </c>
      <c r="E39" t="n">
        <v>10160</v>
      </c>
      <c r="F39" t="inlineStr">
        <is>
          <t>General Acute Care</t>
        </is>
      </c>
      <c r="G39" t="inlineStr">
        <is>
          <t>1411 Rose Ave</t>
        </is>
      </c>
      <c r="H39" t="inlineStr">
        <is>
          <t>Selma</t>
        </is>
      </c>
      <c r="I39" t="inlineStr">
        <is>
          <t>Fresno</t>
        </is>
      </c>
      <c r="J39" t="inlineStr">
        <is>
          <t>Adventist Health Selma</t>
        </is>
      </c>
    </row>
    <row r="40">
      <c r="A40">
        <f>--ISNUMBER(IFERROR(SEARCH($C$5,Inputs!$D40,1),""))</f>
        <v/>
      </c>
      <c r="B40">
        <f>IF(A40=1,COUNTIF($A$6:A40,1),"")</f>
        <v/>
      </c>
      <c r="C40">
        <f>IFERROR(INDEX($D$6:$D$1750,MATCH(ROWS($B$6:B40),$B$6:$B$1750,0)),"")</f>
        <v/>
      </c>
      <c r="D40">
        <f>J40&amp;" ("&amp;E40&amp;")"</f>
        <v/>
      </c>
      <c r="E40" t="n">
        <v>10162</v>
      </c>
      <c r="F40" t="inlineStr">
        <is>
          <t>General Acute Care</t>
        </is>
      </c>
      <c r="G40" t="inlineStr">
        <is>
          <t>372 W Cypress Ave</t>
        </is>
      </c>
      <c r="H40" t="inlineStr">
        <is>
          <t>Reedley</t>
        </is>
      </c>
      <c r="I40" t="inlineStr">
        <is>
          <t>Fresno</t>
        </is>
      </c>
      <c r="J40" t="inlineStr">
        <is>
          <t>Adventist Health Reedley</t>
        </is>
      </c>
    </row>
    <row r="41">
      <c r="A41">
        <f>--ISNUMBER(IFERROR(SEARCH($C$5,Inputs!$D41,1),""))</f>
        <v/>
      </c>
      <c r="B41">
        <f>IF(A41=1,COUNTIF($A$6:A41,1),"")</f>
        <v/>
      </c>
      <c r="C41">
        <f>IFERROR(INDEX($D$6:$D$1750,MATCH(ROWS($B$6:B41),$B$6:$B$1750,0)),"")</f>
        <v/>
      </c>
      <c r="D41">
        <f>J41&amp;" ("&amp;E41&amp;")"</f>
        <v/>
      </c>
      <c r="E41" t="n">
        <v>10175</v>
      </c>
      <c r="F41" t="inlineStr">
        <is>
          <t>General Acute Care</t>
        </is>
      </c>
      <c r="G41" t="inlineStr">
        <is>
          <t>1133 W Sycamore St</t>
        </is>
      </c>
      <c r="H41" t="inlineStr">
        <is>
          <t>Willows</t>
        </is>
      </c>
      <c r="I41" t="inlineStr">
        <is>
          <t>Glenn</t>
        </is>
      </c>
      <c r="J41" t="inlineStr">
        <is>
          <t>Glenn Medical Center</t>
        </is>
      </c>
    </row>
    <row r="42">
      <c r="A42">
        <f>--ISNUMBER(IFERROR(SEARCH($C$5,Inputs!$D42,1),""))</f>
        <v/>
      </c>
      <c r="B42">
        <f>IF(A42=1,COUNTIF($A$6:A42,1),"")</f>
        <v/>
      </c>
      <c r="C42">
        <f>IFERROR(INDEX($D$6:$D$1750,MATCH(ROWS($B$6:B42),$B$6:$B$1750,0)),"")</f>
        <v/>
      </c>
      <c r="D42">
        <f>J42&amp;" ("&amp;E42&amp;")"</f>
        <v/>
      </c>
      <c r="E42" t="n">
        <v>10180</v>
      </c>
      <c r="F42" t="inlineStr">
        <is>
          <t>General Acute Care</t>
        </is>
      </c>
      <c r="G42" t="inlineStr">
        <is>
          <t>2200 Harrison Ave</t>
        </is>
      </c>
      <c r="H42" t="inlineStr">
        <is>
          <t>Eureka</t>
        </is>
      </c>
      <c r="I42" t="inlineStr">
        <is>
          <t>Humboldt</t>
        </is>
      </c>
      <c r="J42" t="inlineStr">
        <is>
          <t>The General Hospital</t>
        </is>
      </c>
    </row>
    <row r="43">
      <c r="A43">
        <f>--ISNUMBER(IFERROR(SEARCH($C$5,Inputs!$D43,1),""))</f>
        <v/>
      </c>
      <c r="B43">
        <f>IF(A43=1,COUNTIF($A$6:A43,1),"")</f>
        <v/>
      </c>
      <c r="C43">
        <f>IFERROR(INDEX($D$6:$D$1750,MATCH(ROWS($B$6:B43),$B$6:$B$1750,0)),"")</f>
        <v/>
      </c>
      <c r="D43">
        <f>J43&amp;" ("&amp;E43&amp;")"</f>
        <v/>
      </c>
      <c r="E43" t="n">
        <v>10183</v>
      </c>
      <c r="F43" t="inlineStr">
        <is>
          <t>General Acute Care</t>
        </is>
      </c>
      <c r="G43" t="inlineStr">
        <is>
          <t>3300 Renner Dr</t>
        </is>
      </c>
      <c r="H43" t="inlineStr">
        <is>
          <t>Fortuna</t>
        </is>
      </c>
      <c r="I43" t="inlineStr">
        <is>
          <t>Humboldt</t>
        </is>
      </c>
      <c r="J43" t="inlineStr">
        <is>
          <t>Providence Redwood Memorial Hospital</t>
        </is>
      </c>
    </row>
    <row r="44">
      <c r="A44">
        <f>--ISNUMBER(IFERROR(SEARCH($C$5,Inputs!$D44,1),""))</f>
        <v/>
      </c>
      <c r="B44">
        <f>IF(A44=1,COUNTIF($A$6:A44,1),"")</f>
        <v/>
      </c>
      <c r="C44">
        <f>IFERROR(INDEX($D$6:$D$1750,MATCH(ROWS($B$6:B44),$B$6:$B$1750,0)),"")</f>
        <v/>
      </c>
      <c r="D44">
        <f>J44&amp;" ("&amp;E44&amp;")"</f>
        <v/>
      </c>
      <c r="E44" t="n">
        <v>10184</v>
      </c>
      <c r="F44" t="inlineStr">
        <is>
          <t>General Acute Care</t>
        </is>
      </c>
      <c r="G44" t="inlineStr">
        <is>
          <t>2700 Dolbeer St</t>
        </is>
      </c>
      <c r="H44" t="inlineStr">
        <is>
          <t>Eureka</t>
        </is>
      </c>
      <c r="I44" t="inlineStr">
        <is>
          <t>Humboldt</t>
        </is>
      </c>
      <c r="J44" t="inlineStr">
        <is>
          <t>Providence St. Joseph Hospital</t>
        </is>
      </c>
    </row>
    <row r="45">
      <c r="A45">
        <f>--ISNUMBER(IFERROR(SEARCH($C$5,Inputs!$D45,1),""))</f>
        <v/>
      </c>
      <c r="B45">
        <f>IF(A45=1,COUNTIF($A$6:A45,1),"")</f>
        <v/>
      </c>
      <c r="C45">
        <f>IFERROR(INDEX($D$6:$D$1750,MATCH(ROWS($B$6:B45),$B$6:$B$1750,0)),"")</f>
        <v/>
      </c>
      <c r="D45">
        <f>J45&amp;" ("&amp;E45&amp;")"</f>
        <v/>
      </c>
      <c r="E45" t="n">
        <v>10186</v>
      </c>
      <c r="F45" t="inlineStr">
        <is>
          <t>General Acute Care</t>
        </is>
      </c>
      <c r="G45" t="inlineStr">
        <is>
          <t>733 Cedar St</t>
        </is>
      </c>
      <c r="H45" t="inlineStr">
        <is>
          <t>Garberville</t>
        </is>
      </c>
      <c r="I45" t="inlineStr">
        <is>
          <t>Humboldt</t>
        </is>
      </c>
      <c r="J45" t="inlineStr">
        <is>
          <t>Jerold Phelps Community Hospital</t>
        </is>
      </c>
    </row>
    <row r="46">
      <c r="A46">
        <f>--ISNUMBER(IFERROR(SEARCH($C$5,Inputs!$D46,1),""))</f>
        <v/>
      </c>
      <c r="B46">
        <f>IF(A46=1,COUNTIF($A$6:A46,1),"")</f>
        <v/>
      </c>
      <c r="C46">
        <f>IFERROR(INDEX($D$6:$D$1750,MATCH(ROWS($B$6:B46),$B$6:$B$1750,0)),"")</f>
        <v/>
      </c>
      <c r="D46">
        <f>J46&amp;" ("&amp;E46&amp;")"</f>
        <v/>
      </c>
      <c r="E46" t="n">
        <v>10190</v>
      </c>
      <c r="F46" t="inlineStr">
        <is>
          <t>General Acute Care</t>
        </is>
      </c>
      <c r="G46" t="inlineStr">
        <is>
          <t>1415 Ross Avenue</t>
        </is>
      </c>
      <c r="H46" t="inlineStr">
        <is>
          <t>El Centro</t>
        </is>
      </c>
      <c r="I46" t="inlineStr">
        <is>
          <t>Imperial</t>
        </is>
      </c>
      <c r="J46" t="inlineStr">
        <is>
          <t>El Centro Regional Medical Center</t>
        </is>
      </c>
    </row>
    <row r="47">
      <c r="A47">
        <f>--ISNUMBER(IFERROR(SEARCH($C$5,Inputs!$D47,1),""))</f>
        <v/>
      </c>
      <c r="B47">
        <f>IF(A47=1,COUNTIF($A$6:A47,1),"")</f>
        <v/>
      </c>
      <c r="C47">
        <f>IFERROR(INDEX($D$6:$D$1750,MATCH(ROWS($B$6:B47),$B$6:$B$1750,0)),"")</f>
        <v/>
      </c>
      <c r="D47">
        <f>J47&amp;" ("&amp;E47&amp;")"</f>
        <v/>
      </c>
      <c r="E47" t="n">
        <v>10192</v>
      </c>
      <c r="F47" t="inlineStr">
        <is>
          <t>General Acute Care</t>
        </is>
      </c>
      <c r="G47" t="inlineStr">
        <is>
          <t>207 W. Legion Rd</t>
        </is>
      </c>
      <c r="H47" t="inlineStr">
        <is>
          <t>Brawley</t>
        </is>
      </c>
      <c r="I47" t="inlineStr">
        <is>
          <t>Imperial</t>
        </is>
      </c>
      <c r="J47" t="inlineStr">
        <is>
          <t>Pioneers Memorial Healthcare District</t>
        </is>
      </c>
    </row>
    <row r="48">
      <c r="A48">
        <f>--ISNUMBER(IFERROR(SEARCH($C$5,Inputs!$D48,1),""))</f>
        <v/>
      </c>
      <c r="B48">
        <f>IF(A48=1,COUNTIF($A$6:A48,1),"")</f>
        <v/>
      </c>
      <c r="C48">
        <f>IFERROR(INDEX($D$6:$D$1750,MATCH(ROWS($B$6:B48),$B$6:$B$1750,0)),"")</f>
        <v/>
      </c>
      <c r="D48">
        <f>J48&amp;" ("&amp;E48&amp;")"</f>
        <v/>
      </c>
      <c r="E48" t="n">
        <v>10200</v>
      </c>
      <c r="F48" t="inlineStr">
        <is>
          <t>General Acute Care</t>
        </is>
      </c>
      <c r="G48" t="inlineStr">
        <is>
          <t>150 Pioneer Ln</t>
        </is>
      </c>
      <c r="H48" t="inlineStr">
        <is>
          <t>Bishop</t>
        </is>
      </c>
      <c r="I48" t="inlineStr">
        <is>
          <t>Inyo</t>
        </is>
      </c>
      <c r="J48" t="inlineStr">
        <is>
          <t>Northern Inyo Hospital</t>
        </is>
      </c>
    </row>
    <row r="49">
      <c r="A49">
        <f>--ISNUMBER(IFERROR(SEARCH($C$5,Inputs!$D49,1),""))</f>
        <v/>
      </c>
      <c r="B49">
        <f>IF(A49=1,COUNTIF($A$6:A49,1),"")</f>
        <v/>
      </c>
      <c r="C49">
        <f>IFERROR(INDEX($D$6:$D$1750,MATCH(ROWS($B$6:B49),$B$6:$B$1750,0)),"")</f>
        <v/>
      </c>
      <c r="D49">
        <f>J49&amp;" ("&amp;E49&amp;")"</f>
        <v/>
      </c>
      <c r="E49" t="n">
        <v>10202</v>
      </c>
      <c r="F49" t="inlineStr">
        <is>
          <t>General Acute Care</t>
        </is>
      </c>
      <c r="G49" t="inlineStr">
        <is>
          <t>2105 East Locust Street</t>
        </is>
      </c>
      <c r="H49" t="inlineStr">
        <is>
          <t>Lone Pine</t>
        </is>
      </c>
      <c r="I49" t="inlineStr">
        <is>
          <t>Inyo</t>
        </is>
      </c>
      <c r="J49" t="inlineStr">
        <is>
          <t>Southern Inyo Hospital</t>
        </is>
      </c>
    </row>
    <row r="50">
      <c r="A50">
        <f>--ISNUMBER(IFERROR(SEARCH($C$5,Inputs!$D50,1),""))</f>
        <v/>
      </c>
      <c r="B50">
        <f>IF(A50=1,COUNTIF($A$6:A50,1),"")</f>
        <v/>
      </c>
      <c r="C50">
        <f>IFERROR(INDEX($D$6:$D$1750,MATCH(ROWS($B$6:B50),$B$6:$B$1750,0)),"")</f>
        <v/>
      </c>
      <c r="D50">
        <f>J50&amp;" ("&amp;E50&amp;")"</f>
        <v/>
      </c>
      <c r="E50" t="n">
        <v>10207</v>
      </c>
      <c r="F50" t="inlineStr">
        <is>
          <t>General Acute Care</t>
        </is>
      </c>
      <c r="G50" t="inlineStr">
        <is>
          <t>420 34th St</t>
        </is>
      </c>
      <c r="H50" t="inlineStr">
        <is>
          <t>Bakersfield</t>
        </is>
      </c>
      <c r="I50" t="inlineStr">
        <is>
          <t>Kern</t>
        </is>
      </c>
      <c r="J50" t="inlineStr">
        <is>
          <t>Bakersfield Memorial Hospital</t>
        </is>
      </c>
    </row>
    <row r="51">
      <c r="A51">
        <f>--ISNUMBER(IFERROR(SEARCH($C$5,Inputs!$D51,1),""))</f>
        <v/>
      </c>
      <c r="B51">
        <f>IF(A51=1,COUNTIF($A$6:A51,1),"")</f>
        <v/>
      </c>
      <c r="C51">
        <f>IFERROR(INDEX($D$6:$D$1750,MATCH(ROWS($B$6:B51),$B$6:$B$1750,0)),"")</f>
        <v/>
      </c>
      <c r="D51">
        <f>J51&amp;" ("&amp;E51&amp;")"</f>
        <v/>
      </c>
      <c r="E51" t="n">
        <v>10208</v>
      </c>
      <c r="F51" t="inlineStr">
        <is>
          <t>General Acute Care</t>
        </is>
      </c>
      <c r="G51" t="inlineStr">
        <is>
          <t>1700 Mt. Vernon Avenue</t>
        </is>
      </c>
      <c r="H51" t="inlineStr">
        <is>
          <t>Bakersfield</t>
        </is>
      </c>
      <c r="I51" t="inlineStr">
        <is>
          <t>Kern</t>
        </is>
      </c>
      <c r="J51" t="inlineStr">
        <is>
          <t>Kern Medical Center</t>
        </is>
      </c>
    </row>
    <row r="52">
      <c r="A52">
        <f>--ISNUMBER(IFERROR(SEARCH($C$5,Inputs!$D52,1),""))</f>
        <v/>
      </c>
      <c r="B52">
        <f>IF(A52=1,COUNTIF($A$6:A52,1),"")</f>
        <v/>
      </c>
      <c r="C52">
        <f>IFERROR(INDEX($D$6:$D$1750,MATCH(ROWS($B$6:B52),$B$6:$B$1750,0)),"")</f>
        <v/>
      </c>
      <c r="D52">
        <f>J52&amp;" ("&amp;E52&amp;")"</f>
        <v/>
      </c>
      <c r="E52" t="n">
        <v>10210</v>
      </c>
      <c r="F52" t="inlineStr">
        <is>
          <t>General Acute Care</t>
        </is>
      </c>
      <c r="G52" t="inlineStr">
        <is>
          <t>6412 Laurel Avenue</t>
        </is>
      </c>
      <c r="H52" t="inlineStr">
        <is>
          <t>Lake Isabella</t>
        </is>
      </c>
      <c r="I52" t="inlineStr">
        <is>
          <t>Kern</t>
        </is>
      </c>
      <c r="J52" t="inlineStr">
        <is>
          <t>Kern Valley Healthcare District</t>
        </is>
      </c>
    </row>
    <row r="53">
      <c r="A53">
        <f>--ISNUMBER(IFERROR(SEARCH($C$5,Inputs!$D53,1),""))</f>
        <v/>
      </c>
      <c r="B53">
        <f>IF(A53=1,COUNTIF($A$6:A53,1),"")</f>
        <v/>
      </c>
      <c r="C53">
        <f>IFERROR(INDEX($D$6:$D$1750,MATCH(ROWS($B$6:B53),$B$6:$B$1750,0)),"")</f>
        <v/>
      </c>
      <c r="D53">
        <f>J53&amp;" ("&amp;E53&amp;")"</f>
        <v/>
      </c>
      <c r="E53" t="n">
        <v>10211</v>
      </c>
      <c r="F53" t="inlineStr">
        <is>
          <t>Acute Psychiatric Hospital</t>
        </is>
      </c>
      <c r="G53" t="inlineStr">
        <is>
          <t>5201 White Lane</t>
        </is>
      </c>
      <c r="H53" t="inlineStr">
        <is>
          <t>Bakersfield</t>
        </is>
      </c>
      <c r="I53" t="inlineStr">
        <is>
          <t>Kern</t>
        </is>
      </c>
      <c r="J53" t="inlineStr">
        <is>
          <t>Bakersfield Behavioral Healthcare Hospital. LLC</t>
        </is>
      </c>
    </row>
    <row r="54">
      <c r="A54">
        <f>--ISNUMBER(IFERROR(SEARCH($C$5,Inputs!$D54,1),""))</f>
        <v/>
      </c>
      <c r="B54">
        <f>IF(A54=1,COUNTIF($A$6:A54,1),"")</f>
        <v/>
      </c>
      <c r="C54">
        <f>IFERROR(INDEX($D$6:$D$1750,MATCH(ROWS($B$6:B54),$B$6:$B$1750,0)),"")</f>
        <v/>
      </c>
      <c r="D54">
        <f>J54&amp;" ("&amp;E54&amp;")"</f>
        <v/>
      </c>
      <c r="E54" t="n">
        <v>10214</v>
      </c>
      <c r="F54" t="inlineStr">
        <is>
          <t>General Acute Care</t>
        </is>
      </c>
      <c r="G54" t="inlineStr">
        <is>
          <t>2215 Truxtun Avenue</t>
        </is>
      </c>
      <c r="H54" t="inlineStr">
        <is>
          <t>Bakersfield</t>
        </is>
      </c>
      <c r="I54" t="inlineStr">
        <is>
          <t>Kern</t>
        </is>
      </c>
      <c r="J54" t="inlineStr">
        <is>
          <t>Mercy Hospital</t>
        </is>
      </c>
    </row>
    <row r="55">
      <c r="A55">
        <f>--ISNUMBER(IFERROR(SEARCH($C$5,Inputs!$D55,1),""))</f>
        <v/>
      </c>
      <c r="B55">
        <f>IF(A55=1,COUNTIF($A$6:A55,1),"")</f>
        <v/>
      </c>
      <c r="C55">
        <f>IFERROR(INDEX($D$6:$D$1750,MATCH(ROWS($B$6:B55),$B$6:$B$1750,0)),"")</f>
        <v/>
      </c>
      <c r="D55">
        <f>J55&amp;" ("&amp;E55&amp;")"</f>
        <v/>
      </c>
      <c r="E55" t="n">
        <v>10219</v>
      </c>
      <c r="F55" t="inlineStr">
        <is>
          <t>General Acute Care</t>
        </is>
      </c>
      <c r="G55" t="inlineStr">
        <is>
          <t>901 Olive Dr</t>
        </is>
      </c>
      <c r="H55" t="inlineStr">
        <is>
          <t>Bakersfield</t>
        </is>
      </c>
      <c r="I55" t="inlineStr">
        <is>
          <t>Kern</t>
        </is>
      </c>
      <c r="J55" t="inlineStr">
        <is>
          <t>Good Samaritan Hospital</t>
        </is>
      </c>
    </row>
    <row r="56">
      <c r="A56">
        <f>--ISNUMBER(IFERROR(SEARCH($C$5,Inputs!$D56,1),""))</f>
        <v/>
      </c>
      <c r="B56">
        <f>IF(A56=1,COUNTIF($A$6:A56,1),"")</f>
        <v/>
      </c>
      <c r="C56">
        <f>IFERROR(INDEX($D$6:$D$1750,MATCH(ROWS($B$6:B56),$B$6:$B$1750,0)),"")</f>
        <v/>
      </c>
      <c r="D56">
        <f>J56&amp;" ("&amp;E56&amp;")"</f>
        <v/>
      </c>
      <c r="E56" t="n">
        <v>10220</v>
      </c>
      <c r="F56" t="inlineStr">
        <is>
          <t>General Acute Care</t>
        </is>
      </c>
      <c r="G56" t="inlineStr">
        <is>
          <t>1081 North China Lake Blvd.</t>
        </is>
      </c>
      <c r="H56" t="inlineStr">
        <is>
          <t>Ridgecrest</t>
        </is>
      </c>
      <c r="I56" t="inlineStr">
        <is>
          <t>Kern</t>
        </is>
      </c>
      <c r="J56" t="inlineStr">
        <is>
          <t>Ridgecrest Regional Hospital</t>
        </is>
      </c>
    </row>
    <row r="57">
      <c r="A57">
        <f>--ISNUMBER(IFERROR(SEARCH($C$5,Inputs!$D57,1),""))</f>
        <v/>
      </c>
      <c r="B57">
        <f>IF(A57=1,COUNTIF($A$6:A57,1),"")</f>
        <v/>
      </c>
      <c r="C57">
        <f>IFERROR(INDEX($D$6:$D$1750,MATCH(ROWS($B$6:B57),$B$6:$B$1750,0)),"")</f>
        <v/>
      </c>
      <c r="D57">
        <f>J57&amp;" ("&amp;E57&amp;")"</f>
        <v/>
      </c>
      <c r="E57" t="n">
        <v>10247</v>
      </c>
      <c r="F57" t="inlineStr">
        <is>
          <t>General Acute Care</t>
        </is>
      </c>
      <c r="G57" t="inlineStr">
        <is>
          <t>15630 18th Ave</t>
        </is>
      </c>
      <c r="H57" t="inlineStr">
        <is>
          <t>Clearlake</t>
        </is>
      </c>
      <c r="I57" t="inlineStr">
        <is>
          <t>Lake</t>
        </is>
      </c>
      <c r="J57" t="inlineStr">
        <is>
          <t>Adventist Health Clearlake</t>
        </is>
      </c>
    </row>
    <row r="58">
      <c r="A58">
        <f>--ISNUMBER(IFERROR(SEARCH($C$5,Inputs!$D58,1),""))</f>
        <v/>
      </c>
      <c r="B58">
        <f>IF(A58=1,COUNTIF($A$6:A58,1),"")</f>
        <v/>
      </c>
      <c r="C58">
        <f>IFERROR(INDEX($D$6:$D$1750,MATCH(ROWS($B$6:B58),$B$6:$B$1750,0)),"")</f>
        <v/>
      </c>
      <c r="D58">
        <f>J58&amp;" ("&amp;E58&amp;")"</f>
        <v/>
      </c>
      <c r="E58" t="n">
        <v>10257</v>
      </c>
      <c r="F58" t="inlineStr">
        <is>
          <t>General Acute Care</t>
        </is>
      </c>
      <c r="G58" t="inlineStr">
        <is>
          <t>1250 E Almond Ave</t>
        </is>
      </c>
      <c r="H58" t="inlineStr">
        <is>
          <t>Madera</t>
        </is>
      </c>
      <c r="I58" t="inlineStr">
        <is>
          <t>Madera</t>
        </is>
      </c>
      <c r="J58" t="inlineStr">
        <is>
          <t>Madera Community Hospital</t>
        </is>
      </c>
    </row>
    <row r="59">
      <c r="A59">
        <f>--ISNUMBER(IFERROR(SEARCH($C$5,Inputs!$D59,1),""))</f>
        <v/>
      </c>
      <c r="B59">
        <f>IF(A59=1,COUNTIF($A$6:A59,1),"")</f>
        <v/>
      </c>
      <c r="C59">
        <f>IFERROR(INDEX($D$6:$D$1750,MATCH(ROWS($B$6:B59),$B$6:$B$1750,0)),"")</f>
        <v/>
      </c>
      <c r="D59">
        <f>J59&amp;" ("&amp;E59&amp;")"</f>
        <v/>
      </c>
      <c r="E59" t="n">
        <v>10261</v>
      </c>
      <c r="F59" t="inlineStr">
        <is>
          <t>General Acute Care</t>
        </is>
      </c>
      <c r="G59" t="inlineStr">
        <is>
          <t>1125 Sir Francis Drake Blvd.</t>
        </is>
      </c>
      <c r="H59" t="inlineStr">
        <is>
          <t>Kentfield</t>
        </is>
      </c>
      <c r="I59" t="inlineStr">
        <is>
          <t>Marin</t>
        </is>
      </c>
      <c r="J59" t="inlineStr">
        <is>
          <t>Kentfield Hospital</t>
        </is>
      </c>
    </row>
    <row r="60">
      <c r="A60">
        <f>--ISNUMBER(IFERROR(SEARCH($C$5,Inputs!$D60,1),""))</f>
        <v/>
      </c>
      <c r="B60">
        <f>IF(A60=1,COUNTIF($A$6:A60,1),"")</f>
        <v/>
      </c>
      <c r="C60">
        <f>IFERROR(INDEX($D$6:$D$1750,MATCH(ROWS($B$6:B60),$B$6:$B$1750,0)),"")</f>
        <v/>
      </c>
      <c r="D60">
        <f>J60&amp;" ("&amp;E60&amp;")"</f>
        <v/>
      </c>
      <c r="E60" t="n">
        <v>10268</v>
      </c>
      <c r="F60" t="inlineStr">
        <is>
          <t>General Acute Care</t>
        </is>
      </c>
      <c r="G60" t="inlineStr">
        <is>
          <t>99 Montecillo Rd</t>
        </is>
      </c>
      <c r="H60" t="inlineStr">
        <is>
          <t>San Rafael</t>
        </is>
      </c>
      <c r="I60" t="inlineStr">
        <is>
          <t>Marin</t>
        </is>
      </c>
      <c r="J60" t="inlineStr">
        <is>
          <t>Kaiser Foundation Hospital - San Rafael</t>
        </is>
      </c>
    </row>
    <row r="61">
      <c r="A61">
        <f>--ISNUMBER(IFERROR(SEARCH($C$5,Inputs!$D61,1),""))</f>
        <v/>
      </c>
      <c r="B61">
        <f>IF(A61=1,COUNTIF($A$6:A61,1),"")</f>
        <v/>
      </c>
      <c r="C61">
        <f>IFERROR(INDEX($D$6:$D$1750,MATCH(ROWS($B$6:B61),$B$6:$B$1750,0)),"")</f>
        <v/>
      </c>
      <c r="D61">
        <f>J61&amp;" ("&amp;E61&amp;")"</f>
        <v/>
      </c>
      <c r="E61" t="n">
        <v>10273</v>
      </c>
      <c r="F61" t="inlineStr">
        <is>
          <t>General Acute Care</t>
        </is>
      </c>
      <c r="G61" t="inlineStr">
        <is>
          <t>250 Bon Air Rd</t>
        </is>
      </c>
      <c r="H61" t="inlineStr">
        <is>
          <t>Greenbrae</t>
        </is>
      </c>
      <c r="I61" t="inlineStr">
        <is>
          <t>Marin</t>
        </is>
      </c>
      <c r="J61" t="inlineStr">
        <is>
          <t>Marinhealth Medical Center</t>
        </is>
      </c>
    </row>
    <row r="62">
      <c r="A62">
        <f>--ISNUMBER(IFERROR(SEARCH($C$5,Inputs!$D62,1),""))</f>
        <v/>
      </c>
      <c r="B62">
        <f>IF(A62=1,COUNTIF($A$6:A62,1),"")</f>
        <v/>
      </c>
      <c r="C62">
        <f>IFERROR(INDEX($D$6:$D$1750,MATCH(ROWS($B$6:B62),$B$6:$B$1750,0)),"")</f>
        <v/>
      </c>
      <c r="D62">
        <f>J62&amp;" ("&amp;E62&amp;")"</f>
        <v/>
      </c>
      <c r="E62" t="n">
        <v>10287</v>
      </c>
      <c r="F62" t="inlineStr">
        <is>
          <t>General Acute Care</t>
        </is>
      </c>
      <c r="G62" t="inlineStr">
        <is>
          <t>5189 Hospital Rd</t>
        </is>
      </c>
      <c r="H62" t="inlineStr">
        <is>
          <t>Mariposa</t>
        </is>
      </c>
      <c r="I62" t="inlineStr">
        <is>
          <t>Mariposa</t>
        </is>
      </c>
      <c r="J62" t="inlineStr">
        <is>
          <t>John C. Fremont Healthcare District</t>
        </is>
      </c>
    </row>
    <row r="63">
      <c r="A63">
        <f>--ISNUMBER(IFERROR(SEARCH($C$5,Inputs!$D63,1),""))</f>
        <v/>
      </c>
      <c r="B63">
        <f>IF(A63=1,COUNTIF($A$6:A63,1),"")</f>
        <v/>
      </c>
      <c r="C63">
        <f>IFERROR(INDEX($D$6:$D$1750,MATCH(ROWS($B$6:B63),$B$6:$B$1750,0)),"")</f>
        <v/>
      </c>
      <c r="D63">
        <f>J63&amp;" ("&amp;E63&amp;")"</f>
        <v/>
      </c>
      <c r="E63" t="n">
        <v>10301</v>
      </c>
      <c r="F63" t="inlineStr">
        <is>
          <t>General Acute Care</t>
        </is>
      </c>
      <c r="G63" t="inlineStr">
        <is>
          <t>700 River Dr</t>
        </is>
      </c>
      <c r="H63" t="inlineStr">
        <is>
          <t>Fort Bragg</t>
        </is>
      </c>
      <c r="I63" t="inlineStr">
        <is>
          <t>Mendocino</t>
        </is>
      </c>
      <c r="J63" t="inlineStr">
        <is>
          <t>Adventist Health Mendocino Coast</t>
        </is>
      </c>
    </row>
    <row r="64">
      <c r="A64">
        <f>--ISNUMBER(IFERROR(SEARCH($C$5,Inputs!$D64,1),""))</f>
        <v/>
      </c>
      <c r="B64">
        <f>IF(A64=1,COUNTIF($A$6:A64,1),"")</f>
        <v/>
      </c>
      <c r="C64">
        <f>IFERROR(INDEX($D$6:$D$1750,MATCH(ROWS($B$6:B64),$B$6:$B$1750,0)),"")</f>
        <v/>
      </c>
      <c r="D64">
        <f>J64&amp;" ("&amp;E64&amp;")"</f>
        <v/>
      </c>
      <c r="E64" t="n">
        <v>10309</v>
      </c>
      <c r="F64" t="inlineStr">
        <is>
          <t>General Acute Care</t>
        </is>
      </c>
      <c r="G64" t="inlineStr">
        <is>
          <t>520 W I St</t>
        </is>
      </c>
      <c r="H64" t="inlineStr">
        <is>
          <t>Los Banos</t>
        </is>
      </c>
      <c r="I64" t="inlineStr">
        <is>
          <t>Merced</t>
        </is>
      </c>
      <c r="J64" t="inlineStr">
        <is>
          <t>Memorial Hospital Los Banos</t>
        </is>
      </c>
    </row>
    <row r="65">
      <c r="A65">
        <f>--ISNUMBER(IFERROR(SEARCH($C$5,Inputs!$D65,1),""))</f>
        <v/>
      </c>
      <c r="B65">
        <f>IF(A65=1,COUNTIF($A$6:A65,1),"")</f>
        <v/>
      </c>
      <c r="C65">
        <f>IFERROR(INDEX($D$6:$D$1750,MATCH(ROWS($B$6:B65),$B$6:$B$1750,0)),"")</f>
        <v/>
      </c>
      <c r="D65">
        <f>J65&amp;" ("&amp;E65&amp;")"</f>
        <v/>
      </c>
      <c r="E65" t="n">
        <v>10315</v>
      </c>
      <c r="F65" t="inlineStr">
        <is>
          <t>General Acute Care</t>
        </is>
      </c>
      <c r="G65" t="inlineStr">
        <is>
          <t>333 Mercy Ave</t>
        </is>
      </c>
      <c r="H65" t="inlineStr">
        <is>
          <t>Merced</t>
        </is>
      </c>
      <c r="I65" t="inlineStr">
        <is>
          <t>Merced</t>
        </is>
      </c>
      <c r="J65" t="inlineStr">
        <is>
          <t>Mercy Medical Center</t>
        </is>
      </c>
    </row>
    <row r="66">
      <c r="A66">
        <f>--ISNUMBER(IFERROR(SEARCH($C$5,Inputs!$D66,1),""))</f>
        <v/>
      </c>
      <c r="B66">
        <f>IF(A66=1,COUNTIF($A$6:A66,1),"")</f>
        <v/>
      </c>
      <c r="C66">
        <f>IFERROR(INDEX($D$6:$D$1750,MATCH(ROWS($B$6:B66),$B$6:$B$1750,0)),"")</f>
        <v/>
      </c>
      <c r="D66">
        <f>J66&amp;" ("&amp;E66&amp;")"</f>
        <v/>
      </c>
      <c r="E66" t="n">
        <v>10321</v>
      </c>
      <c r="F66" t="inlineStr">
        <is>
          <t>General Acute Care</t>
        </is>
      </c>
      <c r="G66" t="inlineStr">
        <is>
          <t>741 North Main St.</t>
        </is>
      </c>
      <c r="H66" t="inlineStr">
        <is>
          <t>Cedarville</t>
        </is>
      </c>
      <c r="I66" t="inlineStr">
        <is>
          <t>Modoc</t>
        </is>
      </c>
      <c r="J66" t="inlineStr">
        <is>
          <t>Surprise Valley Community Hospital</t>
        </is>
      </c>
    </row>
    <row r="67">
      <c r="A67">
        <f>--ISNUMBER(IFERROR(SEARCH($C$5,Inputs!$D67,1),""))</f>
        <v/>
      </c>
      <c r="B67">
        <f>IF(A67=1,COUNTIF($A$6:A67,1),"")</f>
        <v/>
      </c>
      <c r="C67">
        <f>IFERROR(INDEX($D$6:$D$1750,MATCH(ROWS($B$6:B67),$B$6:$B$1750,0)),"")</f>
        <v/>
      </c>
      <c r="D67">
        <f>J67&amp;" ("&amp;E67&amp;")"</f>
        <v/>
      </c>
      <c r="E67" t="n">
        <v>10330</v>
      </c>
      <c r="F67" t="inlineStr">
        <is>
          <t>General Acute Care</t>
        </is>
      </c>
      <c r="G67" t="inlineStr">
        <is>
          <t>23625 Holman Highway</t>
        </is>
      </c>
      <c r="H67" t="inlineStr">
        <is>
          <t>Monterey</t>
        </is>
      </c>
      <c r="I67" t="inlineStr">
        <is>
          <t>Monterey</t>
        </is>
      </c>
      <c r="J67" t="inlineStr">
        <is>
          <t>Community Hospital of the Monterey Peninsula</t>
        </is>
      </c>
    </row>
    <row r="68">
      <c r="A68">
        <f>--ISNUMBER(IFERROR(SEARCH($C$5,Inputs!$D68,1),""))</f>
        <v/>
      </c>
      <c r="B68">
        <f>IF(A68=1,COUNTIF($A$6:A68,1),"")</f>
        <v/>
      </c>
      <c r="C68">
        <f>IFERROR(INDEX($D$6:$D$1750,MATCH(ROWS($B$6:B68),$B$6:$B$1750,0)),"")</f>
        <v/>
      </c>
      <c r="D68">
        <f>J68&amp;" ("&amp;E68&amp;")"</f>
        <v/>
      </c>
      <c r="E68" t="n">
        <v>10338</v>
      </c>
      <c r="F68" t="inlineStr">
        <is>
          <t>General Acute Care</t>
        </is>
      </c>
      <c r="G68" t="inlineStr">
        <is>
          <t>300 Canal Street</t>
        </is>
      </c>
      <c r="H68" t="inlineStr">
        <is>
          <t>King City</t>
        </is>
      </c>
      <c r="I68" t="inlineStr">
        <is>
          <t>Monterey</t>
        </is>
      </c>
      <c r="J68" t="inlineStr">
        <is>
          <t>George L. Mee Memorial Hospital</t>
        </is>
      </c>
    </row>
    <row r="69">
      <c r="A69">
        <f>--ISNUMBER(IFERROR(SEARCH($C$5,Inputs!$D69,1),""))</f>
        <v/>
      </c>
      <c r="B69">
        <f>IF(A69=1,COUNTIF($A$6:A69,1),"")</f>
        <v/>
      </c>
      <c r="C69">
        <f>IFERROR(INDEX($D$6:$D$1750,MATCH(ROWS($B$6:B69),$B$6:$B$1750,0)),"")</f>
        <v/>
      </c>
      <c r="D69">
        <f>J69&amp;" ("&amp;E69&amp;")"</f>
        <v/>
      </c>
      <c r="E69" t="n">
        <v>10348</v>
      </c>
      <c r="F69" t="inlineStr">
        <is>
          <t>General Acute Care</t>
        </is>
      </c>
      <c r="G69" t="inlineStr">
        <is>
          <t>450 E Romie Ln</t>
        </is>
      </c>
      <c r="H69" t="inlineStr">
        <is>
          <t>Salinas</t>
        </is>
      </c>
      <c r="I69" t="inlineStr">
        <is>
          <t>Monterey</t>
        </is>
      </c>
      <c r="J69" t="inlineStr">
        <is>
          <t>Salinas Valley Memorial Hospital</t>
        </is>
      </c>
    </row>
    <row r="70">
      <c r="A70">
        <f>--ISNUMBER(IFERROR(SEARCH($C$5,Inputs!$D70,1),""))</f>
        <v/>
      </c>
      <c r="B70">
        <f>IF(A70=1,COUNTIF($A$6:A70,1),"")</f>
        <v/>
      </c>
      <c r="C70">
        <f>IFERROR(INDEX($D$6:$D$1750,MATCH(ROWS($B$6:B70),$B$6:$B$1750,0)),"")</f>
        <v/>
      </c>
      <c r="D70">
        <f>J70&amp;" ("&amp;E70&amp;")"</f>
        <v/>
      </c>
      <c r="E70" t="n">
        <v>10362</v>
      </c>
      <c r="F70" t="inlineStr">
        <is>
          <t>General Acute Care</t>
        </is>
      </c>
      <c r="G70" t="inlineStr">
        <is>
          <t>1000 Trancas St</t>
        </is>
      </c>
      <c r="H70" t="inlineStr">
        <is>
          <t>Napa</t>
        </is>
      </c>
      <c r="I70" t="inlineStr">
        <is>
          <t>Napa</t>
        </is>
      </c>
      <c r="J70" t="inlineStr">
        <is>
          <t>Providence Queen Of The Valley Medical Center</t>
        </is>
      </c>
    </row>
    <row r="71">
      <c r="A71">
        <f>--ISNUMBER(IFERROR(SEARCH($C$5,Inputs!$D71,1),""))</f>
        <v/>
      </c>
      <c r="B71">
        <f>IF(A71=1,COUNTIF($A$6:A71,1),"")</f>
        <v/>
      </c>
      <c r="C71">
        <f>IFERROR(INDEX($D$6:$D$1750,MATCH(ROWS($B$6:B71),$B$6:$B$1750,0)),"")</f>
        <v/>
      </c>
      <c r="D71">
        <f>J71&amp;" ("&amp;E71&amp;")"</f>
        <v/>
      </c>
      <c r="E71" t="n">
        <v>10366</v>
      </c>
      <c r="F71" t="inlineStr">
        <is>
          <t>General Acute Care</t>
        </is>
      </c>
      <c r="G71" t="inlineStr">
        <is>
          <t>10 Woodland Rd</t>
        </is>
      </c>
      <c r="H71" t="inlineStr">
        <is>
          <t>St. Helena</t>
        </is>
      </c>
      <c r="I71" t="inlineStr">
        <is>
          <t>Napa</t>
        </is>
      </c>
      <c r="J71" t="inlineStr">
        <is>
          <t>Adventist Health St. Helena</t>
        </is>
      </c>
    </row>
    <row r="72">
      <c r="A72">
        <f>--ISNUMBER(IFERROR(SEARCH($C$5,Inputs!$D72,1),""))</f>
        <v/>
      </c>
      <c r="B72">
        <f>IF(A72=1,COUNTIF($A$6:A72,1),"")</f>
        <v/>
      </c>
      <c r="C72">
        <f>IFERROR(INDEX($D$6:$D$1750,MATCH(ROWS($B$6:B72),$B$6:$B$1750,0)),"")</f>
        <v/>
      </c>
      <c r="D72">
        <f>J72&amp;" ("&amp;E72&amp;")"</f>
        <v/>
      </c>
      <c r="E72" t="n">
        <v>10375</v>
      </c>
      <c r="F72" t="inlineStr">
        <is>
          <t>General Acute Care</t>
        </is>
      </c>
      <c r="G72" t="inlineStr">
        <is>
          <t>155 Glasson Way</t>
        </is>
      </c>
      <c r="H72" t="inlineStr">
        <is>
          <t>Grass Valley</t>
        </is>
      </c>
      <c r="I72" t="inlineStr">
        <is>
          <t>Nevada</t>
        </is>
      </c>
      <c r="J72" t="inlineStr">
        <is>
          <t>Sierra Nevada Memorial Hospital</t>
        </is>
      </c>
    </row>
    <row r="73">
      <c r="A73">
        <f>--ISNUMBER(IFERROR(SEARCH($C$5,Inputs!$D73,1),""))</f>
        <v/>
      </c>
      <c r="B73">
        <f>IF(A73=1,COUNTIF($A$6:A73,1),"")</f>
        <v/>
      </c>
      <c r="C73">
        <f>IFERROR(INDEX($D$6:$D$1750,MATCH(ROWS($B$6:B73),$B$6:$B$1750,0)),"")</f>
        <v/>
      </c>
      <c r="D73">
        <f>J73&amp;" ("&amp;E73&amp;")"</f>
        <v/>
      </c>
      <c r="E73" t="n">
        <v>10377</v>
      </c>
      <c r="F73" t="inlineStr">
        <is>
          <t>General Acute Care</t>
        </is>
      </c>
      <c r="G73" t="inlineStr">
        <is>
          <t>10121 Pine Ave</t>
        </is>
      </c>
      <c r="H73" t="inlineStr">
        <is>
          <t>Truckee</t>
        </is>
      </c>
      <c r="I73" t="inlineStr">
        <is>
          <t>Nevada</t>
        </is>
      </c>
      <c r="J73" t="inlineStr">
        <is>
          <t>Tahoe Forest Hospital</t>
        </is>
      </c>
    </row>
    <row r="74">
      <c r="A74">
        <f>--ISNUMBER(IFERROR(SEARCH($C$5,Inputs!$D74,1),""))</f>
        <v/>
      </c>
      <c r="B74">
        <f>IF(A74=1,COUNTIF($A$6:A74,1),"")</f>
        <v/>
      </c>
      <c r="C74">
        <f>IFERROR(INDEX($D$6:$D$1750,MATCH(ROWS($B$6:B74),$B$6:$B$1750,0)),"")</f>
        <v/>
      </c>
      <c r="D74">
        <f>J74&amp;" ("&amp;E74&amp;")"</f>
        <v/>
      </c>
      <c r="E74" t="n">
        <v>10381</v>
      </c>
      <c r="F74" t="inlineStr">
        <is>
          <t>General Acute Care</t>
        </is>
      </c>
      <c r="G74" t="inlineStr">
        <is>
          <t>3350 W. Ball Road</t>
        </is>
      </c>
      <c r="H74" t="inlineStr">
        <is>
          <t>Anaheim</t>
        </is>
      </c>
      <c r="I74" t="inlineStr">
        <is>
          <t>Orange</t>
        </is>
      </c>
      <c r="J74" t="inlineStr">
        <is>
          <t>Anaheim Community Hospital, LLC</t>
        </is>
      </c>
    </row>
    <row r="75">
      <c r="A75">
        <f>--ISNUMBER(IFERROR(SEARCH($C$5,Inputs!$D75,1),""))</f>
        <v/>
      </c>
      <c r="B75">
        <f>IF(A75=1,COUNTIF($A$6:A75,1),"")</f>
        <v/>
      </c>
      <c r="C75">
        <f>IFERROR(INDEX($D$6:$D$1750,MATCH(ROWS($B$6:B75),$B$6:$B$1750,0)),"")</f>
        <v/>
      </c>
      <c r="D75">
        <f>J75&amp;" ("&amp;E75&amp;")"</f>
        <v/>
      </c>
      <c r="E75" t="n">
        <v>10382</v>
      </c>
      <c r="F75" t="inlineStr">
        <is>
          <t>General Acute Care</t>
        </is>
      </c>
      <c r="G75" t="inlineStr">
        <is>
          <t>1111 W La Palma Ave</t>
        </is>
      </c>
      <c r="H75" t="inlineStr">
        <is>
          <t>Anaheim</t>
        </is>
      </c>
      <c r="I75" t="inlineStr">
        <is>
          <t>Orange</t>
        </is>
      </c>
      <c r="J75" t="inlineStr">
        <is>
          <t>AHMC Anaheim Regional Medical Center</t>
        </is>
      </c>
    </row>
    <row r="76">
      <c r="A76">
        <f>--ISNUMBER(IFERROR(SEARCH($C$5,Inputs!$D76,1),""))</f>
        <v/>
      </c>
      <c r="B76">
        <f>IF(A76=1,COUNTIF($A$6:A76,1),"")</f>
        <v/>
      </c>
      <c r="C76">
        <f>IFERROR(INDEX($D$6:$D$1750,MATCH(ROWS($B$6:B76),$B$6:$B$1750,0)),"")</f>
        <v/>
      </c>
      <c r="D76">
        <f>J76&amp;" ("&amp;E76&amp;")"</f>
        <v/>
      </c>
      <c r="E76" t="n">
        <v>10400</v>
      </c>
      <c r="F76" t="inlineStr">
        <is>
          <t>General Acute Care</t>
        </is>
      </c>
      <c r="G76" t="inlineStr">
        <is>
          <t>2601 E Chapman Ave</t>
        </is>
      </c>
      <c r="H76" t="inlineStr">
        <is>
          <t>Orange</t>
        </is>
      </c>
      <c r="I76" t="inlineStr">
        <is>
          <t>Orange</t>
        </is>
      </c>
      <c r="J76" t="inlineStr">
        <is>
          <t>Chapman Global Medical Center</t>
        </is>
      </c>
    </row>
    <row r="77">
      <c r="A77">
        <f>--ISNUMBER(IFERROR(SEARCH($C$5,Inputs!$D77,1),""))</f>
        <v/>
      </c>
      <c r="B77">
        <f>IF(A77=1,COUNTIF($A$6:A77,1),"")</f>
        <v/>
      </c>
      <c r="C77">
        <f>IFERROR(INDEX($D$6:$D$1750,MATCH(ROWS($B$6:B77),$B$6:$B$1750,0)),"")</f>
        <v/>
      </c>
      <c r="D77">
        <f>J77&amp;" ("&amp;E77&amp;")"</f>
        <v/>
      </c>
      <c r="E77" t="n">
        <v>10405</v>
      </c>
      <c r="F77" t="inlineStr">
        <is>
          <t>General Acute Care</t>
        </is>
      </c>
      <c r="G77" t="inlineStr">
        <is>
          <t>301 Victoria St</t>
        </is>
      </c>
      <c r="H77" t="inlineStr">
        <is>
          <t>Costa Mesa</t>
        </is>
      </c>
      <c r="I77" t="inlineStr">
        <is>
          <t>Orange</t>
        </is>
      </c>
      <c r="J77" t="inlineStr">
        <is>
          <t>College Hospital Costa Mesa</t>
        </is>
      </c>
    </row>
    <row r="78">
      <c r="A78">
        <f>--ISNUMBER(IFERROR(SEARCH($C$5,Inputs!$D78,1),""))</f>
        <v/>
      </c>
      <c r="B78">
        <f>IF(A78=1,COUNTIF($A$6:A78,1),"")</f>
        <v/>
      </c>
      <c r="C78">
        <f>IFERROR(INDEX($D$6:$D$1750,MATCH(ROWS($B$6:B78),$B$6:$B$1750,0)),"")</f>
        <v/>
      </c>
      <c r="D78">
        <f>J78&amp;" ("&amp;E78&amp;")"</f>
        <v/>
      </c>
      <c r="E78" t="n">
        <v>10407</v>
      </c>
      <c r="F78" t="inlineStr">
        <is>
          <t>General Acute Care</t>
        </is>
      </c>
      <c r="G78" t="inlineStr">
        <is>
          <t>1901 North College Avenue</t>
        </is>
      </c>
      <c r="H78" t="inlineStr">
        <is>
          <t>Santa Ana</t>
        </is>
      </c>
      <c r="I78" t="inlineStr">
        <is>
          <t>Orange</t>
        </is>
      </c>
      <c r="J78" t="inlineStr">
        <is>
          <t>Kindred Hospital - Santa Ana</t>
        </is>
      </c>
    </row>
    <row r="79">
      <c r="A79">
        <f>--ISNUMBER(IFERROR(SEARCH($C$5,Inputs!$D79,1),""))</f>
        <v/>
      </c>
      <c r="B79">
        <f>IF(A79=1,COUNTIF($A$6:A79,1),"")</f>
        <v/>
      </c>
      <c r="C79">
        <f>IFERROR(INDEX($D$6:$D$1750,MATCH(ROWS($B$6:B79),$B$6:$B$1750,0)),"")</f>
        <v/>
      </c>
      <c r="D79">
        <f>J79&amp;" ("&amp;E79&amp;")"</f>
        <v/>
      </c>
      <c r="E79" t="n">
        <v>10424</v>
      </c>
      <c r="F79" t="inlineStr">
        <is>
          <t>Acute Psychiatric Hospital</t>
        </is>
      </c>
      <c r="G79" t="inlineStr">
        <is>
          <t>1501 E 16th St</t>
        </is>
      </c>
      <c r="H79" t="inlineStr">
        <is>
          <t>Newport Beach</t>
        </is>
      </c>
      <c r="I79" t="inlineStr">
        <is>
          <t>Orange</t>
        </is>
      </c>
      <c r="J79" t="inlineStr">
        <is>
          <t>Newport Bay Hospital</t>
        </is>
      </c>
    </row>
    <row r="80">
      <c r="A80">
        <f>--ISNUMBER(IFERROR(SEARCH($C$5,Inputs!$D80,1),""))</f>
        <v/>
      </c>
      <c r="B80">
        <f>IF(A80=1,COUNTIF($A$6:A80,1),"")</f>
        <v/>
      </c>
      <c r="C80">
        <f>IFERROR(INDEX($D$6:$D$1750,MATCH(ROWS($B$6:B80),$B$6:$B$1750,0)),"")</f>
        <v/>
      </c>
      <c r="D80">
        <f>J80&amp;" ("&amp;E80&amp;")"</f>
        <v/>
      </c>
      <c r="E80" t="n">
        <v>10428</v>
      </c>
      <c r="F80" t="inlineStr">
        <is>
          <t>General Acute Care</t>
        </is>
      </c>
      <c r="G80" t="inlineStr">
        <is>
          <t>1 Hoag Drive</t>
        </is>
      </c>
      <c r="H80" t="inlineStr">
        <is>
          <t>Newport Beach</t>
        </is>
      </c>
      <c r="I80" t="inlineStr">
        <is>
          <t>Orange</t>
        </is>
      </c>
      <c r="J80" t="inlineStr">
        <is>
          <t>Hoag Memorial Hospital Presbyterian</t>
        </is>
      </c>
    </row>
    <row r="81">
      <c r="A81">
        <f>--ISNUMBER(IFERROR(SEARCH($C$5,Inputs!$D81,1),""))</f>
        <v/>
      </c>
      <c r="B81">
        <f>IF(A81=1,COUNTIF($A$6:A81,1),"")</f>
        <v/>
      </c>
      <c r="C81">
        <f>IFERROR(INDEX($D$6:$D$1750,MATCH(ROWS($B$6:B81),$B$6:$B$1750,0)),"")</f>
        <v/>
      </c>
      <c r="D81">
        <f>J81&amp;" ("&amp;E81&amp;")"</f>
        <v/>
      </c>
      <c r="E81" t="n">
        <v>10431</v>
      </c>
      <c r="F81" t="inlineStr">
        <is>
          <t>General Acute Care</t>
        </is>
      </c>
      <c r="G81" t="inlineStr">
        <is>
          <t>17772 Beach Blvd</t>
        </is>
      </c>
      <c r="H81" t="inlineStr">
        <is>
          <t>Huntington Beach</t>
        </is>
      </c>
      <c r="I81" t="inlineStr">
        <is>
          <t>Orange</t>
        </is>
      </c>
      <c r="J81" t="inlineStr">
        <is>
          <t>Huntington Beach Hospital</t>
        </is>
      </c>
    </row>
    <row r="82">
      <c r="A82">
        <f>--ISNUMBER(IFERROR(SEARCH($C$5,Inputs!$D82,1),""))</f>
        <v/>
      </c>
      <c r="B82">
        <f>IF(A82=1,COUNTIF($A$6:A82,1),"")</f>
        <v/>
      </c>
      <c r="C82">
        <f>IFERROR(INDEX($D$6:$D$1750,MATCH(ROWS($B$6:B82),$B$6:$B$1750,0)),"")</f>
        <v/>
      </c>
      <c r="D82">
        <f>J82&amp;" ("&amp;E82&amp;")"</f>
        <v/>
      </c>
      <c r="E82" t="n">
        <v>10440</v>
      </c>
      <c r="F82" t="inlineStr">
        <is>
          <t>General Acute Care</t>
        </is>
      </c>
      <c r="G82" t="inlineStr">
        <is>
          <t>3751 Katella Ave.</t>
        </is>
      </c>
      <c r="H82" t="inlineStr">
        <is>
          <t>Los Alamitos</t>
        </is>
      </c>
      <c r="I82" t="inlineStr">
        <is>
          <t>Orange</t>
        </is>
      </c>
      <c r="J82" t="inlineStr">
        <is>
          <t>Los Alamitos Medical Center</t>
        </is>
      </c>
    </row>
    <row r="83">
      <c r="A83">
        <f>--ISNUMBER(IFERROR(SEARCH($C$5,Inputs!$D83,1),""))</f>
        <v/>
      </c>
      <c r="B83">
        <f>IF(A83=1,COUNTIF($A$6:A83,1),"")</f>
        <v/>
      </c>
      <c r="C83">
        <f>IFERROR(INDEX($D$6:$D$1750,MATCH(ROWS($B$6:B83),$B$6:$B$1750,0)),"")</f>
        <v/>
      </c>
      <c r="D83">
        <f>J83&amp;" ("&amp;E83&amp;")"</f>
        <v/>
      </c>
      <c r="E83" t="n">
        <v>10446</v>
      </c>
      <c r="F83" t="inlineStr">
        <is>
          <t>General Acute Care</t>
        </is>
      </c>
      <c r="G83" t="inlineStr">
        <is>
          <t>101 The City Drive South</t>
        </is>
      </c>
      <c r="H83" t="inlineStr">
        <is>
          <t>Orange</t>
        </is>
      </c>
      <c r="I83" t="inlineStr">
        <is>
          <t>Orange</t>
        </is>
      </c>
      <c r="J83" t="inlineStr">
        <is>
          <t>University of California Irvine Medical Center</t>
        </is>
      </c>
    </row>
    <row r="84">
      <c r="A84">
        <f>--ISNUMBER(IFERROR(SEARCH($C$5,Inputs!$D84,1),""))</f>
        <v/>
      </c>
      <c r="B84">
        <f>IF(A84=1,COUNTIF($A$6:A84,1),"")</f>
        <v/>
      </c>
      <c r="C84">
        <f>IFERROR(INDEX($D$6:$D$1750,MATCH(ROWS($B$6:B84),$B$6:$B$1750,0)),"")</f>
        <v/>
      </c>
      <c r="D84">
        <f>J84&amp;" ("&amp;E84&amp;")"</f>
        <v/>
      </c>
      <c r="E84" t="n">
        <v>10450</v>
      </c>
      <c r="F84" t="inlineStr">
        <is>
          <t>General Acute Care</t>
        </is>
      </c>
      <c r="G84" t="inlineStr">
        <is>
          <t>12601 Garden Grove Blvd.</t>
        </is>
      </c>
      <c r="H84" t="inlineStr">
        <is>
          <t>Garden Grove</t>
        </is>
      </c>
      <c r="I84" t="inlineStr">
        <is>
          <t>Orange</t>
        </is>
      </c>
      <c r="J84" t="inlineStr">
        <is>
          <t>Garden Grove Hospital and Medical Center</t>
        </is>
      </c>
    </row>
    <row r="85">
      <c r="A85">
        <f>--ISNUMBER(IFERROR(SEARCH($C$5,Inputs!$D85,1),""))</f>
        <v/>
      </c>
      <c r="B85">
        <f>IF(A85=1,COUNTIF($A$6:A85,1),"")</f>
        <v/>
      </c>
      <c r="C85">
        <f>IFERROR(INDEX($D$6:$D$1750,MATCH(ROWS($B$6:B85),$B$6:$B$1750,0)),"")</f>
        <v/>
      </c>
      <c r="D85">
        <f>J85&amp;" ("&amp;E85&amp;")"</f>
        <v/>
      </c>
      <c r="E85" t="n">
        <v>10457</v>
      </c>
      <c r="F85" t="inlineStr">
        <is>
          <t>General Acute Care</t>
        </is>
      </c>
      <c r="G85" t="inlineStr">
        <is>
          <t>1100 W Stewart Dr</t>
        </is>
      </c>
      <c r="H85" t="inlineStr">
        <is>
          <t>Orange</t>
        </is>
      </c>
      <c r="I85" t="inlineStr">
        <is>
          <t>Orange</t>
        </is>
      </c>
      <c r="J85" t="inlineStr">
        <is>
          <t>Providence St. Joseph Hospital</t>
        </is>
      </c>
    </row>
    <row r="86">
      <c r="A86">
        <f>--ISNUMBER(IFERROR(SEARCH($C$5,Inputs!$D86,1),""))</f>
        <v/>
      </c>
      <c r="B86">
        <f>IF(A86=1,COUNTIF($A$6:A86,1),"")</f>
        <v/>
      </c>
      <c r="C86">
        <f>IFERROR(INDEX($D$6:$D$1750,MATCH(ROWS($B$6:B86),$B$6:$B$1750,0)),"")</f>
        <v/>
      </c>
      <c r="D86">
        <f>J86&amp;" ("&amp;E86&amp;")"</f>
        <v/>
      </c>
      <c r="E86" t="n">
        <v>10458</v>
      </c>
      <c r="F86" t="inlineStr">
        <is>
          <t>General Acute Care</t>
        </is>
      </c>
      <c r="G86" t="inlineStr">
        <is>
          <t>101 E. Valencia Mesa Dr.</t>
        </is>
      </c>
      <c r="H86" t="inlineStr">
        <is>
          <t>Fullerton</t>
        </is>
      </c>
      <c r="I86" t="inlineStr">
        <is>
          <t>Orange</t>
        </is>
      </c>
      <c r="J86" t="inlineStr">
        <is>
          <t>Providence St. Jude Medical Center</t>
        </is>
      </c>
    </row>
    <row r="87">
      <c r="A87">
        <f>--ISNUMBER(IFERROR(SEARCH($C$5,Inputs!$D87,1),""))</f>
        <v/>
      </c>
      <c r="B87">
        <f>IF(A87=1,COUNTIF($A$6:A87,1),"")</f>
        <v/>
      </c>
      <c r="C87">
        <f>IFERROR(INDEX($D$6:$D$1750,MATCH(ROWS($B$6:B87),$B$6:$B$1750,0)),"")</f>
        <v/>
      </c>
      <c r="D87">
        <f>J87&amp;" ("&amp;E87&amp;")"</f>
        <v/>
      </c>
      <c r="E87" t="n">
        <v>10468</v>
      </c>
      <c r="F87" t="inlineStr">
        <is>
          <t>General Acute Care</t>
        </is>
      </c>
      <c r="G87" t="inlineStr">
        <is>
          <t>31872 Coast Highway</t>
        </is>
      </c>
      <c r="H87" t="inlineStr">
        <is>
          <t>Laguna Beach</t>
        </is>
      </c>
      <c r="I87" t="inlineStr">
        <is>
          <t>Orange</t>
        </is>
      </c>
      <c r="J87" t="inlineStr">
        <is>
          <t>Providence Mission Hospital - Laguna Beach</t>
        </is>
      </c>
    </row>
    <row r="88">
      <c r="A88">
        <f>--ISNUMBER(IFERROR(SEARCH($C$5,Inputs!$D88,1),""))</f>
        <v/>
      </c>
      <c r="B88">
        <f>IF(A88=1,COUNTIF($A$6:A88,1),"")</f>
        <v/>
      </c>
      <c r="C88">
        <f>IFERROR(INDEX($D$6:$D$1750,MATCH(ROWS($B$6:B88),$B$6:$B$1750,0)),"")</f>
        <v/>
      </c>
      <c r="D88">
        <f>J88&amp;" ("&amp;E88&amp;")"</f>
        <v/>
      </c>
      <c r="E88" t="n">
        <v>10475</v>
      </c>
      <c r="F88" t="inlineStr">
        <is>
          <t>General Acute Care</t>
        </is>
      </c>
      <c r="G88" t="inlineStr">
        <is>
          <t>3033 West Orange Ave.</t>
        </is>
      </c>
      <c r="H88" t="inlineStr">
        <is>
          <t>Anaheim</t>
        </is>
      </c>
      <c r="I88" t="inlineStr">
        <is>
          <t>Orange</t>
        </is>
      </c>
      <c r="J88" t="inlineStr">
        <is>
          <t>West Anaheim Medical Center</t>
        </is>
      </c>
    </row>
    <row r="89">
      <c r="A89">
        <f>--ISNUMBER(IFERROR(SEARCH($C$5,Inputs!$D89,1),""))</f>
        <v/>
      </c>
      <c r="B89">
        <f>IF(A89=1,COUNTIF($A$6:A89,1),"")</f>
        <v/>
      </c>
      <c r="C89">
        <f>IFERROR(INDEX($D$6:$D$1750,MATCH(ROWS($B$6:B89),$B$6:$B$1750,0)),"")</f>
        <v/>
      </c>
      <c r="D89">
        <f>J89&amp;" ("&amp;E89&amp;")"</f>
        <v/>
      </c>
      <c r="E89" t="n">
        <v>10476</v>
      </c>
      <c r="F89" t="inlineStr">
        <is>
          <t>General Acute Care</t>
        </is>
      </c>
      <c r="G89" t="inlineStr">
        <is>
          <t>200 Hospital Circle</t>
        </is>
      </c>
      <c r="H89" t="inlineStr">
        <is>
          <t>Westminster</t>
        </is>
      </c>
      <c r="I89" t="inlineStr">
        <is>
          <t>Orange</t>
        </is>
      </c>
      <c r="J89" t="inlineStr">
        <is>
          <t>Kindred Hospital Westminster</t>
        </is>
      </c>
    </row>
    <row r="90">
      <c r="A90">
        <f>--ISNUMBER(IFERROR(SEARCH($C$5,Inputs!$D90,1),""))</f>
        <v/>
      </c>
      <c r="B90">
        <f>IF(A90=1,COUNTIF($A$6:A90,1),"")</f>
        <v/>
      </c>
      <c r="C90">
        <f>IFERROR(INDEX($D$6:$D$1750,MATCH(ROWS($B$6:B90),$B$6:$B$1750,0)),"")</f>
        <v/>
      </c>
      <c r="D90">
        <f>J90&amp;" ("&amp;E90&amp;")"</f>
        <v/>
      </c>
      <c r="E90" t="n">
        <v>10494</v>
      </c>
      <c r="F90" t="inlineStr">
        <is>
          <t>General Acute Care</t>
        </is>
      </c>
      <c r="G90" t="inlineStr">
        <is>
          <t>11815 Education Street</t>
        </is>
      </c>
      <c r="H90" t="inlineStr">
        <is>
          <t>Auburn</t>
        </is>
      </c>
      <c r="I90" t="inlineStr">
        <is>
          <t>Placer</t>
        </is>
      </c>
      <c r="J90" t="inlineStr">
        <is>
          <t>Sutter Auburn Faith Hospital</t>
        </is>
      </c>
    </row>
    <row r="91">
      <c r="A91">
        <f>--ISNUMBER(IFERROR(SEARCH($C$5,Inputs!$D91,1),""))</f>
        <v/>
      </c>
      <c r="B91">
        <f>IF(A91=1,COUNTIF($A$6:A91,1),"")</f>
        <v/>
      </c>
      <c r="C91">
        <f>IFERROR(INDEX($D$6:$D$1750,MATCH(ROWS($B$6:B91),$B$6:$B$1750,0)),"")</f>
        <v/>
      </c>
      <c r="D91">
        <f>J91&amp;" ("&amp;E91&amp;")"</f>
        <v/>
      </c>
      <c r="E91" t="n">
        <v>10512</v>
      </c>
      <c r="F91" t="inlineStr">
        <is>
          <t>General Acute Care</t>
        </is>
      </c>
      <c r="G91" t="inlineStr">
        <is>
          <t>1065 Bucks Lake Rd</t>
        </is>
      </c>
      <c r="H91" t="inlineStr">
        <is>
          <t>Quincy</t>
        </is>
      </c>
      <c r="I91" t="inlineStr">
        <is>
          <t>Plumas</t>
        </is>
      </c>
      <c r="J91" t="inlineStr">
        <is>
          <t>Plumas District Hospital</t>
        </is>
      </c>
    </row>
    <row r="92">
      <c r="A92">
        <f>--ISNUMBER(IFERROR(SEARCH($C$5,Inputs!$D92,1),""))</f>
        <v/>
      </c>
      <c r="B92">
        <f>IF(A92=1,COUNTIF($A$6:A92,1),"")</f>
        <v/>
      </c>
      <c r="C92">
        <f>IFERROR(INDEX($D$6:$D$1750,MATCH(ROWS($B$6:B92),$B$6:$B$1750,0)),"")</f>
        <v/>
      </c>
      <c r="D92">
        <f>J92&amp;" ("&amp;E92&amp;")"</f>
        <v/>
      </c>
      <c r="E92" t="n">
        <v>10513</v>
      </c>
      <c r="F92" t="inlineStr">
        <is>
          <t>General Acute Care</t>
        </is>
      </c>
      <c r="G92" t="inlineStr">
        <is>
          <t>130 Brentwood Drive</t>
        </is>
      </c>
      <c r="H92" t="inlineStr">
        <is>
          <t>Chester</t>
        </is>
      </c>
      <c r="I92" t="inlineStr">
        <is>
          <t>Plumas</t>
        </is>
      </c>
      <c r="J92" t="inlineStr">
        <is>
          <t>Seneca District Hospital</t>
        </is>
      </c>
    </row>
    <row r="93">
      <c r="A93">
        <f>--ISNUMBER(IFERROR(SEARCH($C$5,Inputs!$D93,1),""))</f>
        <v/>
      </c>
      <c r="B93">
        <f>IF(A93=1,COUNTIF($A$6:A93,1),"")</f>
        <v/>
      </c>
      <c r="C93">
        <f>IFERROR(INDEX($D$6:$D$1750,MATCH(ROWS($B$6:B93),$B$6:$B$1750,0)),"")</f>
        <v/>
      </c>
      <c r="D93">
        <f>J93&amp;" ("&amp;E93&amp;")"</f>
        <v/>
      </c>
      <c r="E93" t="n">
        <v>10514</v>
      </c>
      <c r="F93" t="inlineStr">
        <is>
          <t>General Acute Care</t>
        </is>
      </c>
      <c r="G93" t="inlineStr">
        <is>
          <t>500 1st Ave.</t>
        </is>
      </c>
      <c r="H93" t="inlineStr">
        <is>
          <t>Portola</t>
        </is>
      </c>
      <c r="I93" t="inlineStr">
        <is>
          <t>Plumas</t>
        </is>
      </c>
      <c r="J93" t="inlineStr">
        <is>
          <t>Eastern Plumas Hospital-Portola Campus</t>
        </is>
      </c>
    </row>
    <row r="94">
      <c r="A94">
        <f>--ISNUMBER(IFERROR(SEARCH($C$5,Inputs!$D94,1),""))</f>
        <v/>
      </c>
      <c r="B94">
        <f>IF(A94=1,COUNTIF($A$6:A94,1),"")</f>
        <v/>
      </c>
      <c r="C94">
        <f>IFERROR(INDEX($D$6:$D$1750,MATCH(ROWS($B$6:B94),$B$6:$B$1750,0)),"")</f>
        <v/>
      </c>
      <c r="D94">
        <f>J94&amp;" ("&amp;E94&amp;")"</f>
        <v/>
      </c>
      <c r="E94" t="n">
        <v>10526</v>
      </c>
      <c r="F94" t="inlineStr">
        <is>
          <t>General Acute Care</t>
        </is>
      </c>
      <c r="G94" t="inlineStr">
        <is>
          <t>730 Magnolia Avenue</t>
        </is>
      </c>
      <c r="H94" t="inlineStr">
        <is>
          <t>Corona</t>
        </is>
      </c>
      <c r="I94" t="inlineStr">
        <is>
          <t>Riverside</t>
        </is>
      </c>
      <c r="J94" t="inlineStr">
        <is>
          <t>Corona Regional Medical Center</t>
        </is>
      </c>
    </row>
    <row r="95">
      <c r="A95">
        <f>--ISNUMBER(IFERROR(SEARCH($C$5,Inputs!$D95,1),""))</f>
        <v/>
      </c>
      <c r="B95">
        <f>IF(A95=1,COUNTIF($A$6:A95,1),"")</f>
        <v/>
      </c>
      <c r="C95">
        <f>IFERROR(INDEX($D$6:$D$1750,MATCH(ROWS($B$6:B95),$B$6:$B$1750,0)),"")</f>
        <v/>
      </c>
      <c r="D95">
        <f>J95&amp;" ("&amp;E95&amp;")"</f>
        <v/>
      </c>
      <c r="E95" t="n">
        <v>10529</v>
      </c>
      <c r="F95" t="inlineStr">
        <is>
          <t>General Acute Care</t>
        </is>
      </c>
      <c r="G95" t="inlineStr">
        <is>
          <t>800 South Main Street</t>
        </is>
      </c>
      <c r="H95" t="inlineStr">
        <is>
          <t>Corona</t>
        </is>
      </c>
      <c r="I95" t="inlineStr">
        <is>
          <t>Riverside</t>
        </is>
      </c>
      <c r="J95" t="inlineStr">
        <is>
          <t>Corona Regional Medical Center</t>
        </is>
      </c>
    </row>
    <row r="96">
      <c r="A96">
        <f>--ISNUMBER(IFERROR(SEARCH($C$5,Inputs!$D96,1),""))</f>
        <v/>
      </c>
      <c r="B96">
        <f>IF(A96=1,COUNTIF($A$6:A96,1),"")</f>
        <v/>
      </c>
      <c r="C96">
        <f>IFERROR(INDEX($D$6:$D$1750,MATCH(ROWS($B$6:B96),$B$6:$B$1750,0)),"")</f>
        <v/>
      </c>
      <c r="D96">
        <f>J96&amp;" ("&amp;E96&amp;")"</f>
        <v/>
      </c>
      <c r="E96" t="n">
        <v>10537</v>
      </c>
      <c r="F96" t="inlineStr">
        <is>
          <t>General Acute Care</t>
        </is>
      </c>
      <c r="G96" t="inlineStr">
        <is>
          <t>1150 N Indian Canyon Dr</t>
        </is>
      </c>
      <c r="H96" t="inlineStr">
        <is>
          <t>Palm Springs</t>
        </is>
      </c>
      <c r="I96" t="inlineStr">
        <is>
          <t>Riverside</t>
        </is>
      </c>
      <c r="J96" t="inlineStr">
        <is>
          <t>Desert Regional Medical Center</t>
        </is>
      </c>
    </row>
    <row r="97">
      <c r="A97">
        <f>--ISNUMBER(IFERROR(SEARCH($C$5,Inputs!$D97,1),""))</f>
        <v/>
      </c>
      <c r="B97">
        <f>IF(A97=1,COUNTIF($A$6:A97,1),"")</f>
        <v/>
      </c>
      <c r="C97">
        <f>IFERROR(INDEX($D$6:$D$1750,MATCH(ROWS($B$6:B97),$B$6:$B$1750,0)),"")</f>
        <v/>
      </c>
      <c r="D97">
        <f>J97&amp;" ("&amp;E97&amp;")"</f>
        <v/>
      </c>
      <c r="E97" t="n">
        <v>10541</v>
      </c>
      <c r="F97" t="inlineStr">
        <is>
          <t>General Acute Care</t>
        </is>
      </c>
      <c r="G97" t="inlineStr">
        <is>
          <t>1117 East Devonshire</t>
        </is>
      </c>
      <c r="H97" t="inlineStr">
        <is>
          <t>Hemet</t>
        </is>
      </c>
      <c r="I97" t="inlineStr">
        <is>
          <t>Riverside</t>
        </is>
      </c>
      <c r="J97" t="inlineStr">
        <is>
          <t>Hemet Global Medical Center</t>
        </is>
      </c>
    </row>
    <row r="98">
      <c r="A98">
        <f>--ISNUMBER(IFERROR(SEARCH($C$5,Inputs!$D98,1),""))</f>
        <v/>
      </c>
      <c r="B98">
        <f>IF(A98=1,COUNTIF($A$6:A98,1),"")</f>
        <v/>
      </c>
      <c r="C98">
        <f>IFERROR(INDEX($D$6:$D$1750,MATCH(ROWS($B$6:B98),$B$6:$B$1750,0)),"")</f>
        <v/>
      </c>
      <c r="D98">
        <f>J98&amp;" ("&amp;E98&amp;")"</f>
        <v/>
      </c>
      <c r="E98" t="n">
        <v>10545</v>
      </c>
      <c r="F98" t="inlineStr">
        <is>
          <t>General Acute Care</t>
        </is>
      </c>
      <c r="G98" t="inlineStr">
        <is>
          <t>47111 Monroe Street</t>
        </is>
      </c>
      <c r="H98" t="inlineStr">
        <is>
          <t>Indio</t>
        </is>
      </c>
      <c r="I98" t="inlineStr">
        <is>
          <t>Riverside</t>
        </is>
      </c>
      <c r="J98" t="inlineStr">
        <is>
          <t>John F. Kennedy Memorial Hospital</t>
        </is>
      </c>
    </row>
    <row r="99">
      <c r="A99">
        <f>--ISNUMBER(IFERROR(SEARCH($C$5,Inputs!$D99,1),""))</f>
        <v/>
      </c>
      <c r="B99">
        <f>IF(A99=1,COUNTIF($A$6:A99,1),"")</f>
        <v/>
      </c>
      <c r="C99">
        <f>IFERROR(INDEX($D$6:$D$1750,MATCH(ROWS($B$6:B99),$B$6:$B$1750,0)),"")</f>
        <v/>
      </c>
      <c r="D99">
        <f>J99&amp;" ("&amp;E99&amp;")"</f>
        <v/>
      </c>
      <c r="E99" t="n">
        <v>10548</v>
      </c>
      <c r="F99" t="inlineStr">
        <is>
          <t>Acute Psychiatric Hospital</t>
        </is>
      </c>
      <c r="G99" t="inlineStr">
        <is>
          <t>5900 Brockton Ave</t>
        </is>
      </c>
      <c r="H99" t="inlineStr">
        <is>
          <t>Riverside</t>
        </is>
      </c>
      <c r="I99" t="inlineStr">
        <is>
          <t>Riverside</t>
        </is>
      </c>
      <c r="J99" t="inlineStr">
        <is>
          <t>Pacific Grove Hospital</t>
        </is>
      </c>
    </row>
    <row r="100">
      <c r="A100">
        <f>--ISNUMBER(IFERROR(SEARCH($C$5,Inputs!$D100,1),""))</f>
        <v/>
      </c>
      <c r="B100">
        <f>IF(A100=1,COUNTIF($A$6:A100,1),"")</f>
        <v/>
      </c>
      <c r="C100">
        <f>IFERROR(INDEX($D$6:$D$1750,MATCH(ROWS($B$6:B100),$B$6:$B$1750,0)),"")</f>
        <v/>
      </c>
      <c r="D100">
        <f>J100&amp;" ("&amp;E100&amp;")"</f>
        <v/>
      </c>
      <c r="E100" t="n">
        <v>10553</v>
      </c>
      <c r="F100" t="inlineStr">
        <is>
          <t>General Acute Care</t>
        </is>
      </c>
      <c r="G100" t="inlineStr">
        <is>
          <t>250 North First Street</t>
        </is>
      </c>
      <c r="H100" t="inlineStr">
        <is>
          <t>Blythe</t>
        </is>
      </c>
      <c r="I100" t="inlineStr">
        <is>
          <t>Riverside</t>
        </is>
      </c>
      <c r="J100" t="inlineStr">
        <is>
          <t>Palo Verde Hospital</t>
        </is>
      </c>
    </row>
    <row r="101">
      <c r="A101">
        <f>--ISNUMBER(IFERROR(SEARCH($C$5,Inputs!$D101,1),""))</f>
        <v/>
      </c>
      <c r="B101">
        <f>IF(A101=1,COUNTIF($A$6:A101,1),"")</f>
        <v/>
      </c>
      <c r="C101">
        <f>IFERROR(INDEX($D$6:$D$1750,MATCH(ROWS($B$6:B101),$B$6:$B$1750,0)),"")</f>
        <v/>
      </c>
      <c r="D101">
        <f>J101&amp;" ("&amp;E101&amp;")"</f>
        <v/>
      </c>
      <c r="E101" t="n">
        <v>10554</v>
      </c>
      <c r="F101" t="inlineStr">
        <is>
          <t>General Acute Care</t>
        </is>
      </c>
      <c r="G101" t="inlineStr">
        <is>
          <t>3865 Jackson Street</t>
        </is>
      </c>
      <c r="H101" t="inlineStr">
        <is>
          <t>Riverside</t>
        </is>
      </c>
      <c r="I101" t="inlineStr">
        <is>
          <t>Riverside</t>
        </is>
      </c>
      <c r="J101" t="inlineStr">
        <is>
          <t>Doctors Hospital Of Riverside</t>
        </is>
      </c>
    </row>
    <row r="102">
      <c r="A102">
        <f>--ISNUMBER(IFERROR(SEARCH($C$5,Inputs!$D102,1),""))</f>
        <v/>
      </c>
      <c r="B102">
        <f>IF(A102=1,COUNTIF($A$6:A102,1),"")</f>
        <v/>
      </c>
      <c r="C102">
        <f>IFERROR(INDEX($D$6:$D$1750,MATCH(ROWS($B$6:B102),$B$6:$B$1750,0)),"")</f>
        <v/>
      </c>
      <c r="D102">
        <f>J102&amp;" ("&amp;E102&amp;")"</f>
        <v/>
      </c>
      <c r="E102" t="n">
        <v>10556</v>
      </c>
      <c r="F102" t="inlineStr">
        <is>
          <t>General Acute Care</t>
        </is>
      </c>
      <c r="G102" t="inlineStr">
        <is>
          <t>4445 Magnolia Ave</t>
        </is>
      </c>
      <c r="H102" t="inlineStr">
        <is>
          <t>Riverside</t>
        </is>
      </c>
      <c r="I102" t="inlineStr">
        <is>
          <t>Riverside</t>
        </is>
      </c>
      <c r="J102" t="inlineStr">
        <is>
          <t>Riverside Community Hospital</t>
        </is>
      </c>
    </row>
    <row r="103">
      <c r="A103">
        <f>--ISNUMBER(IFERROR(SEARCH($C$5,Inputs!$D103,1),""))</f>
        <v/>
      </c>
      <c r="B103">
        <f>IF(A103=1,COUNTIF($A$6:A103,1),"")</f>
        <v/>
      </c>
      <c r="C103">
        <f>IFERROR(INDEX($D$6:$D$1750,MATCH(ROWS($B$6:B103),$B$6:$B$1750,0)),"")</f>
        <v/>
      </c>
      <c r="D103">
        <f>J103&amp;" ("&amp;E103&amp;")"</f>
        <v/>
      </c>
      <c r="E103" t="n">
        <v>10559</v>
      </c>
      <c r="F103" t="inlineStr">
        <is>
          <t>General Acute Care</t>
        </is>
      </c>
      <c r="G103" t="inlineStr">
        <is>
          <t>600 Highland Springs Ave</t>
        </is>
      </c>
      <c r="H103" t="inlineStr">
        <is>
          <t>Banning</t>
        </is>
      </c>
      <c r="I103" t="inlineStr">
        <is>
          <t>Riverside</t>
        </is>
      </c>
      <c r="J103" t="inlineStr">
        <is>
          <t>San Gorgonio Memorial Hospital</t>
        </is>
      </c>
    </row>
    <row r="104">
      <c r="A104">
        <f>--ISNUMBER(IFERROR(SEARCH($C$5,Inputs!$D104,1),""))</f>
        <v/>
      </c>
      <c r="B104">
        <f>IF(A104=1,COUNTIF($A$6:A104,1),"")</f>
        <v/>
      </c>
      <c r="C104">
        <f>IFERROR(INDEX($D$6:$D$1750,MATCH(ROWS($B$6:B104),$B$6:$B$1750,0)),"")</f>
        <v/>
      </c>
      <c r="D104">
        <f>J104&amp;" ("&amp;E104&amp;")"</f>
        <v/>
      </c>
      <c r="E104" t="n">
        <v>10604</v>
      </c>
      <c r="F104" t="inlineStr">
        <is>
          <t>General Acute Care</t>
        </is>
      </c>
      <c r="G104" t="inlineStr">
        <is>
          <t>2025 Morse Avenue</t>
        </is>
      </c>
      <c r="H104" t="inlineStr">
        <is>
          <t>Sacramento</t>
        </is>
      </c>
      <c r="I104" t="inlineStr">
        <is>
          <t>Sacramento</t>
        </is>
      </c>
      <c r="J104" t="inlineStr">
        <is>
          <t>Kaiser Foundation Hospital - Sacramento</t>
        </is>
      </c>
    </row>
    <row r="105">
      <c r="A105">
        <f>--ISNUMBER(IFERROR(SEARCH($C$5,Inputs!$D105,1),""))</f>
        <v/>
      </c>
      <c r="B105">
        <f>IF(A105=1,COUNTIF($A$6:A105,1),"")</f>
        <v/>
      </c>
      <c r="C105">
        <f>IFERROR(INDEX($D$6:$D$1750,MATCH(ROWS($B$6:B105),$B$6:$B$1750,0)),"")</f>
        <v/>
      </c>
      <c r="D105">
        <f>J105&amp;" ("&amp;E105&amp;")"</f>
        <v/>
      </c>
      <c r="E105" t="n">
        <v>10606</v>
      </c>
      <c r="F105" t="inlineStr">
        <is>
          <t>General Acute Care</t>
        </is>
      </c>
      <c r="G105" t="inlineStr">
        <is>
          <t>4001 J Street</t>
        </is>
      </c>
      <c r="H105" t="inlineStr">
        <is>
          <t>Sacramento</t>
        </is>
      </c>
      <c r="I105" t="inlineStr">
        <is>
          <t>Sacramento</t>
        </is>
      </c>
      <c r="J105" t="inlineStr">
        <is>
          <t>Mercy General Hospital</t>
        </is>
      </c>
    </row>
    <row r="106">
      <c r="A106">
        <f>--ISNUMBER(IFERROR(SEARCH($C$5,Inputs!$D106,1),""))</f>
        <v/>
      </c>
      <c r="B106">
        <f>IF(A106=1,COUNTIF($A$6:A106,1),"")</f>
        <v/>
      </c>
      <c r="C106">
        <f>IFERROR(INDEX($D$6:$D$1750,MATCH(ROWS($B$6:B106),$B$6:$B$1750,0)),"")</f>
        <v/>
      </c>
      <c r="D106">
        <f>J106&amp;" ("&amp;E106&amp;")"</f>
        <v/>
      </c>
      <c r="E106" t="n">
        <v>10607</v>
      </c>
      <c r="F106" t="inlineStr">
        <is>
          <t>General Acute Care</t>
        </is>
      </c>
      <c r="G106" t="inlineStr">
        <is>
          <t>6501 Coyle Avenue</t>
        </is>
      </c>
      <c r="H106" t="inlineStr">
        <is>
          <t>Carmichael</t>
        </is>
      </c>
      <c r="I106" t="inlineStr">
        <is>
          <t>Sacramento</t>
        </is>
      </c>
      <c r="J106" t="inlineStr">
        <is>
          <t>Mercy San Juan Medical Center</t>
        </is>
      </c>
    </row>
    <row r="107">
      <c r="A107">
        <f>--ISNUMBER(IFERROR(SEARCH($C$5,Inputs!$D107,1),""))</f>
        <v/>
      </c>
      <c r="B107">
        <f>IF(A107=1,COUNTIF($A$6:A107,1),"")</f>
        <v/>
      </c>
      <c r="C107">
        <f>IFERROR(INDEX($D$6:$D$1750,MATCH(ROWS($B$6:B107),$B$6:$B$1750,0)),"")</f>
        <v/>
      </c>
      <c r="D107">
        <f>J107&amp;" ("&amp;E107&amp;")"</f>
        <v/>
      </c>
      <c r="E107" t="n">
        <v>10619</v>
      </c>
      <c r="F107" t="inlineStr">
        <is>
          <t>General Acute Care</t>
        </is>
      </c>
      <c r="G107" t="inlineStr">
        <is>
          <t>2315 Stockton Boulevard</t>
        </is>
      </c>
      <c r="H107" t="inlineStr">
        <is>
          <t>Sacramento</t>
        </is>
      </c>
      <c r="I107" t="inlineStr">
        <is>
          <t>Sacramento</t>
        </is>
      </c>
      <c r="J107" t="inlineStr">
        <is>
          <t>University of California Davis Medical Center</t>
        </is>
      </c>
    </row>
    <row r="108">
      <c r="A108">
        <f>--ISNUMBER(IFERROR(SEARCH($C$5,Inputs!$D108,1),""))</f>
        <v/>
      </c>
      <c r="B108">
        <f>IF(A108=1,COUNTIF($A$6:A108,1),"")</f>
        <v/>
      </c>
      <c r="C108">
        <f>IFERROR(INDEX($D$6:$D$1750,MATCH(ROWS($B$6:B108),$B$6:$B$1750,0)),"")</f>
        <v/>
      </c>
      <c r="D108">
        <f>J108&amp;" ("&amp;E108&amp;")"</f>
        <v/>
      </c>
      <c r="E108" t="n">
        <v>10625</v>
      </c>
      <c r="F108" t="inlineStr">
        <is>
          <t>General Acute Care</t>
        </is>
      </c>
      <c r="G108" t="inlineStr">
        <is>
          <t>2825 Capitol Avenue</t>
        </is>
      </c>
      <c r="H108" t="inlineStr">
        <is>
          <t>Sacramento</t>
        </is>
      </c>
      <c r="I108" t="inlineStr">
        <is>
          <t>Sacramento</t>
        </is>
      </c>
      <c r="J108" t="inlineStr">
        <is>
          <t>Sutter Medical Center, Sacramento</t>
        </is>
      </c>
    </row>
    <row r="109">
      <c r="A109">
        <f>--ISNUMBER(IFERROR(SEARCH($C$5,Inputs!$D109,1),""))</f>
        <v/>
      </c>
      <c r="B109">
        <f>IF(A109=1,COUNTIF($A$6:A109,1),"")</f>
        <v/>
      </c>
      <c r="C109">
        <f>IFERROR(INDEX($D$6:$D$1750,MATCH(ROWS($B$6:B109),$B$6:$B$1750,0)),"")</f>
        <v/>
      </c>
      <c r="D109">
        <f>J109&amp;" ("&amp;E109&amp;")"</f>
        <v/>
      </c>
      <c r="E109" t="n">
        <v>10631</v>
      </c>
      <c r="F109" t="inlineStr">
        <is>
          <t>General Acute Care</t>
        </is>
      </c>
      <c r="G109" t="inlineStr">
        <is>
          <t>330 Montrose Dr</t>
        </is>
      </c>
      <c r="H109" t="inlineStr">
        <is>
          <t>Folsom</t>
        </is>
      </c>
      <c r="I109" t="inlineStr">
        <is>
          <t>Sacramento</t>
        </is>
      </c>
      <c r="J109" t="inlineStr">
        <is>
          <t>Vibra Hospital of Sacramento</t>
        </is>
      </c>
    </row>
    <row r="110">
      <c r="A110">
        <f>--ISNUMBER(IFERROR(SEARCH($C$5,Inputs!$D110,1),""))</f>
        <v/>
      </c>
      <c r="B110">
        <f>IF(A110=1,COUNTIF($A$6:A110,1),"")</f>
        <v/>
      </c>
      <c r="C110">
        <f>IFERROR(INDEX($D$6:$D$1750,MATCH(ROWS($B$6:B110),$B$6:$B$1750,0)),"")</f>
        <v/>
      </c>
      <c r="D110">
        <f>J110&amp;" ("&amp;E110&amp;")"</f>
        <v/>
      </c>
      <c r="E110" t="n">
        <v>10640</v>
      </c>
      <c r="F110" t="inlineStr">
        <is>
          <t>General Acute Care</t>
        </is>
      </c>
      <c r="G110" t="inlineStr">
        <is>
          <t>911 Sunset Dr</t>
        </is>
      </c>
      <c r="H110" t="inlineStr">
        <is>
          <t>Hollister</t>
        </is>
      </c>
      <c r="I110" t="inlineStr">
        <is>
          <t>San Benito</t>
        </is>
      </c>
      <c r="J110" t="inlineStr">
        <is>
          <t>Hazel Hawkins Memorial Hospital</t>
        </is>
      </c>
    </row>
    <row r="111">
      <c r="A111">
        <f>--ISNUMBER(IFERROR(SEARCH($C$5,Inputs!$D111,1),""))</f>
        <v/>
      </c>
      <c r="B111">
        <f>IF(A111=1,COUNTIF($A$6:A111,1),"")</f>
        <v/>
      </c>
      <c r="C111">
        <f>IFERROR(INDEX($D$6:$D$1750,MATCH(ROWS($B$6:B111),$B$6:$B$1750,0)),"")</f>
        <v/>
      </c>
      <c r="D111">
        <f>J111&amp;" ("&amp;E111&amp;")"</f>
        <v/>
      </c>
      <c r="E111" t="n">
        <v>10670</v>
      </c>
      <c r="F111" t="inlineStr">
        <is>
          <t>General Acute Care</t>
        </is>
      </c>
      <c r="G111" t="inlineStr">
        <is>
          <t>9961 Sierra Avenue</t>
        </is>
      </c>
      <c r="H111" t="inlineStr">
        <is>
          <t>Fontana</t>
        </is>
      </c>
      <c r="I111" t="inlineStr">
        <is>
          <t>San Bernardino</t>
        </is>
      </c>
      <c r="J111" t="inlineStr">
        <is>
          <t>Kaiser Foundation Hospital - Fontana</t>
        </is>
      </c>
    </row>
    <row r="112">
      <c r="A112">
        <f>--ISNUMBER(IFERROR(SEARCH($C$5,Inputs!$D112,1),""))</f>
        <v/>
      </c>
      <c r="B112">
        <f>IF(A112=1,COUNTIF($A$6:A112,1),"")</f>
        <v/>
      </c>
      <c r="C112">
        <f>IFERROR(INDEX($D$6:$D$1750,MATCH(ROWS($B$6:B112),$B$6:$B$1750,0)),"")</f>
        <v/>
      </c>
      <c r="D112">
        <f>J112&amp;" ("&amp;E112&amp;")"</f>
        <v/>
      </c>
      <c r="E112" t="n">
        <v>10677</v>
      </c>
      <c r="F112" t="inlineStr">
        <is>
          <t>General Acute Care</t>
        </is>
      </c>
      <c r="G112" t="inlineStr">
        <is>
          <t>11234 Anderson St.</t>
        </is>
      </c>
      <c r="H112" t="inlineStr">
        <is>
          <t>Loma Linda</t>
        </is>
      </c>
      <c r="I112" t="inlineStr">
        <is>
          <t>San Bernardino</t>
        </is>
      </c>
      <c r="J112" t="inlineStr">
        <is>
          <t>Loma Linda University Medical Center</t>
        </is>
      </c>
    </row>
    <row r="113">
      <c r="A113">
        <f>--ISNUMBER(IFERROR(SEARCH($C$5,Inputs!$D113,1),""))</f>
        <v/>
      </c>
      <c r="B113">
        <f>IF(A113=1,COUNTIF($A$6:A113,1),"")</f>
        <v/>
      </c>
      <c r="C113">
        <f>IFERROR(INDEX($D$6:$D$1750,MATCH(ROWS($B$6:B113),$B$6:$B$1750,0)),"")</f>
        <v/>
      </c>
      <c r="D113">
        <f>J113&amp;" ("&amp;E113&amp;")"</f>
        <v/>
      </c>
      <c r="E113" t="n">
        <v>10681</v>
      </c>
      <c r="F113" t="inlineStr">
        <is>
          <t>General Acute Care</t>
        </is>
      </c>
      <c r="G113" t="inlineStr">
        <is>
          <t>29101 Hospital Road</t>
        </is>
      </c>
      <c r="H113" t="inlineStr">
        <is>
          <t>Lake Arrowhead</t>
        </is>
      </c>
      <c r="I113" t="inlineStr">
        <is>
          <t>San Bernardino</t>
        </is>
      </c>
      <c r="J113" t="inlineStr">
        <is>
          <t>Mountains Community Hospital</t>
        </is>
      </c>
    </row>
    <row r="114">
      <c r="A114">
        <f>--ISNUMBER(IFERROR(SEARCH($C$5,Inputs!$D114,1),""))</f>
        <v/>
      </c>
      <c r="B114">
        <f>IF(A114=1,COUNTIF($A$6:A114,1),"")</f>
        <v/>
      </c>
      <c r="C114">
        <f>IFERROR(INDEX($D$6:$D$1750,MATCH(ROWS($B$6:B114),$B$6:$B$1750,0)),"")</f>
        <v/>
      </c>
      <c r="D114">
        <f>J114&amp;" ("&amp;E114&amp;")"</f>
        <v/>
      </c>
      <c r="E114" t="n">
        <v>10684</v>
      </c>
      <c r="F114" t="inlineStr">
        <is>
          <t>General Acute Care</t>
        </is>
      </c>
      <c r="G114" t="inlineStr">
        <is>
          <t>1401 Bailey Avenue</t>
        </is>
      </c>
      <c r="H114" t="inlineStr">
        <is>
          <t>Needles</t>
        </is>
      </c>
      <c r="I114" t="inlineStr">
        <is>
          <t>San Bernardino</t>
        </is>
      </c>
      <c r="J114" t="inlineStr">
        <is>
          <t>Colorado River Medical Center</t>
        </is>
      </c>
    </row>
    <row r="115">
      <c r="A115">
        <f>--ISNUMBER(IFERROR(SEARCH($C$5,Inputs!$D115,1),""))</f>
        <v/>
      </c>
      <c r="B115">
        <f>IF(A115=1,COUNTIF($A$6:A115,1),"")</f>
        <v/>
      </c>
      <c r="C115">
        <f>IFERROR(INDEX($D$6:$D$1750,MATCH(ROWS($B$6:B115),$B$6:$B$1750,0)),"")</f>
        <v/>
      </c>
      <c r="D115">
        <f>J115&amp;" ("&amp;E115&amp;")"</f>
        <v/>
      </c>
      <c r="E115" t="n">
        <v>10685</v>
      </c>
      <c r="F115" t="inlineStr">
        <is>
          <t>General Acute Care</t>
        </is>
      </c>
      <c r="G115" t="inlineStr">
        <is>
          <t>550 N Monterey Ave</t>
        </is>
      </c>
      <c r="H115" t="inlineStr">
        <is>
          <t>Ontario</t>
        </is>
      </c>
      <c r="I115" t="inlineStr">
        <is>
          <t>San Bernardino</t>
        </is>
      </c>
      <c r="J115" t="inlineStr">
        <is>
          <t>Kindred Hospital Ontario</t>
        </is>
      </c>
    </row>
    <row r="116">
      <c r="A116">
        <f>--ISNUMBER(IFERROR(SEARCH($C$5,Inputs!$D116,1),""))</f>
        <v/>
      </c>
      <c r="B116">
        <f>IF(A116=1,COUNTIF($A$6:A116,1),"")</f>
        <v/>
      </c>
      <c r="C116">
        <f>IFERROR(INDEX($D$6:$D$1750,MATCH(ROWS($B$6:B116),$B$6:$B$1750,0)),"")</f>
        <v/>
      </c>
      <c r="D116">
        <f>J116&amp;" ("&amp;E116&amp;")"</f>
        <v/>
      </c>
      <c r="E116" t="n">
        <v>10691</v>
      </c>
      <c r="F116" t="inlineStr">
        <is>
          <t>General Acute Care</t>
        </is>
      </c>
      <c r="G116" t="inlineStr">
        <is>
          <t>350 Terracina Boulevard</t>
        </is>
      </c>
      <c r="H116" t="inlineStr">
        <is>
          <t>Redlands</t>
        </is>
      </c>
      <c r="I116" t="inlineStr">
        <is>
          <t>San Bernardino</t>
        </is>
      </c>
      <c r="J116" t="inlineStr">
        <is>
          <t>Redlands Community Hospital</t>
        </is>
      </c>
    </row>
    <row r="117">
      <c r="A117">
        <f>--ISNUMBER(IFERROR(SEARCH($C$5,Inputs!$D117,1),""))</f>
        <v/>
      </c>
      <c r="B117">
        <f>IF(A117=1,COUNTIF($A$6:A117,1),"")</f>
        <v/>
      </c>
      <c r="C117">
        <f>IFERROR(INDEX($D$6:$D$1750,MATCH(ROWS($B$6:B117),$B$6:$B$1750,0)),"")</f>
        <v/>
      </c>
      <c r="D117">
        <f>J117&amp;" ("&amp;E117&amp;")"</f>
        <v/>
      </c>
      <c r="E117" t="n">
        <v>10694</v>
      </c>
      <c r="F117" t="inlineStr">
        <is>
          <t>General Acute Care</t>
        </is>
      </c>
      <c r="G117" t="inlineStr">
        <is>
          <t>2101 N Waterman Ave</t>
        </is>
      </c>
      <c r="H117" t="inlineStr">
        <is>
          <t>San Bernardino</t>
        </is>
      </c>
      <c r="I117" t="inlineStr">
        <is>
          <t>San Bernardino</t>
        </is>
      </c>
      <c r="J117" t="inlineStr">
        <is>
          <t>St. Bernardine Medical Center</t>
        </is>
      </c>
    </row>
    <row r="118">
      <c r="A118">
        <f>--ISNUMBER(IFERROR(SEARCH($C$5,Inputs!$D118,1),""))</f>
        <v/>
      </c>
      <c r="B118">
        <f>IF(A118=1,COUNTIF($A$6:A118,1),"")</f>
        <v/>
      </c>
      <c r="C118">
        <f>IFERROR(INDEX($D$6:$D$1750,MATCH(ROWS($B$6:B118),$B$6:$B$1750,0)),"")</f>
        <v/>
      </c>
      <c r="D118">
        <f>J118&amp;" ("&amp;E118&amp;")"</f>
        <v/>
      </c>
      <c r="E118" t="n">
        <v>10695</v>
      </c>
      <c r="F118" t="inlineStr">
        <is>
          <t>General Acute Care</t>
        </is>
      </c>
      <c r="G118" t="inlineStr">
        <is>
          <t>18300 Highway 18</t>
        </is>
      </c>
      <c r="H118" t="inlineStr">
        <is>
          <t>Apple Valley</t>
        </is>
      </c>
      <c r="I118" t="inlineStr">
        <is>
          <t>San Bernardino</t>
        </is>
      </c>
      <c r="J118" t="inlineStr">
        <is>
          <t>St. Mary Medical Center</t>
        </is>
      </c>
    </row>
    <row r="119">
      <c r="A119">
        <f>--ISNUMBER(IFERROR(SEARCH($C$5,Inputs!$D119,1),""))</f>
        <v/>
      </c>
      <c r="B119">
        <f>IF(A119=1,COUNTIF($A$6:A119,1),"")</f>
        <v/>
      </c>
      <c r="C119">
        <f>IFERROR(INDEX($D$6:$D$1750,MATCH(ROWS($B$6:B119),$B$6:$B$1750,0)),"")</f>
        <v/>
      </c>
      <c r="D119">
        <f>J119&amp;" ("&amp;E119&amp;")"</f>
        <v/>
      </c>
      <c r="E119" t="n">
        <v>10696</v>
      </c>
      <c r="F119" t="inlineStr">
        <is>
          <t>General Acute Care</t>
        </is>
      </c>
      <c r="G119" t="inlineStr">
        <is>
          <t>999 San Bernardino Road</t>
        </is>
      </c>
      <c r="H119" t="inlineStr">
        <is>
          <t>Upland</t>
        </is>
      </c>
      <c r="I119" t="inlineStr">
        <is>
          <t>San Bernardino</t>
        </is>
      </c>
      <c r="J119" t="inlineStr">
        <is>
          <t>San Antonio Regional Hospital</t>
        </is>
      </c>
    </row>
    <row r="120">
      <c r="A120">
        <f>--ISNUMBER(IFERROR(SEARCH($C$5,Inputs!$D120,1),""))</f>
        <v/>
      </c>
      <c r="B120">
        <f>IF(A120=1,COUNTIF($A$6:A120,1),"")</f>
        <v/>
      </c>
      <c r="C120">
        <f>IFERROR(INDEX($D$6:$D$1750,MATCH(ROWS($B$6:B120),$B$6:$B$1750,0)),"")</f>
        <v/>
      </c>
      <c r="D120">
        <f>J120&amp;" ("&amp;E120&amp;")"</f>
        <v/>
      </c>
      <c r="E120" t="n">
        <v>10697</v>
      </c>
      <c r="F120" t="inlineStr">
        <is>
          <t>General Acute Care</t>
        </is>
      </c>
      <c r="G120" t="inlineStr">
        <is>
          <t>1805 Medical Center Drive</t>
        </is>
      </c>
      <c r="H120" t="inlineStr">
        <is>
          <t>San Bernardino</t>
        </is>
      </c>
      <c r="I120" t="inlineStr">
        <is>
          <t>San Bernardino</t>
        </is>
      </c>
      <c r="J120" t="inlineStr">
        <is>
          <t>Community Hospital of San Bernardino</t>
        </is>
      </c>
    </row>
    <row r="121">
      <c r="A121">
        <f>--ISNUMBER(IFERROR(SEARCH($C$5,Inputs!$D121,1),""))</f>
        <v/>
      </c>
      <c r="B121">
        <f>IF(A121=1,COUNTIF($A$6:A121,1),"")</f>
        <v/>
      </c>
      <c r="C121">
        <f>IFERROR(INDEX($D$6:$D$1750,MATCH(ROWS($B$6:B121),$B$6:$B$1750,0)),"")</f>
        <v/>
      </c>
      <c r="D121">
        <f>J121&amp;" ("&amp;E121&amp;")"</f>
        <v/>
      </c>
      <c r="E121" t="n">
        <v>10707</v>
      </c>
      <c r="F121" t="inlineStr">
        <is>
          <t>General Acute Care</t>
        </is>
      </c>
      <c r="G121" t="inlineStr">
        <is>
          <t>15248 Eleventh St.</t>
        </is>
      </c>
      <c r="H121" t="inlineStr">
        <is>
          <t>Victorville</t>
        </is>
      </c>
      <c r="I121" t="inlineStr">
        <is>
          <t>San Bernardino</t>
        </is>
      </c>
      <c r="J121" t="inlineStr">
        <is>
          <t>Victor Valley Global Medical Center</t>
        </is>
      </c>
    </row>
    <row r="122">
      <c r="A122">
        <f>--ISNUMBER(IFERROR(SEARCH($C$5,Inputs!$D122,1),""))</f>
        <v/>
      </c>
      <c r="B122">
        <f>IF(A122=1,COUNTIF($A$6:A122,1),"")</f>
        <v/>
      </c>
      <c r="C122">
        <f>IFERROR(INDEX($D$6:$D$1750,MATCH(ROWS($B$6:B122),$B$6:$B$1750,0)),"")</f>
        <v/>
      </c>
      <c r="D122">
        <f>J122&amp;" ("&amp;E122&amp;")"</f>
        <v/>
      </c>
      <c r="E122" t="n">
        <v>10729</v>
      </c>
      <c r="F122" t="inlineStr">
        <is>
          <t>General Acute Care</t>
        </is>
      </c>
      <c r="G122" t="inlineStr">
        <is>
          <t>525 West Acacia</t>
        </is>
      </c>
      <c r="H122" t="inlineStr">
        <is>
          <t>Stockton</t>
        </is>
      </c>
      <c r="I122" t="inlineStr">
        <is>
          <t>San Joaquin</t>
        </is>
      </c>
      <c r="J122" t="inlineStr">
        <is>
          <t>Dameron Hospital</t>
        </is>
      </c>
    </row>
    <row r="123">
      <c r="A123">
        <f>--ISNUMBER(IFERROR(SEARCH($C$5,Inputs!$D123,1),""))</f>
        <v/>
      </c>
      <c r="B123">
        <f>IF(A123=1,COUNTIF($A$6:A123,1),"")</f>
        <v/>
      </c>
      <c r="C123">
        <f>IFERROR(INDEX($D$6:$D$1750,MATCH(ROWS($B$6:B123),$B$6:$B$1750,0)),"")</f>
        <v/>
      </c>
      <c r="D123">
        <f>J123&amp;" ("&amp;E123&amp;")"</f>
        <v/>
      </c>
      <c r="E123" t="n">
        <v>10743</v>
      </c>
      <c r="F123" t="inlineStr">
        <is>
          <t>General Acute Care</t>
        </is>
      </c>
      <c r="G123" t="inlineStr">
        <is>
          <t>975 S Fairmont Ave</t>
        </is>
      </c>
      <c r="H123" t="inlineStr">
        <is>
          <t>Lodi</t>
        </is>
      </c>
      <c r="I123" t="inlineStr">
        <is>
          <t>San Joaquin</t>
        </is>
      </c>
      <c r="J123" t="inlineStr">
        <is>
          <t>Adventist Health Lodi Memorial</t>
        </is>
      </c>
    </row>
    <row r="124">
      <c r="A124">
        <f>--ISNUMBER(IFERROR(SEARCH($C$5,Inputs!$D124,1),""))</f>
        <v/>
      </c>
      <c r="B124">
        <f>IF(A124=1,COUNTIF($A$6:A124,1),"")</f>
        <v/>
      </c>
      <c r="C124">
        <f>IFERROR(INDEX($D$6:$D$1750,MATCH(ROWS($B$6:B124),$B$6:$B$1750,0)),"")</f>
        <v/>
      </c>
      <c r="D124">
        <f>J124&amp;" ("&amp;E124&amp;")"</f>
        <v/>
      </c>
      <c r="E124" t="n">
        <v>10745</v>
      </c>
      <c r="F124" t="inlineStr">
        <is>
          <t>General Acute Care</t>
        </is>
      </c>
      <c r="G124" t="inlineStr">
        <is>
          <t>1205 East North St.</t>
        </is>
      </c>
      <c r="H124" t="inlineStr">
        <is>
          <t>Manteca</t>
        </is>
      </c>
      <c r="I124" t="inlineStr">
        <is>
          <t>San Joaquin</t>
        </is>
      </c>
      <c r="J124" t="inlineStr">
        <is>
          <t>Doctors Hospital of Manteca</t>
        </is>
      </c>
    </row>
    <row r="125">
      <c r="A125">
        <f>--ISNUMBER(IFERROR(SEARCH($C$5,Inputs!$D125,1),""))</f>
        <v/>
      </c>
      <c r="B125">
        <f>IF(A125=1,COUNTIF($A$6:A125,1),"")</f>
        <v/>
      </c>
      <c r="C125">
        <f>IFERROR(INDEX($D$6:$D$1750,MATCH(ROWS($B$6:B125),$B$6:$B$1750,0)),"")</f>
        <v/>
      </c>
      <c r="D125">
        <f>J125&amp;" ("&amp;E125&amp;")"</f>
        <v/>
      </c>
      <c r="E125" t="n">
        <v>10747</v>
      </c>
      <c r="F125" t="inlineStr">
        <is>
          <t>Acute Psychiatric Hospital</t>
        </is>
      </c>
      <c r="G125" t="inlineStr">
        <is>
          <t>2510 North California St.</t>
        </is>
      </c>
      <c r="H125" t="inlineStr">
        <is>
          <t>Stockton</t>
        </is>
      </c>
      <c r="I125" t="inlineStr">
        <is>
          <t>San Joaquin</t>
        </is>
      </c>
      <c r="J125" t="inlineStr">
        <is>
          <t>St. Joseph's Behavioral Health Center</t>
        </is>
      </c>
    </row>
    <row r="126">
      <c r="A126">
        <f>--ISNUMBER(IFERROR(SEARCH($C$5,Inputs!$D126,1),""))</f>
        <v/>
      </c>
      <c r="B126">
        <f>IF(A126=1,COUNTIF($A$6:A126,1),"")</f>
        <v/>
      </c>
      <c r="C126">
        <f>IFERROR(INDEX($D$6:$D$1750,MATCH(ROWS($B$6:B126),$B$6:$B$1750,0)),"")</f>
        <v/>
      </c>
      <c r="D126">
        <f>J126&amp;" ("&amp;E126&amp;")"</f>
        <v/>
      </c>
      <c r="E126" t="n">
        <v>10750</v>
      </c>
      <c r="F126" t="inlineStr">
        <is>
          <t>General Acute Care</t>
        </is>
      </c>
      <c r="G126" t="inlineStr">
        <is>
          <t>1800 N California St</t>
        </is>
      </c>
      <c r="H126" t="inlineStr">
        <is>
          <t>Stockton</t>
        </is>
      </c>
      <c r="I126" t="inlineStr">
        <is>
          <t>San Joaquin</t>
        </is>
      </c>
      <c r="J126" t="inlineStr">
        <is>
          <t>St. Joseph's Medical Center of Stockton</t>
        </is>
      </c>
    </row>
    <row r="127">
      <c r="A127">
        <f>--ISNUMBER(IFERROR(SEARCH($C$5,Inputs!$D127,1),""))</f>
        <v/>
      </c>
      <c r="B127">
        <f>IF(A127=1,COUNTIF($A$6:A127,1),"")</f>
        <v/>
      </c>
      <c r="C127">
        <f>IFERROR(INDEX($D$6:$D$1750,MATCH(ROWS($B$6:B127),$B$6:$B$1750,0)),"")</f>
        <v/>
      </c>
      <c r="D127">
        <f>J127&amp;" ("&amp;E127&amp;")"</f>
        <v/>
      </c>
      <c r="E127" t="n">
        <v>10753</v>
      </c>
      <c r="F127" t="inlineStr">
        <is>
          <t>General Acute Care</t>
        </is>
      </c>
      <c r="G127" t="inlineStr">
        <is>
          <t>500 W Hospital Rd.</t>
        </is>
      </c>
      <c r="H127" t="inlineStr">
        <is>
          <t>French Camp</t>
        </is>
      </c>
      <c r="I127" t="inlineStr">
        <is>
          <t>San Joaquin</t>
        </is>
      </c>
      <c r="J127" t="inlineStr">
        <is>
          <t>San Joaquin General Hospital</t>
        </is>
      </c>
    </row>
    <row r="128">
      <c r="A128">
        <f>--ISNUMBER(IFERROR(SEARCH($C$5,Inputs!$D128,1),""))</f>
        <v/>
      </c>
      <c r="B128">
        <f>IF(A128=1,COUNTIF($A$6:A128,1),"")</f>
        <v/>
      </c>
      <c r="C128">
        <f>IFERROR(INDEX($D$6:$D$1750,MATCH(ROWS($B$6:B128),$B$6:$B$1750,0)),"")</f>
        <v/>
      </c>
      <c r="D128">
        <f>J128&amp;" ("&amp;E128&amp;")"</f>
        <v/>
      </c>
      <c r="E128" t="n">
        <v>10757</v>
      </c>
      <c r="F128" t="inlineStr">
        <is>
          <t>General Acute Care</t>
        </is>
      </c>
      <c r="G128" t="inlineStr">
        <is>
          <t>1420 N Tracy Blvd</t>
        </is>
      </c>
      <c r="H128" t="inlineStr">
        <is>
          <t>Tracy</t>
        </is>
      </c>
      <c r="I128" t="inlineStr">
        <is>
          <t>San Joaquin</t>
        </is>
      </c>
      <c r="J128" t="inlineStr">
        <is>
          <t>Sutter Tracy Community Hospital</t>
        </is>
      </c>
    </row>
    <row r="129">
      <c r="A129">
        <f>--ISNUMBER(IFERROR(SEARCH($C$5,Inputs!$D129,1),""))</f>
        <v/>
      </c>
      <c r="B129">
        <f>IF(A129=1,COUNTIF($A$6:A129,1),"")</f>
        <v/>
      </c>
      <c r="C129">
        <f>IFERROR(INDEX($D$6:$D$1750,MATCH(ROWS($B$6:B129),$B$6:$B$1750,0)),"")</f>
        <v/>
      </c>
      <c r="D129">
        <f>J129&amp;" ("&amp;E129&amp;")"</f>
        <v/>
      </c>
      <c r="E129" t="n">
        <v>10766</v>
      </c>
      <c r="F129" t="inlineStr">
        <is>
          <t>General Acute Care</t>
        </is>
      </c>
      <c r="G129" t="inlineStr">
        <is>
          <t>345 South Halcyon Road</t>
        </is>
      </c>
      <c r="H129" t="inlineStr">
        <is>
          <t>Arroyo Grande</t>
        </is>
      </c>
      <c r="I129" t="inlineStr">
        <is>
          <t>San Luis Obispo</t>
        </is>
      </c>
      <c r="J129" t="inlineStr">
        <is>
          <t>Marian Regional Medical Center, Arroyo Grande</t>
        </is>
      </c>
    </row>
    <row r="130">
      <c r="A130">
        <f>--ISNUMBER(IFERROR(SEARCH($C$5,Inputs!$D130,1),""))</f>
        <v/>
      </c>
      <c r="B130">
        <f>IF(A130=1,COUNTIF($A$6:A130,1),"")</f>
        <v/>
      </c>
      <c r="C130">
        <f>IFERROR(INDEX($D$6:$D$1750,MATCH(ROWS($B$6:B130),$B$6:$B$1750,0)),"")</f>
        <v/>
      </c>
      <c r="D130">
        <f>J130&amp;" ("&amp;E130&amp;")"</f>
        <v/>
      </c>
      <c r="E130" t="n">
        <v>10778</v>
      </c>
      <c r="F130" t="inlineStr">
        <is>
          <t>General Acute Care</t>
        </is>
      </c>
      <c r="G130" t="inlineStr">
        <is>
          <t>1010 Murray Street</t>
        </is>
      </c>
      <c r="H130" t="inlineStr">
        <is>
          <t>San Luis Obispo</t>
        </is>
      </c>
      <c r="I130" t="inlineStr">
        <is>
          <t>San Luis Obispo</t>
        </is>
      </c>
      <c r="J130" t="inlineStr">
        <is>
          <t>Tenet Health Central Coast Sierra Vista Regional Medical Center</t>
        </is>
      </c>
    </row>
    <row r="131">
      <c r="A131">
        <f>--ISNUMBER(IFERROR(SEARCH($C$5,Inputs!$D131,1),""))</f>
        <v/>
      </c>
      <c r="B131">
        <f>IF(A131=1,COUNTIF($A$6:A131,1),"")</f>
        <v/>
      </c>
      <c r="C131">
        <f>IFERROR(INDEX($D$6:$D$1750,MATCH(ROWS($B$6:B131),$B$6:$B$1750,0)),"")</f>
        <v/>
      </c>
      <c r="D131">
        <f>J131&amp;" ("&amp;E131&amp;")"</f>
        <v/>
      </c>
      <c r="E131" t="n">
        <v>10801</v>
      </c>
      <c r="F131" t="inlineStr">
        <is>
          <t>General Acute Care</t>
        </is>
      </c>
      <c r="G131" t="inlineStr">
        <is>
          <t>1900 Sullivan Ave</t>
        </is>
      </c>
      <c r="H131" t="inlineStr">
        <is>
          <t>Daly City</t>
        </is>
      </c>
      <c r="I131" t="inlineStr">
        <is>
          <t>San Mateo</t>
        </is>
      </c>
      <c r="J131" t="inlineStr">
        <is>
          <t>AHMC Seton Medical Center</t>
        </is>
      </c>
    </row>
    <row r="132">
      <c r="A132">
        <f>--ISNUMBER(IFERROR(SEARCH($C$5,Inputs!$D132,1),""))</f>
        <v/>
      </c>
      <c r="B132">
        <f>IF(A132=1,COUNTIF($A$6:A132,1),"")</f>
        <v/>
      </c>
      <c r="C132">
        <f>IFERROR(INDEX($D$6:$D$1750,MATCH(ROWS($B$6:B132),$B$6:$B$1750,0)),"")</f>
        <v/>
      </c>
      <c r="D132">
        <f>J132&amp;" ("&amp;E132&amp;")"</f>
        <v/>
      </c>
      <c r="E132" t="n">
        <v>10804</v>
      </c>
      <c r="F132" t="inlineStr">
        <is>
          <t>General Acute Care</t>
        </is>
      </c>
      <c r="G132" t="inlineStr">
        <is>
          <t>1501 Trousdale Dr.</t>
        </is>
      </c>
      <c r="H132" t="inlineStr">
        <is>
          <t>Burlingame</t>
        </is>
      </c>
      <c r="I132" t="inlineStr">
        <is>
          <t>San Mateo</t>
        </is>
      </c>
      <c r="J132" t="inlineStr">
        <is>
          <t>Mills-Peninsula Medical Center</t>
        </is>
      </c>
    </row>
    <row r="133">
      <c r="A133">
        <f>--ISNUMBER(IFERROR(SEARCH($C$5,Inputs!$D133,1),""))</f>
        <v/>
      </c>
      <c r="B133">
        <f>IF(A133=1,COUNTIF($A$6:A133,1),"")</f>
        <v/>
      </c>
      <c r="C133">
        <f>IFERROR(INDEX($D$6:$D$1750,MATCH(ROWS($B$6:B133),$B$6:$B$1750,0)),"")</f>
        <v/>
      </c>
      <c r="D133">
        <f>J133&amp;" ("&amp;E133&amp;")"</f>
        <v/>
      </c>
      <c r="E133" t="n">
        <v>10810</v>
      </c>
      <c r="F133" t="inlineStr">
        <is>
          <t>General Acute Care</t>
        </is>
      </c>
      <c r="G133" t="inlineStr">
        <is>
          <t>222 West 39th Avenue</t>
        </is>
      </c>
      <c r="H133" t="inlineStr">
        <is>
          <t>San Mateo</t>
        </is>
      </c>
      <c r="I133" t="inlineStr">
        <is>
          <t>San Mateo</t>
        </is>
      </c>
      <c r="J133" t="inlineStr">
        <is>
          <t>San Mateo Medical Center</t>
        </is>
      </c>
    </row>
    <row r="134">
      <c r="A134">
        <f>--ISNUMBER(IFERROR(SEARCH($C$5,Inputs!$D134,1),""))</f>
        <v/>
      </c>
      <c r="B134">
        <f>IF(A134=1,COUNTIF($A$6:A134,1),"")</f>
        <v/>
      </c>
      <c r="C134">
        <f>IFERROR(INDEX($D$6:$D$1750,MATCH(ROWS($B$6:B134),$B$6:$B$1750,0)),"")</f>
        <v/>
      </c>
      <c r="D134">
        <f>J134&amp;" ("&amp;E134&amp;")"</f>
        <v/>
      </c>
      <c r="E134" t="n">
        <v>10811</v>
      </c>
      <c r="F134" t="inlineStr">
        <is>
          <t>General Acute Care</t>
        </is>
      </c>
      <c r="G134" t="inlineStr">
        <is>
          <t>170 Alameda De Las Pulgas</t>
        </is>
      </c>
      <c r="H134" t="inlineStr">
        <is>
          <t>Redwood City</t>
        </is>
      </c>
      <c r="I134" t="inlineStr">
        <is>
          <t>San Mateo</t>
        </is>
      </c>
      <c r="J134" t="inlineStr">
        <is>
          <t>Sequoia Hospital</t>
        </is>
      </c>
    </row>
    <row r="135">
      <c r="A135">
        <f>--ISNUMBER(IFERROR(SEARCH($C$5,Inputs!$D135,1),""))</f>
        <v/>
      </c>
      <c r="B135">
        <f>IF(A135=1,COUNTIF($A$6:A135,1),"")</f>
        <v/>
      </c>
      <c r="C135">
        <f>IFERROR(INDEX($D$6:$D$1750,MATCH(ROWS($B$6:B135),$B$6:$B$1750,0)),"")</f>
        <v/>
      </c>
      <c r="D135">
        <f>J135&amp;" ("&amp;E135&amp;")"</f>
        <v/>
      </c>
      <c r="E135" t="n">
        <v>10820</v>
      </c>
      <c r="F135" t="inlineStr">
        <is>
          <t>General Acute Care</t>
        </is>
      </c>
      <c r="G135" t="inlineStr">
        <is>
          <t>4400 Kirkcaldy Dr</t>
        </is>
      </c>
      <c r="H135" t="inlineStr">
        <is>
          <t>Bakersfield</t>
        </is>
      </c>
      <c r="I135" t="inlineStr">
        <is>
          <t>Kern</t>
        </is>
      </c>
      <c r="J135" t="inlineStr">
        <is>
          <t>Bakersfield Rehabilitation Hospital</t>
        </is>
      </c>
    </row>
    <row r="136">
      <c r="A136">
        <f>--ISNUMBER(IFERROR(SEARCH($C$5,Inputs!$D136,1),""))</f>
        <v/>
      </c>
      <c r="B136">
        <f>IF(A136=1,COUNTIF($A$6:A136,1),"")</f>
        <v/>
      </c>
      <c r="C136">
        <f>IFERROR(INDEX($D$6:$D$1750,MATCH(ROWS($B$6:B136),$B$6:$B$1750,0)),"")</f>
        <v/>
      </c>
      <c r="D136">
        <f>J136&amp;" ("&amp;E136&amp;")"</f>
        <v/>
      </c>
      <c r="E136" t="n">
        <v>10831</v>
      </c>
      <c r="F136" t="inlineStr">
        <is>
          <t>General Acute Care</t>
        </is>
      </c>
      <c r="G136" t="inlineStr">
        <is>
          <t>351 S Patterson Ave</t>
        </is>
      </c>
      <c r="H136" t="inlineStr">
        <is>
          <t>Santa Barbara</t>
        </is>
      </c>
      <c r="I136" t="inlineStr">
        <is>
          <t>Santa Barbara</t>
        </is>
      </c>
      <c r="J136" t="inlineStr">
        <is>
          <t>Goleta Valley Cottage Hospital</t>
        </is>
      </c>
    </row>
    <row r="137">
      <c r="A137">
        <f>--ISNUMBER(IFERROR(SEARCH($C$5,Inputs!$D137,1),""))</f>
        <v/>
      </c>
      <c r="B137">
        <f>IF(A137=1,COUNTIF($A$6:A137,1),"")</f>
        <v/>
      </c>
      <c r="C137">
        <f>IFERROR(INDEX($D$6:$D$1750,MATCH(ROWS($B$6:B137),$B$6:$B$1750,0)),"")</f>
        <v/>
      </c>
      <c r="D137">
        <f>J137&amp;" ("&amp;E137&amp;")"</f>
        <v/>
      </c>
      <c r="E137" t="n">
        <v>10836</v>
      </c>
      <c r="F137" t="inlineStr">
        <is>
          <t>General Acute Care</t>
        </is>
      </c>
      <c r="G137" t="inlineStr">
        <is>
          <t>1515 E. Ocean Ave.</t>
        </is>
      </c>
      <c r="H137" t="inlineStr">
        <is>
          <t>Lompoc</t>
        </is>
      </c>
      <c r="I137" t="inlineStr">
        <is>
          <t>Santa Barbara</t>
        </is>
      </c>
      <c r="J137" t="inlineStr">
        <is>
          <t>Lompoc Valley Medical Center</t>
        </is>
      </c>
    </row>
    <row r="138">
      <c r="A138">
        <f>--ISNUMBER(IFERROR(SEARCH($C$5,Inputs!$D138,1),""))</f>
        <v/>
      </c>
      <c r="B138">
        <f>IF(A138=1,COUNTIF($A$6:A138,1),"")</f>
        <v/>
      </c>
      <c r="C138">
        <f>IFERROR(INDEX($D$6:$D$1750,MATCH(ROWS($B$6:B138),$B$6:$B$1750,0)),"")</f>
        <v/>
      </c>
      <c r="D138">
        <f>J138&amp;" ("&amp;E138&amp;")"</f>
        <v/>
      </c>
      <c r="E138" t="n">
        <v>10838</v>
      </c>
      <c r="F138" t="inlineStr">
        <is>
          <t>General Acute Care</t>
        </is>
      </c>
      <c r="G138" t="inlineStr">
        <is>
          <t>1400 E Church St</t>
        </is>
      </c>
      <c r="H138" t="inlineStr">
        <is>
          <t>Santa Maria</t>
        </is>
      </c>
      <c r="I138" t="inlineStr">
        <is>
          <t>Santa Barbara</t>
        </is>
      </c>
      <c r="J138" t="inlineStr">
        <is>
          <t>Marian Regional Medical Center</t>
        </is>
      </c>
    </row>
    <row r="139">
      <c r="A139">
        <f>--ISNUMBER(IFERROR(SEARCH($C$5,Inputs!$D139,1),""))</f>
        <v/>
      </c>
      <c r="B139">
        <f>IF(A139=1,COUNTIF($A$6:A139,1),"")</f>
        <v/>
      </c>
      <c r="C139">
        <f>IFERROR(INDEX($D$6:$D$1750,MATCH(ROWS($B$6:B139),$B$6:$B$1750,0)),"")</f>
        <v/>
      </c>
      <c r="D139">
        <f>J139&amp;" ("&amp;E139&amp;")"</f>
        <v/>
      </c>
      <c r="E139" t="n">
        <v>10843</v>
      </c>
      <c r="F139" t="inlineStr">
        <is>
          <t>General Acute Care</t>
        </is>
      </c>
      <c r="G139" t="inlineStr">
        <is>
          <t>400 W Pueblo St</t>
        </is>
      </c>
      <c r="H139" t="inlineStr">
        <is>
          <t>Santa Barbara</t>
        </is>
      </c>
      <c r="I139" t="inlineStr">
        <is>
          <t>Santa Barbara</t>
        </is>
      </c>
      <c r="J139" t="inlineStr">
        <is>
          <t>Santa Barbara Cottage Hospital</t>
        </is>
      </c>
    </row>
    <row r="140">
      <c r="A140">
        <f>--ISNUMBER(IFERROR(SEARCH($C$5,Inputs!$D140,1),""))</f>
        <v/>
      </c>
      <c r="B140">
        <f>IF(A140=1,COUNTIF($A$6:A140,1),"")</f>
        <v/>
      </c>
      <c r="C140">
        <f>IFERROR(INDEX($D$6:$D$1750,MATCH(ROWS($B$6:B140),$B$6:$B$1750,0)),"")</f>
        <v/>
      </c>
      <c r="D140">
        <f>J140&amp;" ("&amp;E140&amp;")"</f>
        <v/>
      </c>
      <c r="E140" t="n">
        <v>10848</v>
      </c>
      <c r="F140" t="inlineStr">
        <is>
          <t>General Acute Care</t>
        </is>
      </c>
      <c r="G140" t="inlineStr">
        <is>
          <t>2050 Viborg Rd.</t>
        </is>
      </c>
      <c r="H140" t="inlineStr">
        <is>
          <t>Solvang</t>
        </is>
      </c>
      <c r="I140" t="inlineStr">
        <is>
          <t>Santa Barbara</t>
        </is>
      </c>
      <c r="J140" t="inlineStr">
        <is>
          <t>Santa Ynez Valley Cottage Hospital</t>
        </is>
      </c>
    </row>
    <row r="141">
      <c r="A141">
        <f>--ISNUMBER(IFERROR(SEARCH($C$5,Inputs!$D141,1),""))</f>
        <v/>
      </c>
      <c r="B141">
        <f>IF(A141=1,COUNTIF($A$6:A141,1),"")</f>
        <v/>
      </c>
      <c r="C141">
        <f>IFERROR(INDEX($D$6:$D$1750,MATCH(ROWS($B$6:B141),$B$6:$B$1750,0)),"")</f>
        <v/>
      </c>
      <c r="D141">
        <f>J141&amp;" ("&amp;E141&amp;")"</f>
        <v/>
      </c>
      <c r="E141" t="n">
        <v>10856</v>
      </c>
      <c r="F141" t="inlineStr">
        <is>
          <t>General Acute Care</t>
        </is>
      </c>
      <c r="G141" t="inlineStr">
        <is>
          <t>225 N Jackson Ave</t>
        </is>
      </c>
      <c r="H141" t="inlineStr">
        <is>
          <t>San Jose</t>
        </is>
      </c>
      <c r="I141" t="inlineStr">
        <is>
          <t>Santa Clara</t>
        </is>
      </c>
      <c r="J141" t="inlineStr">
        <is>
          <t>Regional Medical Center of San Jose</t>
        </is>
      </c>
    </row>
    <row r="142">
      <c r="A142">
        <f>--ISNUMBER(IFERROR(SEARCH($C$5,Inputs!$D142,1),""))</f>
        <v/>
      </c>
      <c r="B142">
        <f>IF(A142=1,COUNTIF($A$6:A142,1),"")</f>
        <v/>
      </c>
      <c r="C142">
        <f>IFERROR(INDEX($D$6:$D$1750,MATCH(ROWS($B$6:B142),$B$6:$B$1750,0)),"")</f>
        <v/>
      </c>
      <c r="D142">
        <f>J142&amp;" ("&amp;E142&amp;")"</f>
        <v/>
      </c>
      <c r="E142" t="n">
        <v>10874</v>
      </c>
      <c r="F142" t="inlineStr">
        <is>
          <t>General Acute Care</t>
        </is>
      </c>
      <c r="G142" t="inlineStr">
        <is>
          <t>815 Pollard Road</t>
        </is>
      </c>
      <c r="H142" t="inlineStr">
        <is>
          <t>Los Gatos</t>
        </is>
      </c>
      <c r="I142" t="inlineStr">
        <is>
          <t>Santa Clara</t>
        </is>
      </c>
      <c r="J142" t="inlineStr">
        <is>
          <t>El Camino Hospital Los Gatos</t>
        </is>
      </c>
    </row>
    <row r="143">
      <c r="A143">
        <f>--ISNUMBER(IFERROR(SEARCH($C$5,Inputs!$D143,1),""))</f>
        <v/>
      </c>
      <c r="B143">
        <f>IF(A143=1,COUNTIF($A$6:A143,1),"")</f>
        <v/>
      </c>
      <c r="C143">
        <f>IFERROR(INDEX($D$6:$D$1750,MATCH(ROWS($B$6:B143),$B$6:$B$1750,0)),"")</f>
        <v/>
      </c>
      <c r="D143">
        <f>J143&amp;" ("&amp;E143&amp;")"</f>
        <v/>
      </c>
      <c r="E143" t="n">
        <v>10878</v>
      </c>
      <c r="F143" t="inlineStr">
        <is>
          <t>General Acute Care</t>
        </is>
      </c>
      <c r="G143" t="inlineStr">
        <is>
          <t>15891 Los Gatos-Almaden Road</t>
        </is>
      </c>
      <c r="H143" t="inlineStr">
        <is>
          <t>Los Gatos</t>
        </is>
      </c>
      <c r="I143" t="inlineStr">
        <is>
          <t>Santa Clara</t>
        </is>
      </c>
      <c r="J143" t="inlineStr">
        <is>
          <t>Mission Oaks Hospital</t>
        </is>
      </c>
    </row>
    <row r="144">
      <c r="A144">
        <f>--ISNUMBER(IFERROR(SEARCH($C$5,Inputs!$D144,1),""))</f>
        <v/>
      </c>
      <c r="B144">
        <f>IF(A144=1,COUNTIF($A$6:A144,1),"")</f>
        <v/>
      </c>
      <c r="C144">
        <f>IFERROR(INDEX($D$6:$D$1750,MATCH(ROWS($B$6:B144),$B$6:$B$1750,0)),"")</f>
        <v/>
      </c>
      <c r="D144">
        <f>J144&amp;" ("&amp;E144&amp;")"</f>
        <v/>
      </c>
      <c r="E144" t="n">
        <v>10883</v>
      </c>
      <c r="F144" t="inlineStr">
        <is>
          <t>General Acute Care</t>
        </is>
      </c>
      <c r="G144" t="inlineStr">
        <is>
          <t>2500 Grant Road</t>
        </is>
      </c>
      <c r="H144" t="inlineStr">
        <is>
          <t>Mountain View</t>
        </is>
      </c>
      <c r="I144" t="inlineStr">
        <is>
          <t>Santa Clara</t>
        </is>
      </c>
      <c r="J144" t="inlineStr">
        <is>
          <t>El Camino Health</t>
        </is>
      </c>
    </row>
    <row r="145">
      <c r="A145">
        <f>--ISNUMBER(IFERROR(SEARCH($C$5,Inputs!$D145,1),""))</f>
        <v/>
      </c>
      <c r="B145">
        <f>IF(A145=1,COUNTIF($A$6:A145,1),"")</f>
        <v/>
      </c>
      <c r="C145">
        <f>IFERROR(INDEX($D$6:$D$1750,MATCH(ROWS($B$6:B145),$B$6:$B$1750,0)),"")</f>
        <v/>
      </c>
      <c r="D145">
        <f>J145&amp;" ("&amp;E145&amp;")"</f>
        <v/>
      </c>
      <c r="E145" t="n">
        <v>10890</v>
      </c>
      <c r="F145" t="inlineStr">
        <is>
          <t>General Acute Care</t>
        </is>
      </c>
      <c r="G145" t="inlineStr">
        <is>
          <t>2425 Samaritan Drive</t>
        </is>
      </c>
      <c r="H145" t="inlineStr">
        <is>
          <t>San Jose</t>
        </is>
      </c>
      <c r="I145" t="inlineStr">
        <is>
          <t>Santa Clara</t>
        </is>
      </c>
      <c r="J145" t="inlineStr">
        <is>
          <t>Good Samaritan Hospital</t>
        </is>
      </c>
    </row>
    <row r="146">
      <c r="A146">
        <f>--ISNUMBER(IFERROR(SEARCH($C$5,Inputs!$D146,1),""))</f>
        <v/>
      </c>
      <c r="B146">
        <f>IF(A146=1,COUNTIF($A$6:A146,1),"")</f>
        <v/>
      </c>
      <c r="C146">
        <f>IFERROR(INDEX($D$6:$D$1750,MATCH(ROWS($B$6:B146),$B$6:$B$1750,0)),"")</f>
        <v/>
      </c>
      <c r="D146">
        <f>J146&amp;" ("&amp;E146&amp;")"</f>
        <v/>
      </c>
      <c r="E146" t="n">
        <v>10901</v>
      </c>
      <c r="F146" t="inlineStr">
        <is>
          <t>Acute Psychiatric Hospital</t>
        </is>
      </c>
      <c r="G146" t="inlineStr">
        <is>
          <t>81555 JFK Court</t>
        </is>
      </c>
      <c r="H146" t="inlineStr">
        <is>
          <t>Indio</t>
        </is>
      </c>
      <c r="I146" t="inlineStr">
        <is>
          <t>Riverside</t>
        </is>
      </c>
      <c r="J146" t="inlineStr">
        <is>
          <t>Indio Behavioral Health Hospital</t>
        </is>
      </c>
    </row>
    <row r="147">
      <c r="A147">
        <f>--ISNUMBER(IFERROR(SEARCH($C$5,Inputs!$D147,1),""))</f>
        <v/>
      </c>
      <c r="B147">
        <f>IF(A147=1,COUNTIF($A$6:A147,1),"")</f>
        <v/>
      </c>
      <c r="C147">
        <f>IFERROR(INDEX($D$6:$D$1750,MATCH(ROWS($B$6:B147),$B$6:$B$1750,0)),"")</f>
        <v/>
      </c>
      <c r="D147">
        <f>J147&amp;" ("&amp;E147&amp;")"</f>
        <v/>
      </c>
      <c r="E147" t="n">
        <v>10919</v>
      </c>
      <c r="F147" t="inlineStr">
        <is>
          <t>General Acute Care</t>
        </is>
      </c>
      <c r="G147" t="inlineStr">
        <is>
          <t>2105 Forest Avenue</t>
        </is>
      </c>
      <c r="H147" t="inlineStr">
        <is>
          <t>San Jose</t>
        </is>
      </c>
      <c r="I147" t="inlineStr">
        <is>
          <t>Santa Clara</t>
        </is>
      </c>
      <c r="J147" t="inlineStr">
        <is>
          <t>O'Connor Hospital</t>
        </is>
      </c>
    </row>
    <row r="148">
      <c r="A148">
        <f>--ISNUMBER(IFERROR(SEARCH($C$5,Inputs!$D148,1),""))</f>
        <v/>
      </c>
      <c r="B148">
        <f>IF(A148=1,COUNTIF($A$6:A148,1),"")</f>
        <v/>
      </c>
      <c r="C148">
        <f>IFERROR(INDEX($D$6:$D$1750,MATCH(ROWS($B$6:B148),$B$6:$B$1750,0)),"")</f>
        <v/>
      </c>
      <c r="D148">
        <f>J148&amp;" ("&amp;E148&amp;")"</f>
        <v/>
      </c>
      <c r="E148" t="n">
        <v>10922</v>
      </c>
      <c r="F148" t="inlineStr">
        <is>
          <t>General Acute Care</t>
        </is>
      </c>
      <c r="G148" t="inlineStr">
        <is>
          <t>27700 Medical Center Rd.,  5th Floor</t>
        </is>
      </c>
      <c r="H148" t="inlineStr">
        <is>
          <t>Mission Viejo</t>
        </is>
      </c>
      <c r="I148" t="inlineStr">
        <is>
          <t>Orange</t>
        </is>
      </c>
      <c r="J148" t="inlineStr">
        <is>
          <t>Children's Hospital at Mission</t>
        </is>
      </c>
    </row>
    <row r="149">
      <c r="A149">
        <f>--ISNUMBER(IFERROR(SEARCH($C$5,Inputs!$D149,1),""))</f>
        <v/>
      </c>
      <c r="B149">
        <f>IF(A149=1,COUNTIF($A$6:A149,1),"")</f>
        <v/>
      </c>
      <c r="C149">
        <f>IFERROR(INDEX($D$6:$D$1750,MATCH(ROWS($B$6:B149),$B$6:$B$1750,0)),"")</f>
        <v/>
      </c>
      <c r="D149">
        <f>J149&amp;" ("&amp;E149&amp;")"</f>
        <v/>
      </c>
      <c r="E149" t="n">
        <v>10935</v>
      </c>
      <c r="F149" t="inlineStr">
        <is>
          <t>General Acute Care</t>
        </is>
      </c>
      <c r="G149" t="inlineStr">
        <is>
          <t>751 S Bascom Ave</t>
        </is>
      </c>
      <c r="H149" t="inlineStr">
        <is>
          <t>San Jose</t>
        </is>
      </c>
      <c r="I149" t="inlineStr">
        <is>
          <t>Santa Clara</t>
        </is>
      </c>
      <c r="J149" t="inlineStr">
        <is>
          <t>Santa Clara Valley Medical Center</t>
        </is>
      </c>
    </row>
    <row r="150">
      <c r="A150">
        <f>--ISNUMBER(IFERROR(SEARCH($C$5,Inputs!$D150,1),""))</f>
        <v/>
      </c>
      <c r="B150">
        <f>IF(A150=1,COUNTIF($A$6:A150,1),"")</f>
        <v/>
      </c>
      <c r="C150">
        <f>IFERROR(INDEX($D$6:$D$1750,MATCH(ROWS($B$6:B150),$B$6:$B$1750,0)),"")</f>
        <v/>
      </c>
      <c r="D150">
        <f>J150&amp;" ("&amp;E150&amp;")"</f>
        <v/>
      </c>
      <c r="E150" t="n">
        <v>10943</v>
      </c>
      <c r="F150" t="inlineStr">
        <is>
          <t>General Acute Care</t>
        </is>
      </c>
      <c r="G150" t="inlineStr">
        <is>
          <t>300 Pasteur Dr</t>
        </is>
      </c>
      <c r="H150" t="inlineStr">
        <is>
          <t>Palo Alto</t>
        </is>
      </c>
      <c r="I150" t="inlineStr">
        <is>
          <t>Santa Clara</t>
        </is>
      </c>
      <c r="J150" t="inlineStr">
        <is>
          <t>Stanford Health Care</t>
        </is>
      </c>
    </row>
    <row r="151">
      <c r="A151">
        <f>--ISNUMBER(IFERROR(SEARCH($C$5,Inputs!$D151,1),""))</f>
        <v/>
      </c>
      <c r="B151">
        <f>IF(A151=1,COUNTIF($A$6:A151,1),"")</f>
        <v/>
      </c>
      <c r="C151">
        <f>IFERROR(INDEX($D$6:$D$1750,MATCH(ROWS($B$6:B151),$B$6:$B$1750,0)),"")</f>
        <v/>
      </c>
      <c r="D151">
        <f>J151&amp;" ("&amp;E151&amp;")"</f>
        <v/>
      </c>
      <c r="E151" t="n">
        <v>10972</v>
      </c>
      <c r="F151" t="inlineStr">
        <is>
          <t>General Acute Care</t>
        </is>
      </c>
      <c r="G151" t="inlineStr">
        <is>
          <t>1555 Soquel Dr</t>
        </is>
      </c>
      <c r="H151" t="inlineStr">
        <is>
          <t>Santa Cruz</t>
        </is>
      </c>
      <c r="I151" t="inlineStr">
        <is>
          <t>Santa Cruz</t>
        </is>
      </c>
      <c r="J151" t="inlineStr">
        <is>
          <t>Dominican Hospital</t>
        </is>
      </c>
    </row>
    <row r="152">
      <c r="A152">
        <f>--ISNUMBER(IFERROR(SEARCH($C$5,Inputs!$D152,1),""))</f>
        <v/>
      </c>
      <c r="B152">
        <f>IF(A152=1,COUNTIF($A$6:A152,1),"")</f>
        <v/>
      </c>
      <c r="C152">
        <f>IFERROR(INDEX($D$6:$D$1750,MATCH(ROWS($B$6:B152),$B$6:$B$1750,0)),"")</f>
        <v/>
      </c>
      <c r="D152">
        <f>J152&amp;" ("&amp;E152&amp;")"</f>
        <v/>
      </c>
      <c r="E152" t="n">
        <v>11000</v>
      </c>
      <c r="F152" t="inlineStr">
        <is>
          <t>General Acute Care</t>
        </is>
      </c>
      <c r="G152" t="inlineStr">
        <is>
          <t>43563 State Highway 299 E</t>
        </is>
      </c>
      <c r="H152" t="inlineStr">
        <is>
          <t>Fall River Mills</t>
        </is>
      </c>
      <c r="I152" t="inlineStr">
        <is>
          <t>Shasta</t>
        </is>
      </c>
      <c r="J152" t="inlineStr">
        <is>
          <t>Mayers Memorial Hospital</t>
        </is>
      </c>
    </row>
    <row r="153">
      <c r="A153">
        <f>--ISNUMBER(IFERROR(SEARCH($C$5,Inputs!$D153,1),""))</f>
        <v/>
      </c>
      <c r="B153">
        <f>IF(A153=1,COUNTIF($A$6:A153,1),"")</f>
        <v/>
      </c>
      <c r="C153">
        <f>IFERROR(INDEX($D$6:$D$1750,MATCH(ROWS($B$6:B153),$B$6:$B$1750,0)),"")</f>
        <v/>
      </c>
      <c r="D153">
        <f>J153&amp;" ("&amp;E153&amp;")"</f>
        <v/>
      </c>
      <c r="E153" t="n">
        <v>11001</v>
      </c>
      <c r="F153" t="inlineStr">
        <is>
          <t>General Acute Care</t>
        </is>
      </c>
      <c r="G153" t="inlineStr">
        <is>
          <t>1100 Butte Street</t>
        </is>
      </c>
      <c r="H153" t="inlineStr">
        <is>
          <t>Redding</t>
        </is>
      </c>
      <c r="I153" t="inlineStr">
        <is>
          <t>Shasta</t>
        </is>
      </c>
      <c r="J153" t="inlineStr">
        <is>
          <t>Shasta Regional Medical Center</t>
        </is>
      </c>
    </row>
    <row r="154">
      <c r="A154">
        <f>--ISNUMBER(IFERROR(SEARCH($C$5,Inputs!$D154,1),""))</f>
        <v/>
      </c>
      <c r="B154">
        <f>IF(A154=1,COUNTIF($A$6:A154,1),"")</f>
        <v/>
      </c>
      <c r="C154">
        <f>IFERROR(INDEX($D$6:$D$1750,MATCH(ROWS($B$6:B154),$B$6:$B$1750,0)),"")</f>
        <v/>
      </c>
      <c r="D154">
        <f>J154&amp;" ("&amp;E154&amp;")"</f>
        <v/>
      </c>
      <c r="E154" t="n">
        <v>11002</v>
      </c>
      <c r="F154" t="inlineStr">
        <is>
          <t>General Acute Care</t>
        </is>
      </c>
      <c r="G154" t="inlineStr">
        <is>
          <t>2175 Rosaline Ave</t>
        </is>
      </c>
      <c r="H154" t="inlineStr">
        <is>
          <t>Redding</t>
        </is>
      </c>
      <c r="I154" t="inlineStr">
        <is>
          <t>Shasta</t>
        </is>
      </c>
      <c r="J154" t="inlineStr">
        <is>
          <t>Mercy Medical Center Redding</t>
        </is>
      </c>
    </row>
    <row r="155">
      <c r="A155">
        <f>--ISNUMBER(IFERROR(SEARCH($C$5,Inputs!$D155,1),""))</f>
        <v/>
      </c>
      <c r="B155">
        <f>IF(A155=1,COUNTIF($A$6:A155,1),"")</f>
        <v/>
      </c>
      <c r="C155">
        <f>IFERROR(INDEX($D$6:$D$1750,MATCH(ROWS($B$6:B155),$B$6:$B$1750,0)),"")</f>
        <v/>
      </c>
      <c r="D155">
        <f>J155&amp;" ("&amp;E155&amp;")"</f>
        <v/>
      </c>
      <c r="E155" t="n">
        <v>11013</v>
      </c>
      <c r="F155" t="inlineStr">
        <is>
          <t>Acute Psychiatric Hospital</t>
        </is>
      </c>
      <c r="G155" t="inlineStr">
        <is>
          <t>525 Oregon St.</t>
        </is>
      </c>
      <c r="H155" t="inlineStr">
        <is>
          <t>Vallejo</t>
        </is>
      </c>
      <c r="I155" t="inlineStr">
        <is>
          <t>Solano</t>
        </is>
      </c>
      <c r="J155" t="inlineStr">
        <is>
          <t>Adventist Health Vallejo</t>
        </is>
      </c>
    </row>
    <row r="156">
      <c r="A156">
        <f>--ISNUMBER(IFERROR(SEARCH($C$5,Inputs!$D156,1),""))</f>
        <v/>
      </c>
      <c r="B156">
        <f>IF(A156=1,COUNTIF($A$6:A156,1),"")</f>
        <v/>
      </c>
      <c r="C156">
        <f>IFERROR(INDEX($D$6:$D$1750,MATCH(ROWS($B$6:B156),$B$6:$B$1750,0)),"")</f>
        <v/>
      </c>
      <c r="D156">
        <f>J156&amp;" ("&amp;E156&amp;")"</f>
        <v/>
      </c>
      <c r="E156" t="n">
        <v>11019</v>
      </c>
      <c r="F156" t="inlineStr">
        <is>
          <t>General Acute Care</t>
        </is>
      </c>
      <c r="G156" t="inlineStr">
        <is>
          <t>1200 B. Gale Wilson Blvd.</t>
        </is>
      </c>
      <c r="H156" t="inlineStr">
        <is>
          <t>Fairfield</t>
        </is>
      </c>
      <c r="I156" t="inlineStr">
        <is>
          <t>Solano</t>
        </is>
      </c>
      <c r="J156" t="inlineStr">
        <is>
          <t>Northbay Medical Center</t>
        </is>
      </c>
    </row>
    <row r="157">
      <c r="A157">
        <f>--ISNUMBER(IFERROR(SEARCH($C$5,Inputs!$D157,1),""))</f>
        <v/>
      </c>
      <c r="B157">
        <f>IF(A157=1,COUNTIF($A$6:A157,1),"")</f>
        <v/>
      </c>
      <c r="C157">
        <f>IFERROR(INDEX($D$6:$D$1750,MATCH(ROWS($B$6:B157),$B$6:$B$1750,0)),"")</f>
        <v/>
      </c>
      <c r="D157">
        <f>J157&amp;" ("&amp;E157&amp;")"</f>
        <v/>
      </c>
      <c r="E157" t="n">
        <v>11052</v>
      </c>
      <c r="F157" t="inlineStr">
        <is>
          <t>General Acute Care</t>
        </is>
      </c>
      <c r="G157" t="inlineStr">
        <is>
          <t>501 Petaluma Ave</t>
        </is>
      </c>
      <c r="H157" t="inlineStr">
        <is>
          <t>Sebastopol</t>
        </is>
      </c>
      <c r="I157" t="inlineStr">
        <is>
          <t>Sonoma</t>
        </is>
      </c>
      <c r="J157" t="inlineStr">
        <is>
          <t>Sonoma Specialty Hospital</t>
        </is>
      </c>
    </row>
    <row r="158">
      <c r="A158">
        <f>--ISNUMBER(IFERROR(SEARCH($C$5,Inputs!$D158,1),""))</f>
        <v/>
      </c>
      <c r="B158">
        <f>IF(A158=1,COUNTIF($A$6:A158,1),"")</f>
        <v/>
      </c>
      <c r="C158">
        <f>IFERROR(INDEX($D$6:$D$1750,MATCH(ROWS($B$6:B158),$B$6:$B$1750,0)),"")</f>
        <v/>
      </c>
      <c r="D158">
        <f>J158&amp;" ("&amp;E158&amp;")"</f>
        <v/>
      </c>
      <c r="E158" t="n">
        <v>11054</v>
      </c>
      <c r="F158" t="inlineStr">
        <is>
          <t>General Acute Care</t>
        </is>
      </c>
      <c r="G158" t="inlineStr">
        <is>
          <t>151 Sotoyome St</t>
        </is>
      </c>
      <c r="H158" t="inlineStr">
        <is>
          <t>Santa Rosa</t>
        </is>
      </c>
      <c r="I158" t="inlineStr">
        <is>
          <t>Sonoma</t>
        </is>
      </c>
      <c r="J158" t="inlineStr">
        <is>
          <t>Providence Santa Rosa Memorial Hospital</t>
        </is>
      </c>
    </row>
    <row r="159">
      <c r="A159">
        <f>--ISNUMBER(IFERROR(SEARCH($C$5,Inputs!$D159,1),""))</f>
        <v/>
      </c>
      <c r="B159">
        <f>IF(A159=1,COUNTIF($A$6:A159,1),"")</f>
        <v/>
      </c>
      <c r="C159">
        <f>IFERROR(INDEX($D$6:$D$1750,MATCH(ROWS($B$6:B159),$B$6:$B$1750,0)),"")</f>
        <v/>
      </c>
      <c r="D159">
        <f>J159&amp;" ("&amp;E159&amp;")"</f>
        <v/>
      </c>
      <c r="E159" t="n">
        <v>11059</v>
      </c>
      <c r="F159" t="inlineStr">
        <is>
          <t>General Acute Care</t>
        </is>
      </c>
      <c r="G159" t="inlineStr">
        <is>
          <t>1165 Montgomery Dr</t>
        </is>
      </c>
      <c r="H159" t="inlineStr">
        <is>
          <t>Santa Rosa</t>
        </is>
      </c>
      <c r="I159" t="inlineStr">
        <is>
          <t>Sonoma</t>
        </is>
      </c>
      <c r="J159" t="inlineStr">
        <is>
          <t>Providence Santa Rosa Memorial Hospital</t>
        </is>
      </c>
    </row>
    <row r="160">
      <c r="A160">
        <f>--ISNUMBER(IFERROR(SEARCH($C$5,Inputs!$D160,1),""))</f>
        <v/>
      </c>
      <c r="B160">
        <f>IF(A160=1,COUNTIF($A$6:A160,1),"")</f>
        <v/>
      </c>
      <c r="C160">
        <f>IFERROR(INDEX($D$6:$D$1750,MATCH(ROWS($B$6:B160),$B$6:$B$1750,0)),"")</f>
        <v/>
      </c>
      <c r="D160">
        <f>J160&amp;" ("&amp;E160&amp;")"</f>
        <v/>
      </c>
      <c r="E160" t="n">
        <v>11064</v>
      </c>
      <c r="F160" t="inlineStr">
        <is>
          <t>General Acute Care</t>
        </is>
      </c>
      <c r="G160" t="inlineStr">
        <is>
          <t>347 Andrieux St</t>
        </is>
      </c>
      <c r="H160" t="inlineStr">
        <is>
          <t>Sonoma</t>
        </is>
      </c>
      <c r="I160" t="inlineStr">
        <is>
          <t>Sonoma</t>
        </is>
      </c>
      <c r="J160" t="inlineStr">
        <is>
          <t>Sonoma Valley Hospital</t>
        </is>
      </c>
    </row>
    <row r="161">
      <c r="A161">
        <f>--ISNUMBER(IFERROR(SEARCH($C$5,Inputs!$D161,1),""))</f>
        <v/>
      </c>
      <c r="B161">
        <f>IF(A161=1,COUNTIF($A$6:A161,1),"")</f>
        <v/>
      </c>
      <c r="C161">
        <f>IFERROR(INDEX($D$6:$D$1750,MATCH(ROWS($B$6:B161),$B$6:$B$1750,0)),"")</f>
        <v/>
      </c>
      <c r="D161">
        <f>J161&amp;" ("&amp;E161&amp;")"</f>
        <v/>
      </c>
      <c r="E161" t="n">
        <v>11085</v>
      </c>
      <c r="F161" t="inlineStr">
        <is>
          <t>General Acute Care</t>
        </is>
      </c>
      <c r="G161" t="inlineStr">
        <is>
          <t>1441 Florida Ave.</t>
        </is>
      </c>
      <c r="H161" t="inlineStr">
        <is>
          <t>Modesto</t>
        </is>
      </c>
      <c r="I161" t="inlineStr">
        <is>
          <t>Stanislaus</t>
        </is>
      </c>
      <c r="J161" t="inlineStr">
        <is>
          <t>Doctors Medical Center</t>
        </is>
      </c>
    </row>
    <row r="162">
      <c r="A162">
        <f>--ISNUMBER(IFERROR(SEARCH($C$5,Inputs!$D162,1),""))</f>
        <v/>
      </c>
      <c r="B162">
        <f>IF(A162=1,COUNTIF($A$6:A162,1),"")</f>
        <v/>
      </c>
      <c r="C162">
        <f>IFERROR(INDEX($D$6:$D$1750,MATCH(ROWS($B$6:B162),$B$6:$B$1750,0)),"")</f>
        <v/>
      </c>
      <c r="D162">
        <f>J162&amp;" ("&amp;E162&amp;")"</f>
        <v/>
      </c>
      <c r="E162" t="n">
        <v>11090</v>
      </c>
      <c r="F162" t="inlineStr">
        <is>
          <t>General Acute Care</t>
        </is>
      </c>
      <c r="G162" t="inlineStr">
        <is>
          <t>825 Delbon Ave.</t>
        </is>
      </c>
      <c r="H162" t="inlineStr">
        <is>
          <t>Turlock</t>
        </is>
      </c>
      <c r="I162" t="inlineStr">
        <is>
          <t>Stanislaus</t>
        </is>
      </c>
      <c r="J162" t="inlineStr">
        <is>
          <t>Emanuel Medical Center</t>
        </is>
      </c>
    </row>
    <row r="163">
      <c r="A163">
        <f>--ISNUMBER(IFERROR(SEARCH($C$5,Inputs!$D163,1),""))</f>
        <v/>
      </c>
      <c r="B163">
        <f>IF(A163=1,COUNTIF($A$6:A163,1),"")</f>
        <v/>
      </c>
      <c r="C163">
        <f>IFERROR(INDEX($D$6:$D$1750,MATCH(ROWS($B$6:B163),$B$6:$B$1750,0)),"")</f>
        <v/>
      </c>
      <c r="D163">
        <f>J163&amp;" ("&amp;E163&amp;")"</f>
        <v/>
      </c>
      <c r="E163" t="n">
        <v>11098</v>
      </c>
      <c r="F163" t="inlineStr">
        <is>
          <t>General Acute Care</t>
        </is>
      </c>
      <c r="G163" t="inlineStr">
        <is>
          <t>730 17th Street</t>
        </is>
      </c>
      <c r="H163" t="inlineStr">
        <is>
          <t>Modesto</t>
        </is>
      </c>
      <c r="I163" t="inlineStr">
        <is>
          <t>Stanislaus</t>
        </is>
      </c>
      <c r="J163" t="inlineStr">
        <is>
          <t>Central Valley Specialty Hospital</t>
        </is>
      </c>
    </row>
    <row r="164">
      <c r="A164">
        <f>--ISNUMBER(IFERROR(SEARCH($C$5,Inputs!$D164,1),""))</f>
        <v/>
      </c>
      <c r="B164">
        <f>IF(A164=1,COUNTIF($A$6:A164,1),"")</f>
        <v/>
      </c>
      <c r="C164">
        <f>IFERROR(INDEX($D$6:$D$1750,MATCH(ROWS($B$6:B164),$B$6:$B$1750,0)),"")</f>
        <v/>
      </c>
      <c r="D164">
        <f>J164&amp;" ("&amp;E164&amp;")"</f>
        <v/>
      </c>
      <c r="E164" t="n">
        <v>11111</v>
      </c>
      <c r="F164" t="inlineStr">
        <is>
          <t>General Acute Care</t>
        </is>
      </c>
      <c r="G164" t="inlineStr">
        <is>
          <t>1700 Coffee Rd</t>
        </is>
      </c>
      <c r="H164" t="inlineStr">
        <is>
          <t>Modesto</t>
        </is>
      </c>
      <c r="I164" t="inlineStr">
        <is>
          <t>Stanislaus</t>
        </is>
      </c>
      <c r="J164" t="inlineStr">
        <is>
          <t>Memorial Medical Center</t>
        </is>
      </c>
    </row>
    <row r="165">
      <c r="A165">
        <f>--ISNUMBER(IFERROR(SEARCH($C$5,Inputs!$D165,1),""))</f>
        <v/>
      </c>
      <c r="B165">
        <f>IF(A165=1,COUNTIF($A$6:A165,1),"")</f>
        <v/>
      </c>
      <c r="C165">
        <f>IFERROR(INDEX($D$6:$D$1750,MATCH(ROWS($B$6:B165),$B$6:$B$1750,0)),"")</f>
        <v/>
      </c>
      <c r="D165">
        <f>J165&amp;" ("&amp;E165&amp;")"</f>
        <v/>
      </c>
      <c r="E165" t="n">
        <v>11121</v>
      </c>
      <c r="F165" t="inlineStr">
        <is>
          <t>General Acute Care</t>
        </is>
      </c>
      <c r="G165" t="inlineStr">
        <is>
          <t>2550 Sister Mary Columba Drive</t>
        </is>
      </c>
      <c r="H165" t="inlineStr">
        <is>
          <t>Red Bluff</t>
        </is>
      </c>
      <c r="I165" t="inlineStr">
        <is>
          <t>Tehama</t>
        </is>
      </c>
      <c r="J165" t="inlineStr">
        <is>
          <t>St. Elizabeth Community Hospital</t>
        </is>
      </c>
    </row>
    <row r="166">
      <c r="A166">
        <f>--ISNUMBER(IFERROR(SEARCH($C$5,Inputs!$D166,1),""))</f>
        <v/>
      </c>
      <c r="B166">
        <f>IF(A166=1,COUNTIF($A$6:A166,1),"")</f>
        <v/>
      </c>
      <c r="C166">
        <f>IFERROR(INDEX($D$6:$D$1750,MATCH(ROWS($B$6:B166),$B$6:$B$1750,0)),"")</f>
        <v/>
      </c>
      <c r="D166">
        <f>J166&amp;" ("&amp;E166&amp;")"</f>
        <v/>
      </c>
      <c r="E166" t="n">
        <v>11125</v>
      </c>
      <c r="F166" t="inlineStr">
        <is>
          <t>General Acute Care</t>
        </is>
      </c>
      <c r="G166" t="inlineStr">
        <is>
          <t>60 Easter Avenue</t>
        </is>
      </c>
      <c r="H166" t="inlineStr">
        <is>
          <t>Weaverville</t>
        </is>
      </c>
      <c r="I166" t="inlineStr">
        <is>
          <t>Trinity</t>
        </is>
      </c>
      <c r="J166" t="inlineStr">
        <is>
          <t>Trinity Hospital</t>
        </is>
      </c>
    </row>
    <row r="167">
      <c r="A167">
        <f>--ISNUMBER(IFERROR(SEARCH($C$5,Inputs!$D167,1),""))</f>
        <v/>
      </c>
      <c r="B167">
        <f>IF(A167=1,COUNTIF($A$6:A167,1),"")</f>
        <v/>
      </c>
      <c r="C167">
        <f>IFERROR(INDEX($D$6:$D$1750,MATCH(ROWS($B$6:B167),$B$6:$B$1750,0)),"")</f>
        <v/>
      </c>
      <c r="D167">
        <f>J167&amp;" ("&amp;E167&amp;")"</f>
        <v/>
      </c>
      <c r="E167" t="n">
        <v>11139</v>
      </c>
      <c r="F167" t="inlineStr">
        <is>
          <t>General Acute Care</t>
        </is>
      </c>
      <c r="G167" t="inlineStr">
        <is>
          <t>1633 South Court Street</t>
        </is>
      </c>
      <c r="H167" t="inlineStr">
        <is>
          <t>Visalia</t>
        </is>
      </c>
      <c r="I167" t="inlineStr">
        <is>
          <t>Tulare</t>
        </is>
      </c>
      <c r="J167" t="inlineStr">
        <is>
          <t>Kaweah Health Skilled Nursing Center</t>
        </is>
      </c>
    </row>
    <row r="168">
      <c r="A168">
        <f>--ISNUMBER(IFERROR(SEARCH($C$5,Inputs!$D168,1),""))</f>
        <v/>
      </c>
      <c r="B168">
        <f>IF(A168=1,COUNTIF($A$6:A168,1),"")</f>
        <v/>
      </c>
      <c r="C168">
        <f>IFERROR(INDEX($D$6:$D$1750,MATCH(ROWS($B$6:B168),$B$6:$B$1750,0)),"")</f>
        <v/>
      </c>
      <c r="D168">
        <f>J168&amp;" ("&amp;E168&amp;")"</f>
        <v/>
      </c>
      <c r="E168" t="n">
        <v>11140</v>
      </c>
      <c r="F168" t="inlineStr">
        <is>
          <t>General Acute Care</t>
        </is>
      </c>
      <c r="G168" t="inlineStr">
        <is>
          <t>465 W Putnam Ave</t>
        </is>
      </c>
      <c r="H168" t="inlineStr">
        <is>
          <t>Porterville</t>
        </is>
      </c>
      <c r="I168" t="inlineStr">
        <is>
          <t>Tulare</t>
        </is>
      </c>
      <c r="J168" t="inlineStr">
        <is>
          <t>Sierra View Medical Center</t>
        </is>
      </c>
    </row>
    <row r="169">
      <c r="A169">
        <f>--ISNUMBER(IFERROR(SEARCH($C$5,Inputs!$D169,1),""))</f>
        <v/>
      </c>
      <c r="B169">
        <f>IF(A169=1,COUNTIF($A$6:A169,1),"")</f>
        <v/>
      </c>
      <c r="C169">
        <f>IFERROR(INDEX($D$6:$D$1750,MATCH(ROWS($B$6:B169),$B$6:$B$1750,0)),"")</f>
        <v/>
      </c>
      <c r="D169">
        <f>J169&amp;" ("&amp;E169&amp;")"</f>
        <v/>
      </c>
      <c r="E169" t="n">
        <v>11145</v>
      </c>
      <c r="F169" t="inlineStr">
        <is>
          <t>General Acute Care</t>
        </is>
      </c>
      <c r="G169" t="inlineStr">
        <is>
          <t>869 N Cherry St</t>
        </is>
      </c>
      <c r="H169" t="inlineStr">
        <is>
          <t>Tulare</t>
        </is>
      </c>
      <c r="I169" t="inlineStr">
        <is>
          <t>Tulare</t>
        </is>
      </c>
      <c r="J169" t="inlineStr">
        <is>
          <t>Adventist Health Tulare</t>
        </is>
      </c>
    </row>
    <row r="170">
      <c r="A170">
        <f>--ISNUMBER(IFERROR(SEARCH($C$5,Inputs!$D170,1),""))</f>
        <v/>
      </c>
      <c r="B170">
        <f>IF(A170=1,COUNTIF($A$6:A170,1),"")</f>
        <v/>
      </c>
      <c r="C170">
        <f>IFERROR(INDEX($D$6:$D$1750,MATCH(ROWS($B$6:B170),$B$6:$B$1750,0)),"")</f>
        <v/>
      </c>
      <c r="D170">
        <f>J170&amp;" ("&amp;E170&amp;")"</f>
        <v/>
      </c>
      <c r="E170" t="n">
        <v>11151</v>
      </c>
      <c r="F170" t="inlineStr">
        <is>
          <t>General Acute Care</t>
        </is>
      </c>
      <c r="G170" t="inlineStr">
        <is>
          <t>179 Fairview Ln</t>
        </is>
      </c>
      <c r="H170" t="inlineStr">
        <is>
          <t>Sonora</t>
        </is>
      </c>
      <c r="I170" t="inlineStr">
        <is>
          <t>Tuolumne</t>
        </is>
      </c>
      <c r="J170" t="inlineStr">
        <is>
          <t>Adventist Health Sonora</t>
        </is>
      </c>
    </row>
    <row r="171">
      <c r="A171">
        <f>--ISNUMBER(IFERROR(SEARCH($C$5,Inputs!$D171,1),""))</f>
        <v/>
      </c>
      <c r="B171">
        <f>IF(A171=1,COUNTIF($A$6:A171,1),"")</f>
        <v/>
      </c>
      <c r="C171">
        <f>IFERROR(INDEX($D$6:$D$1750,MATCH(ROWS($B$6:B171),$B$6:$B$1750,0)),"")</f>
        <v/>
      </c>
      <c r="D171">
        <f>J171&amp;" ("&amp;E171&amp;")"</f>
        <v/>
      </c>
      <c r="E171" t="n">
        <v>11159</v>
      </c>
      <c r="F171" t="inlineStr">
        <is>
          <t>General Acute Care</t>
        </is>
      </c>
      <c r="G171" t="inlineStr">
        <is>
          <t>147 N. Brent Street</t>
        </is>
      </c>
      <c r="H171" t="inlineStr">
        <is>
          <t>Ventura</t>
        </is>
      </c>
      <c r="I171" t="inlineStr">
        <is>
          <t>Ventura</t>
        </is>
      </c>
      <c r="J171" t="inlineStr">
        <is>
          <t>Community Memorial Hospital - San Buenaventura</t>
        </is>
      </c>
    </row>
    <row r="172">
      <c r="A172">
        <f>--ISNUMBER(IFERROR(SEARCH($C$5,Inputs!$D172,1),""))</f>
        <v/>
      </c>
      <c r="B172">
        <f>IF(A172=1,COUNTIF($A$6:A172,1),"")</f>
        <v/>
      </c>
      <c r="C172">
        <f>IFERROR(INDEX($D$6:$D$1750,MATCH(ROWS($B$6:B172),$B$6:$B$1750,0)),"")</f>
        <v/>
      </c>
      <c r="D172">
        <f>J172&amp;" ("&amp;E172&amp;")"</f>
        <v/>
      </c>
      <c r="E172" t="n">
        <v>11162</v>
      </c>
      <c r="F172" t="inlineStr">
        <is>
          <t>General Acute Care</t>
        </is>
      </c>
      <c r="G172" t="inlineStr">
        <is>
          <t>300 Hillmont Ave</t>
        </is>
      </c>
      <c r="H172" t="inlineStr">
        <is>
          <t>Ventura</t>
        </is>
      </c>
      <c r="I172" t="inlineStr">
        <is>
          <t>Ventura</t>
        </is>
      </c>
      <c r="J172" t="inlineStr">
        <is>
          <t>Ventura County Medical Center</t>
        </is>
      </c>
    </row>
    <row r="173">
      <c r="A173">
        <f>--ISNUMBER(IFERROR(SEARCH($C$5,Inputs!$D173,1),""))</f>
        <v/>
      </c>
      <c r="B173">
        <f>IF(A173=1,COUNTIF($A$6:A173,1),"")</f>
        <v/>
      </c>
      <c r="C173">
        <f>IFERROR(INDEX($D$6:$D$1750,MATCH(ROWS($B$6:B173),$B$6:$B$1750,0)),"")</f>
        <v/>
      </c>
      <c r="D173">
        <f>J173&amp;" ("&amp;E173&amp;")"</f>
        <v/>
      </c>
      <c r="E173" t="n">
        <v>11164</v>
      </c>
      <c r="F173" t="inlineStr">
        <is>
          <t>General Acute Care</t>
        </is>
      </c>
      <c r="G173" t="inlineStr">
        <is>
          <t>215 West Janss Road</t>
        </is>
      </c>
      <c r="H173" t="inlineStr">
        <is>
          <t>Thousand Oaks</t>
        </is>
      </c>
      <c r="I173" t="inlineStr">
        <is>
          <t>Ventura</t>
        </is>
      </c>
      <c r="J173" t="inlineStr">
        <is>
          <t>Los Robles Hospital &amp; Medical Center</t>
        </is>
      </c>
    </row>
    <row r="174">
      <c r="A174">
        <f>--ISNUMBER(IFERROR(SEARCH($C$5,Inputs!$D174,1),""))</f>
        <v/>
      </c>
      <c r="B174">
        <f>IF(A174=1,COUNTIF($A$6:A174,1),"")</f>
        <v/>
      </c>
      <c r="C174">
        <f>IFERROR(INDEX($D$6:$D$1750,MATCH(ROWS($B$6:B174),$B$6:$B$1750,0)),"")</f>
        <v/>
      </c>
      <c r="D174">
        <f>J174&amp;" ("&amp;E174&amp;")"</f>
        <v/>
      </c>
      <c r="E174" t="n">
        <v>11169</v>
      </c>
      <c r="F174" t="inlineStr">
        <is>
          <t>General Acute Care</t>
        </is>
      </c>
      <c r="G174" t="inlineStr">
        <is>
          <t>1306 Maricopa Hwy</t>
        </is>
      </c>
      <c r="H174" t="inlineStr">
        <is>
          <t>Ojai</t>
        </is>
      </c>
      <c r="I174" t="inlineStr">
        <is>
          <t>Ventura</t>
        </is>
      </c>
      <c r="J174" t="inlineStr">
        <is>
          <t>Ojai Valley Community Hospital</t>
        </is>
      </c>
    </row>
    <row r="175">
      <c r="A175">
        <f>--ISNUMBER(IFERROR(SEARCH($C$5,Inputs!$D175,1),""))</f>
        <v/>
      </c>
      <c r="B175">
        <f>IF(A175=1,COUNTIF($A$6:A175,1),"")</f>
        <v/>
      </c>
      <c r="C175">
        <f>IFERROR(INDEX($D$6:$D$1750,MATCH(ROWS($B$6:B175),$B$6:$B$1750,0)),"")</f>
        <v/>
      </c>
      <c r="D175">
        <f>J175&amp;" ("&amp;E175&amp;")"</f>
        <v/>
      </c>
      <c r="E175" t="n">
        <v>11172</v>
      </c>
      <c r="F175" t="inlineStr">
        <is>
          <t>General Acute Care</t>
        </is>
      </c>
      <c r="G175" t="inlineStr">
        <is>
          <t>1600 N Rose Ave</t>
        </is>
      </c>
      <c r="H175" t="inlineStr">
        <is>
          <t>Oxnard</t>
        </is>
      </c>
      <c r="I175" t="inlineStr">
        <is>
          <t>Ventura</t>
        </is>
      </c>
      <c r="J175" t="inlineStr">
        <is>
          <t>St Johns Regional Medical Center</t>
        </is>
      </c>
    </row>
    <row r="176">
      <c r="A176">
        <f>--ISNUMBER(IFERROR(SEARCH($C$5,Inputs!$D176,1),""))</f>
        <v/>
      </c>
      <c r="B176">
        <f>IF(A176=1,COUNTIF($A$6:A176,1),"")</f>
        <v/>
      </c>
      <c r="C176">
        <f>IFERROR(INDEX($D$6:$D$1750,MATCH(ROWS($B$6:B176),$B$6:$B$1750,0)),"")</f>
        <v/>
      </c>
      <c r="D176">
        <f>J176&amp;" ("&amp;E176&amp;")"</f>
        <v/>
      </c>
      <c r="E176" t="n">
        <v>11175</v>
      </c>
      <c r="F176" t="inlineStr">
        <is>
          <t>General Acute Care</t>
        </is>
      </c>
      <c r="G176" t="inlineStr">
        <is>
          <t>825 North 10th Street</t>
        </is>
      </c>
      <c r="H176" t="inlineStr">
        <is>
          <t>Santa Paula</t>
        </is>
      </c>
      <c r="I176" t="inlineStr">
        <is>
          <t>Ventura</t>
        </is>
      </c>
      <c r="J176" t="inlineStr">
        <is>
          <t>Ventura County Medical Center - Santa Paula Hospital</t>
        </is>
      </c>
    </row>
    <row r="177">
      <c r="A177">
        <f>--ISNUMBER(IFERROR(SEARCH($C$5,Inputs!$D177,1),""))</f>
        <v/>
      </c>
      <c r="B177">
        <f>IF(A177=1,COUNTIF($A$6:A177,1),"")</f>
        <v/>
      </c>
      <c r="C177">
        <f>IFERROR(INDEX($D$6:$D$1750,MATCH(ROWS($B$6:B177),$B$6:$B$1750,0)),"")</f>
        <v/>
      </c>
      <c r="D177">
        <f>J177&amp;" ("&amp;E177&amp;")"</f>
        <v/>
      </c>
      <c r="E177" t="n">
        <v>11177</v>
      </c>
      <c r="F177" t="inlineStr">
        <is>
          <t>General Acute Care</t>
        </is>
      </c>
      <c r="G177" t="inlineStr">
        <is>
          <t>2975 North Sycamore Drive</t>
        </is>
      </c>
      <c r="H177" t="inlineStr">
        <is>
          <t>Simi Valley</t>
        </is>
      </c>
      <c r="I177" t="inlineStr">
        <is>
          <t>Ventura</t>
        </is>
      </c>
      <c r="J177" t="inlineStr">
        <is>
          <t>Adventist Health Simi Valley</t>
        </is>
      </c>
    </row>
    <row r="178">
      <c r="A178">
        <f>--ISNUMBER(IFERROR(SEARCH($C$5,Inputs!$D178,1),""))</f>
        <v/>
      </c>
      <c r="B178">
        <f>IF(A178=1,COUNTIF($A$6:A178,1),"")</f>
        <v/>
      </c>
      <c r="C178">
        <f>IFERROR(INDEX($D$6:$D$1750,MATCH(ROWS($B$6:B178),$B$6:$B$1750,0)),"")</f>
        <v/>
      </c>
      <c r="D178">
        <f>J178&amp;" ("&amp;E178&amp;")"</f>
        <v/>
      </c>
      <c r="E178" t="n">
        <v>11198</v>
      </c>
      <c r="F178" t="inlineStr">
        <is>
          <t>General Acute Care</t>
        </is>
      </c>
      <c r="G178" t="inlineStr">
        <is>
          <t>1325 Cottonwood Street</t>
        </is>
      </c>
      <c r="H178" t="inlineStr">
        <is>
          <t>Woodland</t>
        </is>
      </c>
      <c r="I178" t="inlineStr">
        <is>
          <t>Yolo</t>
        </is>
      </c>
      <c r="J178" t="inlineStr">
        <is>
          <t>Woodland Memorial Hospital</t>
        </is>
      </c>
    </row>
    <row r="179">
      <c r="A179">
        <f>--ISNUMBER(IFERROR(SEARCH($C$5,Inputs!$D179,1),""))</f>
        <v/>
      </c>
      <c r="B179">
        <f>IF(A179=1,COUNTIF($A$6:A179,1),"")</f>
        <v/>
      </c>
      <c r="C179">
        <f>IFERROR(INDEX($D$6:$D$1750,MATCH(ROWS($B$6:B179),$B$6:$B$1750,0)),"")</f>
        <v/>
      </c>
      <c r="D179">
        <f>J179&amp;" ("&amp;E179&amp;")"</f>
        <v/>
      </c>
      <c r="E179" t="n">
        <v>11205</v>
      </c>
      <c r="F179" t="inlineStr">
        <is>
          <t>General Acute Care</t>
        </is>
      </c>
      <c r="G179" t="inlineStr">
        <is>
          <t>726 4th St</t>
        </is>
      </c>
      <c r="H179" t="inlineStr">
        <is>
          <t>Marysville</t>
        </is>
      </c>
      <c r="I179" t="inlineStr">
        <is>
          <t>Yuba</t>
        </is>
      </c>
      <c r="J179" t="inlineStr">
        <is>
          <t>Adventist Health And Rideout</t>
        </is>
      </c>
    </row>
    <row r="180">
      <c r="A180">
        <f>--ISNUMBER(IFERROR(SEARCH($C$5,Inputs!$D180,1),""))</f>
        <v/>
      </c>
      <c r="B180">
        <f>IF(A180=1,COUNTIF($A$6:A180,1),"")</f>
        <v/>
      </c>
      <c r="C180">
        <f>IFERROR(INDEX($D$6:$D$1750,MATCH(ROWS($B$6:B180),$B$6:$B$1750,0)),"")</f>
        <v/>
      </c>
      <c r="D180">
        <f>J180&amp;" ("&amp;E180&amp;")"</f>
        <v/>
      </c>
      <c r="E180" t="n">
        <v>11210</v>
      </c>
      <c r="F180" t="inlineStr">
        <is>
          <t>General Acute Care</t>
        </is>
      </c>
      <c r="G180" t="inlineStr">
        <is>
          <t>2070 Clinton Ave</t>
        </is>
      </c>
      <c r="H180" t="inlineStr">
        <is>
          <t>Alameda</t>
        </is>
      </c>
      <c r="I180" t="inlineStr">
        <is>
          <t>Alameda</t>
        </is>
      </c>
      <c r="J180" t="inlineStr">
        <is>
          <t>Alameda Hospital</t>
        </is>
      </c>
    </row>
    <row r="181">
      <c r="A181">
        <f>--ISNUMBER(IFERROR(SEARCH($C$5,Inputs!$D181,1),""))</f>
        <v/>
      </c>
      <c r="B181">
        <f>IF(A181=1,COUNTIF($A$6:A181,1),"")</f>
        <v/>
      </c>
      <c r="C181">
        <f>IFERROR(INDEX($D$6:$D$1750,MATCH(ROWS($B$6:B181),$B$6:$B$1750,0)),"")</f>
        <v/>
      </c>
      <c r="D181">
        <f>J181&amp;" ("&amp;E181&amp;")"</f>
        <v/>
      </c>
      <c r="E181" t="n">
        <v>11214</v>
      </c>
      <c r="F181" t="inlineStr">
        <is>
          <t>General Acute Care</t>
        </is>
      </c>
      <c r="G181" t="inlineStr">
        <is>
          <t>2450 Ashby Street</t>
        </is>
      </c>
      <c r="H181" t="inlineStr">
        <is>
          <t>Berkeley</t>
        </is>
      </c>
      <c r="I181" t="inlineStr">
        <is>
          <t>Alameda</t>
        </is>
      </c>
      <c r="J181" t="inlineStr">
        <is>
          <t>Alta Bates Summit Medical Center-Alta Bates Campus</t>
        </is>
      </c>
    </row>
    <row r="182">
      <c r="A182">
        <f>--ISNUMBER(IFERROR(SEARCH($C$5,Inputs!$D182,1),""))</f>
        <v/>
      </c>
      <c r="B182">
        <f>IF(A182=1,COUNTIF($A$6:A182,1),"")</f>
        <v/>
      </c>
      <c r="C182">
        <f>IFERROR(INDEX($D$6:$D$1750,MATCH(ROWS($B$6:B182),$B$6:$B$1750,0)),"")</f>
        <v/>
      </c>
      <c r="D182">
        <f>J182&amp;" ("&amp;E182&amp;")"</f>
        <v/>
      </c>
      <c r="E182" t="n">
        <v>11242</v>
      </c>
      <c r="F182" t="inlineStr">
        <is>
          <t>General Acute Care</t>
        </is>
      </c>
      <c r="G182" t="inlineStr">
        <is>
          <t>747 52nd St.</t>
        </is>
      </c>
      <c r="H182" t="inlineStr">
        <is>
          <t>Oakland</t>
        </is>
      </c>
      <c r="I182" t="inlineStr">
        <is>
          <t>Alameda</t>
        </is>
      </c>
      <c r="J182" t="inlineStr">
        <is>
          <t>UCSF Benioff Children's Hospital Oakland</t>
        </is>
      </c>
    </row>
    <row r="183">
      <c r="A183">
        <f>--ISNUMBER(IFERROR(SEARCH($C$5,Inputs!$D183,1),""))</f>
        <v/>
      </c>
      <c r="B183">
        <f>IF(A183=1,COUNTIF($A$6:A183,1),"")</f>
        <v/>
      </c>
      <c r="C183">
        <f>IFERROR(INDEX($D$6:$D$1750,MATCH(ROWS($B$6:B183),$B$6:$B$1750,0)),"")</f>
        <v/>
      </c>
      <c r="D183">
        <f>J183&amp;" ("&amp;E183&amp;")"</f>
        <v/>
      </c>
      <c r="E183" t="n">
        <v>11256</v>
      </c>
      <c r="F183" t="inlineStr">
        <is>
          <t>General Acute Care</t>
        </is>
      </c>
      <c r="G183" t="inlineStr">
        <is>
          <t>13855 East 14th Street</t>
        </is>
      </c>
      <c r="H183" t="inlineStr">
        <is>
          <t>San Leandro</t>
        </is>
      </c>
      <c r="I183" t="inlineStr">
        <is>
          <t>Alameda</t>
        </is>
      </c>
      <c r="J183" t="inlineStr">
        <is>
          <t>San Leandro Hospital</t>
        </is>
      </c>
    </row>
    <row r="184">
      <c r="A184">
        <f>--ISNUMBER(IFERROR(SEARCH($C$5,Inputs!$D184,1),""))</f>
        <v/>
      </c>
      <c r="B184">
        <f>IF(A184=1,COUNTIF($A$6:A184,1),"")</f>
        <v/>
      </c>
      <c r="C184">
        <f>IFERROR(INDEX($D$6:$D$1750,MATCH(ROWS($B$6:B184),$B$6:$B$1750,0)),"")</f>
        <v/>
      </c>
      <c r="D184">
        <f>J184&amp;" ("&amp;E184&amp;")"</f>
        <v/>
      </c>
      <c r="E184" t="n">
        <v>11268</v>
      </c>
      <c r="F184" t="inlineStr">
        <is>
          <t>General Acute Care</t>
        </is>
      </c>
      <c r="G184" t="inlineStr">
        <is>
          <t>15400 Foothill Boulevard</t>
        </is>
      </c>
      <c r="H184" t="inlineStr">
        <is>
          <t>San Leandro</t>
        </is>
      </c>
      <c r="I184" t="inlineStr">
        <is>
          <t>Alameda</t>
        </is>
      </c>
      <c r="J184" t="inlineStr">
        <is>
          <t>Fairmont Hospital</t>
        </is>
      </c>
    </row>
    <row r="185">
      <c r="A185">
        <f>--ISNUMBER(IFERROR(SEARCH($C$5,Inputs!$D185,1),""))</f>
        <v/>
      </c>
      <c r="B185">
        <f>IF(A185=1,COUNTIF($A$6:A185,1),"")</f>
        <v/>
      </c>
      <c r="C185">
        <f>IFERROR(INDEX($D$6:$D$1750,MATCH(ROWS($B$6:B185),$B$6:$B$1750,0)),"")</f>
        <v/>
      </c>
      <c r="D185">
        <f>J185&amp;" ("&amp;E185&amp;")"</f>
        <v/>
      </c>
      <c r="E185" t="n">
        <v>11285</v>
      </c>
      <c r="F185" t="inlineStr">
        <is>
          <t>Acute Psychiatric Hospital</t>
        </is>
      </c>
      <c r="G185" t="inlineStr">
        <is>
          <t>2001 Dwight Way</t>
        </is>
      </c>
      <c r="H185" t="inlineStr">
        <is>
          <t>Berkeley</t>
        </is>
      </c>
      <c r="I185" t="inlineStr">
        <is>
          <t>Alameda</t>
        </is>
      </c>
      <c r="J185" t="inlineStr">
        <is>
          <t>Alta Bates Summit Medical Center-Herrick Campus</t>
        </is>
      </c>
    </row>
    <row r="186">
      <c r="A186">
        <f>--ISNUMBER(IFERROR(SEARCH($C$5,Inputs!$D186,1),""))</f>
        <v/>
      </c>
      <c r="B186">
        <f>IF(A186=1,COUNTIF($A$6:A186,1),"")</f>
        <v/>
      </c>
      <c r="C186">
        <f>IFERROR(INDEX($D$6:$D$1750,MATCH(ROWS($B$6:B186),$B$6:$B$1750,0)),"")</f>
        <v/>
      </c>
      <c r="D186">
        <f>J186&amp;" ("&amp;E186&amp;")"</f>
        <v/>
      </c>
      <c r="E186" t="n">
        <v>11288</v>
      </c>
      <c r="F186" t="inlineStr">
        <is>
          <t>General Acute Care</t>
        </is>
      </c>
      <c r="G186" t="inlineStr">
        <is>
          <t>1411 E 31st Street</t>
        </is>
      </c>
      <c r="H186" t="inlineStr">
        <is>
          <t>Oakland</t>
        </is>
      </c>
      <c r="I186" t="inlineStr">
        <is>
          <t>Alameda</t>
        </is>
      </c>
      <c r="J186" t="inlineStr">
        <is>
          <t>Highland Hospital</t>
        </is>
      </c>
    </row>
    <row r="187">
      <c r="A187">
        <f>--ISNUMBER(IFERROR(SEARCH($C$5,Inputs!$D187,1),""))</f>
        <v/>
      </c>
      <c r="B187">
        <f>IF(A187=1,COUNTIF($A$6:A187,1),"")</f>
        <v/>
      </c>
      <c r="C187">
        <f>IFERROR(INDEX($D$6:$D$1750,MATCH(ROWS($B$6:B187),$B$6:$B$1750,0)),"")</f>
        <v/>
      </c>
      <c r="D187">
        <f>J187&amp;" ("&amp;E187&amp;")"</f>
        <v/>
      </c>
      <c r="E187" t="n">
        <v>11321</v>
      </c>
      <c r="F187" t="inlineStr">
        <is>
          <t>General Acute Care</t>
        </is>
      </c>
      <c r="G187" t="inlineStr">
        <is>
          <t>2800 Benedict Drive</t>
        </is>
      </c>
      <c r="H187" t="inlineStr">
        <is>
          <t>San Leandro</t>
        </is>
      </c>
      <c r="I187" t="inlineStr">
        <is>
          <t>Alameda</t>
        </is>
      </c>
      <c r="J187" t="inlineStr">
        <is>
          <t>Kindred Hospital - San Francisco Bay Area</t>
        </is>
      </c>
    </row>
    <row r="188">
      <c r="A188">
        <f>--ISNUMBER(IFERROR(SEARCH($C$5,Inputs!$D188,1),""))</f>
        <v/>
      </c>
      <c r="B188">
        <f>IF(A188=1,COUNTIF($A$6:A188,1),"")</f>
        <v/>
      </c>
      <c r="C188">
        <f>IFERROR(INDEX($D$6:$D$1750,MATCH(ROWS($B$6:B188),$B$6:$B$1750,0)),"")</f>
        <v/>
      </c>
      <c r="D188">
        <f>J188&amp;" ("&amp;E188&amp;")"</f>
        <v/>
      </c>
      <c r="E188" t="n">
        <v>11322</v>
      </c>
      <c r="F188" t="inlineStr">
        <is>
          <t>General Acute Care</t>
        </is>
      </c>
      <c r="G188" t="inlineStr">
        <is>
          <t>350 Hawthorne Ave</t>
        </is>
      </c>
      <c r="H188" t="inlineStr">
        <is>
          <t>Oakland</t>
        </is>
      </c>
      <c r="I188" t="inlineStr">
        <is>
          <t>Alameda</t>
        </is>
      </c>
      <c r="J188" t="inlineStr">
        <is>
          <t>Alta Bates Summit Medical Center</t>
        </is>
      </c>
    </row>
    <row r="189">
      <c r="A189">
        <f>--ISNUMBER(IFERROR(SEARCH($C$5,Inputs!$D189,1),""))</f>
        <v/>
      </c>
      <c r="B189">
        <f>IF(A189=1,COUNTIF($A$6:A189,1),"")</f>
        <v/>
      </c>
      <c r="C189">
        <f>IFERROR(INDEX($D$6:$D$1750,MATCH(ROWS($B$6:B189),$B$6:$B$1750,0)),"")</f>
        <v/>
      </c>
      <c r="D189">
        <f>J189&amp;" ("&amp;E189&amp;")"</f>
        <v/>
      </c>
      <c r="E189" t="n">
        <v>11326</v>
      </c>
      <c r="F189" t="inlineStr">
        <is>
          <t>General Acute Care</t>
        </is>
      </c>
      <c r="G189" t="inlineStr">
        <is>
          <t>10 Advantage Ct</t>
        </is>
      </c>
      <c r="H189" t="inlineStr">
        <is>
          <t>Sacramento</t>
        </is>
      </c>
      <c r="I189" t="inlineStr">
        <is>
          <t>Sacramento</t>
        </is>
      </c>
      <c r="J189" t="inlineStr">
        <is>
          <t>Vibra Rehabilitation Hospital of Natomas</t>
        </is>
      </c>
    </row>
    <row r="190">
      <c r="A190">
        <f>--ISNUMBER(IFERROR(SEARCH($C$5,Inputs!$D190,1),""))</f>
        <v/>
      </c>
      <c r="B190">
        <f>IF(A190=1,COUNTIF($A$6:A190,1),"")</f>
        <v/>
      </c>
      <c r="C190">
        <f>IFERROR(INDEX($D$6:$D$1750,MATCH(ROWS($B$6:B190),$B$6:$B$1750,0)),"")</f>
        <v/>
      </c>
      <c r="D190">
        <f>J190&amp;" ("&amp;E190&amp;")"</f>
        <v/>
      </c>
      <c r="E190" t="n">
        <v>11338</v>
      </c>
      <c r="F190" t="inlineStr">
        <is>
          <t>General Acute Care</t>
        </is>
      </c>
      <c r="G190" t="inlineStr">
        <is>
          <t>3100 Summit Street</t>
        </is>
      </c>
      <c r="H190" t="inlineStr">
        <is>
          <t>Oakland</t>
        </is>
      </c>
      <c r="I190" t="inlineStr">
        <is>
          <t>Alameda</t>
        </is>
      </c>
      <c r="J190" t="inlineStr">
        <is>
          <t>Alta Bates Summit Medical Center - Summit Campus</t>
        </is>
      </c>
    </row>
    <row r="191">
      <c r="A191">
        <f>--ISNUMBER(IFERROR(SEARCH($C$5,Inputs!$D191,1),""))</f>
        <v/>
      </c>
      <c r="B191">
        <f>IF(A191=1,COUNTIF($A$6:A191,1),"")</f>
        <v/>
      </c>
      <c r="C191">
        <f>IFERROR(INDEX($D$6:$D$1750,MATCH(ROWS($B$6:B191),$B$6:$B$1750,0)),"")</f>
        <v/>
      </c>
      <c r="D191">
        <f>J191&amp;" ("&amp;E191&amp;")"</f>
        <v/>
      </c>
      <c r="E191" t="n">
        <v>11344</v>
      </c>
      <c r="F191" t="inlineStr">
        <is>
          <t>General Acute Care</t>
        </is>
      </c>
      <c r="G191" t="inlineStr">
        <is>
          <t>27200 Calaroga Avenue</t>
        </is>
      </c>
      <c r="H191" t="inlineStr">
        <is>
          <t>Hayward</t>
        </is>
      </c>
      <c r="I191" t="inlineStr">
        <is>
          <t>Alameda</t>
        </is>
      </c>
      <c r="J191" t="inlineStr">
        <is>
          <t>St Rose Hospital</t>
        </is>
      </c>
    </row>
    <row r="192">
      <c r="A192">
        <f>--ISNUMBER(IFERROR(SEARCH($C$5,Inputs!$D192,1),""))</f>
        <v/>
      </c>
      <c r="B192">
        <f>IF(A192=1,COUNTIF($A$6:A192,1),"")</f>
        <v/>
      </c>
      <c r="C192">
        <f>IFERROR(INDEX($D$6:$D$1750,MATCH(ROWS($B$6:B192),$B$6:$B$1750,0)),"")</f>
        <v/>
      </c>
      <c r="D192">
        <f>J192&amp;" ("&amp;E192&amp;")"</f>
        <v/>
      </c>
      <c r="E192" t="n">
        <v>11363</v>
      </c>
      <c r="F192" t="inlineStr">
        <is>
          <t>General Acute Care</t>
        </is>
      </c>
      <c r="G192" t="inlineStr">
        <is>
          <t>1111 E Stanley Blvd</t>
        </is>
      </c>
      <c r="H192" t="inlineStr">
        <is>
          <t>Livermore</t>
        </is>
      </c>
      <c r="I192" t="inlineStr">
        <is>
          <t>Alameda</t>
        </is>
      </c>
      <c r="J192" t="inlineStr">
        <is>
          <t>Valley Memorial Hospital</t>
        </is>
      </c>
    </row>
    <row r="193">
      <c r="A193">
        <f>--ISNUMBER(IFERROR(SEARCH($C$5,Inputs!$D193,1),""))</f>
        <v/>
      </c>
      <c r="B193">
        <f>IF(A193=1,COUNTIF($A$6:A193,1),"")</f>
        <v/>
      </c>
      <c r="C193">
        <f>IFERROR(INDEX($D$6:$D$1750,MATCH(ROWS($B$6:B193),$B$6:$B$1750,0)),"")</f>
        <v/>
      </c>
      <c r="D193">
        <f>J193&amp;" ("&amp;E193&amp;")"</f>
        <v/>
      </c>
      <c r="E193" t="n">
        <v>11366</v>
      </c>
      <c r="F193" t="inlineStr">
        <is>
          <t>General Acute Care</t>
        </is>
      </c>
      <c r="G193" t="inlineStr">
        <is>
          <t>2000 Mowry Avenue</t>
        </is>
      </c>
      <c r="H193" t="inlineStr">
        <is>
          <t>Fremont</t>
        </is>
      </c>
      <c r="I193" t="inlineStr">
        <is>
          <t>Alameda</t>
        </is>
      </c>
      <c r="J193" t="inlineStr">
        <is>
          <t>Washington Hospital</t>
        </is>
      </c>
    </row>
    <row r="194">
      <c r="A194">
        <f>--ISNUMBER(IFERROR(SEARCH($C$5,Inputs!$D194,1),""))</f>
        <v/>
      </c>
      <c r="B194">
        <f>IF(A194=1,COUNTIF($A$6:A194,1),"")</f>
        <v/>
      </c>
      <c r="C194">
        <f>IFERROR(INDEX($D$6:$D$1750,MATCH(ROWS($B$6:B194),$B$6:$B$1750,0)),"")</f>
        <v/>
      </c>
      <c r="D194">
        <f>J194&amp;" ("&amp;E194&amp;")"</f>
        <v/>
      </c>
      <c r="E194" t="n">
        <v>11386</v>
      </c>
      <c r="F194" t="inlineStr">
        <is>
          <t>General Acute Care</t>
        </is>
      </c>
      <c r="G194" t="inlineStr">
        <is>
          <t>100 S. Raymond Ave.</t>
        </is>
      </c>
      <c r="H194" t="inlineStr">
        <is>
          <t>Alhambra</t>
        </is>
      </c>
      <c r="I194" t="inlineStr">
        <is>
          <t>Los Angeles</t>
        </is>
      </c>
      <c r="J194" t="inlineStr">
        <is>
          <t>Alhambra Hospital Medical Center</t>
        </is>
      </c>
    </row>
    <row r="195">
      <c r="A195">
        <f>--ISNUMBER(IFERROR(SEARCH($C$5,Inputs!$D195,1),""))</f>
        <v/>
      </c>
      <c r="B195">
        <f>IF(A195=1,COUNTIF($A$6:A195,1),"")</f>
        <v/>
      </c>
      <c r="C195">
        <f>IFERROR(INDEX($D$6:$D$1750,MATCH(ROWS($B$6:B195),$B$6:$B$1750,0)),"")</f>
        <v/>
      </c>
      <c r="D195">
        <f>J195&amp;" ("&amp;E195&amp;")"</f>
        <v/>
      </c>
      <c r="E195" t="n">
        <v>11388</v>
      </c>
      <c r="F195" t="inlineStr">
        <is>
          <t>Acute Psychiatric Hospital</t>
        </is>
      </c>
      <c r="G195" t="inlineStr">
        <is>
          <t>4619 Rosemead Blvd.</t>
        </is>
      </c>
      <c r="H195" t="inlineStr">
        <is>
          <t>Rosemead</t>
        </is>
      </c>
      <c r="I195" t="inlineStr">
        <is>
          <t>Los Angeles</t>
        </is>
      </c>
      <c r="J195" t="inlineStr">
        <is>
          <t>BHC Alhambra Hospital</t>
        </is>
      </c>
    </row>
    <row r="196">
      <c r="A196">
        <f>--ISNUMBER(IFERROR(SEARCH($C$5,Inputs!$D196,1),""))</f>
        <v/>
      </c>
      <c r="B196">
        <f>IF(A196=1,COUNTIF($A$6:A196,1),"")</f>
        <v/>
      </c>
      <c r="C196">
        <f>IFERROR(INDEX($D$6:$D$1750,MATCH(ROWS($B$6:B196),$B$6:$B$1750,0)),"")</f>
        <v/>
      </c>
      <c r="D196">
        <f>J196&amp;" ("&amp;E196&amp;")"</f>
        <v/>
      </c>
      <c r="E196" t="n">
        <v>11399</v>
      </c>
      <c r="F196" t="inlineStr">
        <is>
          <t>General Acute Care</t>
        </is>
      </c>
      <c r="G196" t="inlineStr">
        <is>
          <t>1600 West Avenue J</t>
        </is>
      </c>
      <c r="H196" t="inlineStr">
        <is>
          <t>Lancaster</t>
        </is>
      </c>
      <c r="I196" t="inlineStr">
        <is>
          <t>Los Angeles</t>
        </is>
      </c>
      <c r="J196" t="inlineStr">
        <is>
          <t>Antelope Valley Hospital</t>
        </is>
      </c>
    </row>
    <row r="197">
      <c r="A197">
        <f>--ISNUMBER(IFERROR(SEARCH($C$5,Inputs!$D197,1),""))</f>
        <v/>
      </c>
      <c r="B197">
        <f>IF(A197=1,COUNTIF($A$6:A197,1),"")</f>
        <v/>
      </c>
      <c r="C197">
        <f>IFERROR(INDEX($D$6:$D$1750,MATCH(ROWS($B$6:B197),$B$6:$B$1750,0)),"")</f>
        <v/>
      </c>
      <c r="D197">
        <f>J197&amp;" ("&amp;E197&amp;")"</f>
        <v/>
      </c>
      <c r="E197" t="n">
        <v>11410</v>
      </c>
      <c r="F197" t="inlineStr">
        <is>
          <t>General Acute Care</t>
        </is>
      </c>
      <c r="G197" t="inlineStr">
        <is>
          <t>100 Falls Canyon Rd.</t>
        </is>
      </c>
      <c r="H197" t="inlineStr">
        <is>
          <t>Avalon</t>
        </is>
      </c>
      <c r="I197" t="inlineStr">
        <is>
          <t>Los Angeles</t>
        </is>
      </c>
      <c r="J197" t="inlineStr">
        <is>
          <t>Catalina Island Medical Center</t>
        </is>
      </c>
    </row>
    <row r="198">
      <c r="A198">
        <f>--ISNUMBER(IFERROR(SEARCH($C$5,Inputs!$D198,1),""))</f>
        <v/>
      </c>
      <c r="B198">
        <f>IF(A198=1,COUNTIF($A$6:A198,1),"")</f>
        <v/>
      </c>
      <c r="C198">
        <f>IFERROR(INDEX($D$6:$D$1750,MATCH(ROWS($B$6:B198),$B$6:$B$1750,0)),"")</f>
        <v/>
      </c>
      <c r="D198">
        <f>J198&amp;" ("&amp;E198&amp;")"</f>
        <v/>
      </c>
      <c r="E198" t="n">
        <v>11414</v>
      </c>
      <c r="F198" t="inlineStr">
        <is>
          <t>General Acute Care</t>
        </is>
      </c>
      <c r="G198" t="inlineStr">
        <is>
          <t>5525 W. Slauson Ave.</t>
        </is>
      </c>
      <c r="H198" t="inlineStr">
        <is>
          <t>Los Angeles</t>
        </is>
      </c>
      <c r="I198" t="inlineStr">
        <is>
          <t>Los Angeles</t>
        </is>
      </c>
      <c r="J198" t="inlineStr">
        <is>
          <t>Kindred Hospital - Los Angeles</t>
        </is>
      </c>
    </row>
    <row r="199">
      <c r="A199">
        <f>--ISNUMBER(IFERROR(SEARCH($C$5,Inputs!$D199,1),""))</f>
        <v/>
      </c>
      <c r="B199">
        <f>IF(A199=1,COUNTIF($A$6:A199,1),"")</f>
        <v/>
      </c>
      <c r="C199">
        <f>IFERROR(INDEX($D$6:$D$1750,MATCH(ROWS($B$6:B199),$B$6:$B$1750,0)),"")</f>
        <v/>
      </c>
      <c r="D199">
        <f>J199&amp;" ("&amp;E199&amp;")"</f>
        <v/>
      </c>
      <c r="E199" t="n">
        <v>11417</v>
      </c>
      <c r="F199" t="inlineStr">
        <is>
          <t>General Acute Care</t>
        </is>
      </c>
      <c r="G199" t="inlineStr">
        <is>
          <t>2000 Stadium Way</t>
        </is>
      </c>
      <c r="H199" t="inlineStr">
        <is>
          <t>Los Angeles</t>
        </is>
      </c>
      <c r="I199" t="inlineStr">
        <is>
          <t>Los Angeles</t>
        </is>
      </c>
      <c r="J199" t="inlineStr">
        <is>
          <t>Barlow Respiratory Hospital</t>
        </is>
      </c>
    </row>
    <row r="200">
      <c r="A200">
        <f>--ISNUMBER(IFERROR(SEARCH($C$5,Inputs!$D200,1),""))</f>
        <v/>
      </c>
      <c r="B200">
        <f>IF(A200=1,COUNTIF($A$6:A200,1),"")</f>
        <v/>
      </c>
      <c r="C200">
        <f>IFERROR(INDEX($D$6:$D$1750,MATCH(ROWS($B$6:B200),$B$6:$B$1750,0)),"")</f>
        <v/>
      </c>
      <c r="D200">
        <f>J200&amp;" ("&amp;E200&amp;")"</f>
        <v/>
      </c>
      <c r="E200" t="n">
        <v>11428</v>
      </c>
      <c r="F200" t="inlineStr">
        <is>
          <t>General Acute Care</t>
        </is>
      </c>
      <c r="G200" t="inlineStr">
        <is>
          <t>9542 East Artesia Blvd.</t>
        </is>
      </c>
      <c r="H200" t="inlineStr">
        <is>
          <t>Bellflower</t>
        </is>
      </c>
      <c r="I200" t="inlineStr">
        <is>
          <t>Los Angeles</t>
        </is>
      </c>
      <c r="J200" t="inlineStr">
        <is>
          <t>Los Angeles Community Hospital at Bellflower</t>
        </is>
      </c>
    </row>
    <row r="201">
      <c r="A201">
        <f>--ISNUMBER(IFERROR(SEARCH($C$5,Inputs!$D201,1),""))</f>
        <v/>
      </c>
      <c r="B201">
        <f>IF(A201=1,COUNTIF($A$6:A201,1),"")</f>
        <v/>
      </c>
      <c r="C201">
        <f>IFERROR(INDEX($D$6:$D$1750,MATCH(ROWS($B$6:B201),$B$6:$B$1750,0)),"")</f>
        <v/>
      </c>
      <c r="D201">
        <f>J201&amp;" ("&amp;E201&amp;")"</f>
        <v/>
      </c>
      <c r="E201" t="n">
        <v>11441</v>
      </c>
      <c r="F201" t="inlineStr">
        <is>
          <t>General Acute Care</t>
        </is>
      </c>
      <c r="G201" t="inlineStr">
        <is>
          <t>309 W. Beverly Blvd.</t>
        </is>
      </c>
      <c r="H201" t="inlineStr">
        <is>
          <t>Montebello</t>
        </is>
      </c>
      <c r="I201" t="inlineStr">
        <is>
          <t>Los Angeles</t>
        </is>
      </c>
      <c r="J201" t="inlineStr">
        <is>
          <t>Beverly Hospital</t>
        </is>
      </c>
    </row>
    <row r="202">
      <c r="A202">
        <f>--ISNUMBER(IFERROR(SEARCH($C$5,Inputs!$D202,1),""))</f>
        <v/>
      </c>
      <c r="B202">
        <f>IF(A202=1,COUNTIF($A$6:A202,1),"")</f>
        <v/>
      </c>
      <c r="C202">
        <f>IFERROR(INDEX($D$6:$D$1750,MATCH(ROWS($B$6:B202),$B$6:$B$1750,0)),"")</f>
        <v/>
      </c>
      <c r="D202">
        <f>J202&amp;" ("&amp;E202&amp;")"</f>
        <v/>
      </c>
      <c r="E202" t="n">
        <v>11480</v>
      </c>
      <c r="F202" t="inlineStr">
        <is>
          <t>General Acute Care</t>
        </is>
      </c>
      <c r="G202" t="inlineStr">
        <is>
          <t>1401 S. Grand Ave.</t>
        </is>
      </c>
      <c r="H202" t="inlineStr">
        <is>
          <t>Los Angeles</t>
        </is>
      </c>
      <c r="I202" t="inlineStr">
        <is>
          <t>Los Angeles</t>
        </is>
      </c>
      <c r="J202" t="inlineStr">
        <is>
          <t>California Hospital Medical Center - Los Angeles</t>
        </is>
      </c>
    </row>
    <row r="203">
      <c r="A203">
        <f>--ISNUMBER(IFERROR(SEARCH($C$5,Inputs!$D203,1),""))</f>
        <v/>
      </c>
      <c r="B203">
        <f>IF(A203=1,COUNTIF($A$6:A203,1),"")</f>
        <v/>
      </c>
      <c r="C203">
        <f>IFERROR(INDEX($D$6:$D$1750,MATCH(ROWS($B$6:B203),$B$6:$B$1750,0)),"")</f>
        <v/>
      </c>
      <c r="D203">
        <f>J203&amp;" ("&amp;E203&amp;")"</f>
        <v/>
      </c>
      <c r="E203" t="n">
        <v>11496</v>
      </c>
      <c r="F203" t="inlineStr">
        <is>
          <t>General Acute Care</t>
        </is>
      </c>
      <c r="G203" t="inlineStr">
        <is>
          <t>255 E. Bonita Ave.</t>
        </is>
      </c>
      <c r="H203" t="inlineStr">
        <is>
          <t>Pomona</t>
        </is>
      </c>
      <c r="I203" t="inlineStr">
        <is>
          <t>Los Angeles</t>
        </is>
      </c>
      <c r="J203" t="inlineStr">
        <is>
          <t>Casa Colina Hospital</t>
        </is>
      </c>
    </row>
    <row r="204">
      <c r="A204">
        <f>--ISNUMBER(IFERROR(SEARCH($C$5,Inputs!$D204,1),""))</f>
        <v/>
      </c>
      <c r="B204">
        <f>IF(A204=1,COUNTIF($A$6:A204,1),"")</f>
        <v/>
      </c>
      <c r="C204">
        <f>IFERROR(INDEX($D$6:$D$1750,MATCH(ROWS($B$6:B204),$B$6:$B$1750,0)),"")</f>
        <v/>
      </c>
      <c r="D204">
        <f>J204&amp;" ("&amp;E204&amp;")"</f>
        <v/>
      </c>
      <c r="E204" t="n">
        <v>11510</v>
      </c>
      <c r="F204" t="inlineStr">
        <is>
          <t>General Acute Care</t>
        </is>
      </c>
      <c r="G204" t="inlineStr">
        <is>
          <t>555 E. Hardy St.</t>
        </is>
      </c>
      <c r="H204" t="inlineStr">
        <is>
          <t>Inglewood</t>
        </is>
      </c>
      <c r="I204" t="inlineStr">
        <is>
          <t>Los Angeles</t>
        </is>
      </c>
      <c r="J204" t="inlineStr">
        <is>
          <t>Centinela Hospital Medical Center</t>
        </is>
      </c>
    </row>
    <row r="205">
      <c r="A205">
        <f>--ISNUMBER(IFERROR(SEARCH($C$5,Inputs!$D205,1),""))</f>
        <v/>
      </c>
      <c r="B205">
        <f>IF(A205=1,COUNTIF($A$6:A205,1),"")</f>
        <v/>
      </c>
      <c r="C205">
        <f>IFERROR(INDEX($D$6:$D$1750,MATCH(ROWS($B$6:B205),$B$6:$B$1750,0)),"")</f>
        <v/>
      </c>
      <c r="D205">
        <f>J205&amp;" ("&amp;E205&amp;")"</f>
        <v/>
      </c>
      <c r="E205" t="n">
        <v>11516</v>
      </c>
      <c r="F205" t="inlineStr">
        <is>
          <t>Acute Psychiatric Hospital</t>
        </is>
      </c>
      <c r="G205" t="inlineStr">
        <is>
          <t>1161 E Covina Blvd</t>
        </is>
      </c>
      <c r="H205" t="inlineStr">
        <is>
          <t>Covina</t>
        </is>
      </c>
      <c r="I205" t="inlineStr">
        <is>
          <t>Los Angeles</t>
        </is>
      </c>
      <c r="J205" t="inlineStr">
        <is>
          <t>Aurora Charter Oak</t>
        </is>
      </c>
    </row>
    <row r="206">
      <c r="A206">
        <f>--ISNUMBER(IFERROR(SEARCH($C$5,Inputs!$D206,1),""))</f>
        <v/>
      </c>
      <c r="B206">
        <f>IF(A206=1,COUNTIF($A$6:A206,1),"")</f>
        <v/>
      </c>
      <c r="C206">
        <f>IFERROR(INDEX($D$6:$D$1750,MATCH(ROWS($B$6:B206),$B$6:$B$1750,0)),"")</f>
        <v/>
      </c>
      <c r="D206">
        <f>J206&amp;" ("&amp;E206&amp;")"</f>
        <v/>
      </c>
      <c r="E206" t="n">
        <v>11525</v>
      </c>
      <c r="F206" t="inlineStr">
        <is>
          <t>General Acute Care</t>
        </is>
      </c>
      <c r="G206" t="inlineStr">
        <is>
          <t>4650 Sunset Blvd.</t>
        </is>
      </c>
      <c r="H206" t="inlineStr">
        <is>
          <t>Los Angeles</t>
        </is>
      </c>
      <c r="I206" t="inlineStr">
        <is>
          <t>Los Angeles</t>
        </is>
      </c>
      <c r="J206" t="inlineStr">
        <is>
          <t>Children's Hospital Los Angeles</t>
        </is>
      </c>
    </row>
    <row r="207">
      <c r="A207">
        <f>--ISNUMBER(IFERROR(SEARCH($C$5,Inputs!$D207,1),""))</f>
        <v/>
      </c>
      <c r="B207">
        <f>IF(A207=1,COUNTIF($A$6:A207,1),"")</f>
        <v/>
      </c>
      <c r="C207">
        <f>IFERROR(INDEX($D$6:$D$1750,MATCH(ROWS($B$6:B207),$B$6:$B$1750,0)),"")</f>
        <v/>
      </c>
      <c r="D207">
        <f>J207&amp;" ("&amp;E207&amp;")"</f>
        <v/>
      </c>
      <c r="E207" t="n">
        <v>11527</v>
      </c>
      <c r="F207" t="inlineStr">
        <is>
          <t>General Acute Care</t>
        </is>
      </c>
      <c r="G207" t="inlineStr">
        <is>
          <t>1500 E. Duarte Rd.</t>
        </is>
      </c>
      <c r="H207" t="inlineStr">
        <is>
          <t>Duarte</t>
        </is>
      </c>
      <c r="I207" t="inlineStr">
        <is>
          <t>Los Angeles</t>
        </is>
      </c>
      <c r="J207" t="inlineStr">
        <is>
          <t>City Of Hope Helford Clinical Research Hospital</t>
        </is>
      </c>
    </row>
    <row r="208">
      <c r="A208">
        <f>--ISNUMBER(IFERROR(SEARCH($C$5,Inputs!$D208,1),""))</f>
        <v/>
      </c>
      <c r="B208">
        <f>IF(A208=1,COUNTIF($A$6:A208,1),"")</f>
        <v/>
      </c>
      <c r="C208">
        <f>IFERROR(INDEX($D$6:$D$1750,MATCH(ROWS($B$6:B208),$B$6:$B$1750,0)),"")</f>
        <v/>
      </c>
      <c r="D208">
        <f>J208&amp;" ("&amp;E208&amp;")"</f>
        <v/>
      </c>
      <c r="E208" t="n">
        <v>11545</v>
      </c>
      <c r="F208" t="inlineStr">
        <is>
          <t>General Acute Care</t>
        </is>
      </c>
      <c r="G208" t="inlineStr">
        <is>
          <t>4081 E. Olympic Blvd.</t>
        </is>
      </c>
      <c r="H208" t="inlineStr">
        <is>
          <t>Los Angeles</t>
        </is>
      </c>
      <c r="I208" t="inlineStr">
        <is>
          <t>Los Angeles</t>
        </is>
      </c>
      <c r="J208" t="inlineStr">
        <is>
          <t>Los Angeles Community Hospital</t>
        </is>
      </c>
    </row>
    <row r="209">
      <c r="A209">
        <f>--ISNUMBER(IFERROR(SEARCH($C$5,Inputs!$D209,1),""))</f>
        <v/>
      </c>
      <c r="B209">
        <f>IF(A209=1,COUNTIF($A$6:A209,1),"")</f>
        <v/>
      </c>
      <c r="C209">
        <f>IFERROR(INDEX($D$6:$D$1750,MATCH(ROWS($B$6:B209),$B$6:$B$1750,0)),"")</f>
        <v/>
      </c>
      <c r="D209">
        <f>J209&amp;" ("&amp;E209&amp;")"</f>
        <v/>
      </c>
      <c r="E209" t="n">
        <v>11547</v>
      </c>
      <c r="F209" t="inlineStr">
        <is>
          <t>General Acute Care</t>
        </is>
      </c>
      <c r="G209" t="inlineStr">
        <is>
          <t>1246 W 155th St</t>
        </is>
      </c>
      <c r="H209" t="inlineStr">
        <is>
          <t>Gardena</t>
        </is>
      </c>
      <c r="I209" t="inlineStr">
        <is>
          <t>Los Angeles</t>
        </is>
      </c>
      <c r="J209" t="inlineStr">
        <is>
          <t>Kindred Hospital South Bay</t>
        </is>
      </c>
    </row>
    <row r="210">
      <c r="A210">
        <f>--ISNUMBER(IFERROR(SEARCH($C$5,Inputs!$D210,1),""))</f>
        <v/>
      </c>
      <c r="B210">
        <f>IF(A210=1,COUNTIF($A$6:A210,1),"")</f>
        <v/>
      </c>
      <c r="C210">
        <f>IFERROR(INDEX($D$6:$D$1750,MATCH(ROWS($B$6:B210),$B$6:$B$1750,0)),"")</f>
        <v/>
      </c>
      <c r="D210">
        <f>J210&amp;" ("&amp;E210&amp;")"</f>
        <v/>
      </c>
      <c r="E210" t="n">
        <v>11548</v>
      </c>
      <c r="F210" t="inlineStr">
        <is>
          <t>General Acute Care</t>
        </is>
      </c>
      <c r="G210" t="inlineStr">
        <is>
          <t>438 W. Las Tunas Dr.</t>
        </is>
      </c>
      <c r="H210" t="inlineStr">
        <is>
          <t>San Gabriel</t>
        </is>
      </c>
      <c r="I210" t="inlineStr">
        <is>
          <t>Los Angeles</t>
        </is>
      </c>
      <c r="J210" t="inlineStr">
        <is>
          <t>San Gabriel Valley Medical Center</t>
        </is>
      </c>
    </row>
    <row r="211">
      <c r="A211">
        <f>--ISNUMBER(IFERROR(SEARCH($C$5,Inputs!$D211,1),""))</f>
        <v/>
      </c>
      <c r="B211">
        <f>IF(A211=1,COUNTIF($A$6:A211,1),"")</f>
        <v/>
      </c>
      <c r="C211">
        <f>IFERROR(INDEX($D$6:$D$1750,MATCH(ROWS($B$6:B211),$B$6:$B$1750,0)),"")</f>
        <v/>
      </c>
      <c r="D211">
        <f>J211&amp;" ("&amp;E211&amp;")"</f>
        <v/>
      </c>
      <c r="E211" t="n">
        <v>11549</v>
      </c>
      <c r="F211" t="inlineStr">
        <is>
          <t>General Acute Care</t>
        </is>
      </c>
      <c r="G211" t="inlineStr">
        <is>
          <t>2623 E Slauson Ave</t>
        </is>
      </c>
      <c r="H211" t="inlineStr">
        <is>
          <t>Huntington Park</t>
        </is>
      </c>
      <c r="I211" t="inlineStr">
        <is>
          <t>Los Angeles</t>
        </is>
      </c>
      <c r="J211" t="inlineStr">
        <is>
          <t>Community Hospital Of Huntington Park</t>
        </is>
      </c>
    </row>
    <row r="212">
      <c r="A212">
        <f>--ISNUMBER(IFERROR(SEARCH($C$5,Inputs!$D212,1),""))</f>
        <v/>
      </c>
      <c r="B212">
        <f>IF(A212=1,COUNTIF($A$6:A212,1),"")</f>
        <v/>
      </c>
      <c r="C212">
        <f>IFERROR(INDEX($D$6:$D$1750,MATCH(ROWS($B$6:B212),$B$6:$B$1750,0)),"")</f>
        <v/>
      </c>
      <c r="D212">
        <f>J212&amp;" ("&amp;E212&amp;")"</f>
        <v/>
      </c>
      <c r="E212" t="n">
        <v>11598</v>
      </c>
      <c r="F212" t="inlineStr">
        <is>
          <t>General Acute Care</t>
        </is>
      </c>
      <c r="G212" t="inlineStr">
        <is>
          <t>4060 Whittier Blvd.</t>
        </is>
      </c>
      <c r="H212" t="inlineStr">
        <is>
          <t>Los Angeles</t>
        </is>
      </c>
      <c r="I212" t="inlineStr">
        <is>
          <t>Los Angeles</t>
        </is>
      </c>
      <c r="J212" t="inlineStr">
        <is>
          <t>East Los Angeles Doctors Hospital</t>
        </is>
      </c>
    </row>
    <row r="213">
      <c r="A213">
        <f>--ISNUMBER(IFERROR(SEARCH($C$5,Inputs!$D213,1),""))</f>
        <v/>
      </c>
      <c r="B213">
        <f>IF(A213=1,COUNTIF($A$6:A213,1),"")</f>
        <v/>
      </c>
      <c r="C213">
        <f>IFERROR(INDEX($D$6:$D$1750,MATCH(ROWS($B$6:B213),$B$6:$B$1750,0)),"")</f>
        <v/>
      </c>
      <c r="D213">
        <f>J213&amp;" ("&amp;E213&amp;")"</f>
        <v/>
      </c>
      <c r="E213" t="n">
        <v>11621</v>
      </c>
      <c r="F213" t="inlineStr">
        <is>
          <t>General Acute Care</t>
        </is>
      </c>
      <c r="G213" t="inlineStr">
        <is>
          <t>16237 Ventura Blvd.</t>
        </is>
      </c>
      <c r="H213" t="inlineStr">
        <is>
          <t>Encino</t>
        </is>
      </c>
      <c r="I213" t="inlineStr">
        <is>
          <t>Los Angeles</t>
        </is>
      </c>
      <c r="J213" t="inlineStr">
        <is>
          <t>Encino Hospital Medical Center</t>
        </is>
      </c>
    </row>
    <row r="214">
      <c r="A214">
        <f>--ISNUMBER(IFERROR(SEARCH($C$5,Inputs!$D214,1),""))</f>
        <v/>
      </c>
      <c r="B214">
        <f>IF(A214=1,COUNTIF($A$6:A214,1),"")</f>
        <v/>
      </c>
      <c r="C214">
        <f>IFERROR(INDEX($D$6:$D$1750,MATCH(ROWS($B$6:B214),$B$6:$B$1750,0)),"")</f>
        <v/>
      </c>
      <c r="D214">
        <f>J214&amp;" ("&amp;E214&amp;")"</f>
        <v/>
      </c>
      <c r="E214" t="n">
        <v>11658</v>
      </c>
      <c r="F214" t="inlineStr">
        <is>
          <t>General Acute Care</t>
        </is>
      </c>
      <c r="G214" t="inlineStr">
        <is>
          <t>525 N. Garfield Ave.</t>
        </is>
      </c>
      <c r="H214" t="inlineStr">
        <is>
          <t>Monterey Park</t>
        </is>
      </c>
      <c r="I214" t="inlineStr">
        <is>
          <t>Los Angeles</t>
        </is>
      </c>
      <c r="J214" t="inlineStr">
        <is>
          <t>Garfield Medical Center</t>
        </is>
      </c>
    </row>
    <row r="215">
      <c r="A215">
        <f>--ISNUMBER(IFERROR(SEARCH($C$5,Inputs!$D215,1),""))</f>
        <v/>
      </c>
      <c r="B215">
        <f>IF(A215=1,COUNTIF($A$6:A215,1),"")</f>
        <v/>
      </c>
      <c r="C215">
        <f>IFERROR(INDEX($D$6:$D$1750,MATCH(ROWS($B$6:B215),$B$6:$B$1750,0)),"")</f>
        <v/>
      </c>
      <c r="D215">
        <f>J215&amp;" ("&amp;E215&amp;")"</f>
        <v/>
      </c>
      <c r="E215" t="n">
        <v>11659</v>
      </c>
      <c r="F215" t="inlineStr">
        <is>
          <t>General Acute Care</t>
        </is>
      </c>
      <c r="G215" t="inlineStr">
        <is>
          <t>9300 Campus Point Dr</t>
        </is>
      </c>
      <c r="H215" t="inlineStr">
        <is>
          <t>La Jolla</t>
        </is>
      </c>
      <c r="I215" t="inlineStr">
        <is>
          <t>San Diego</t>
        </is>
      </c>
      <c r="J215" t="inlineStr">
        <is>
          <t>UC San Diego Health La Jolla - Jacobs Medical Center &amp; Sulpizio Cardiovascular Center</t>
        </is>
      </c>
    </row>
    <row r="216">
      <c r="A216">
        <f>--ISNUMBER(IFERROR(SEARCH($C$5,Inputs!$D216,1),""))</f>
        <v/>
      </c>
      <c r="B216">
        <f>IF(A216=1,COUNTIF($A$6:A216,1),"")</f>
        <v/>
      </c>
      <c r="C216">
        <f>IFERROR(INDEX($D$6:$D$1750,MATCH(ROWS($B$6:B216),$B$6:$B$1750,0)),"")</f>
        <v/>
      </c>
      <c r="D216">
        <f>J216&amp;" ("&amp;E216&amp;")"</f>
        <v/>
      </c>
      <c r="E216" t="n">
        <v>11661</v>
      </c>
      <c r="F216" t="inlineStr">
        <is>
          <t>Acute Psychiatric Hospital</t>
        </is>
      </c>
      <c r="G216" t="inlineStr">
        <is>
          <t>1891 Effie Street</t>
        </is>
      </c>
      <c r="H216" t="inlineStr">
        <is>
          <t>Los Angeles</t>
        </is>
      </c>
      <c r="I216" t="inlineStr">
        <is>
          <t>Los Angeles</t>
        </is>
      </c>
      <c r="J216" t="inlineStr">
        <is>
          <t>Gateways Hospital And Mental Health Center</t>
        </is>
      </c>
    </row>
    <row r="217">
      <c r="A217">
        <f>--ISNUMBER(IFERROR(SEARCH($C$5,Inputs!$D217,1),""))</f>
        <v/>
      </c>
      <c r="B217">
        <f>IF(A217=1,COUNTIF($A$6:A217,1),"")</f>
        <v/>
      </c>
      <c r="C217">
        <f>IFERROR(INDEX($D$6:$D$1750,MATCH(ROWS($B$6:B217),$B$6:$B$1750,0)),"")</f>
        <v/>
      </c>
      <c r="D217">
        <f>J217&amp;" ("&amp;E217&amp;")"</f>
        <v/>
      </c>
      <c r="E217" t="n">
        <v>11668</v>
      </c>
      <c r="F217" t="inlineStr">
        <is>
          <t>General Acute Care</t>
        </is>
      </c>
      <c r="G217" t="inlineStr">
        <is>
          <t>1509 Wilson Ter</t>
        </is>
      </c>
      <c r="H217" t="inlineStr">
        <is>
          <t>Glendale</t>
        </is>
      </c>
      <c r="I217" t="inlineStr">
        <is>
          <t>Los Angeles</t>
        </is>
      </c>
      <c r="J217" t="inlineStr">
        <is>
          <t>Adventist Health Glendale</t>
        </is>
      </c>
    </row>
    <row r="218">
      <c r="A218">
        <f>--ISNUMBER(IFERROR(SEARCH($C$5,Inputs!$D218,1),""))</f>
        <v/>
      </c>
      <c r="B218">
        <f>IF(A218=1,COUNTIF($A$6:A218,1),"")</f>
        <v/>
      </c>
      <c r="C218">
        <f>IFERROR(INDEX($D$6:$D$1750,MATCH(ROWS($B$6:B218),$B$6:$B$1750,0)),"")</f>
        <v/>
      </c>
      <c r="D218">
        <f>J218&amp;" ("&amp;E218&amp;")"</f>
        <v/>
      </c>
      <c r="E218" t="n">
        <v>11672</v>
      </c>
      <c r="F218" t="inlineStr">
        <is>
          <t>Acute Psychiatric Hospital</t>
        </is>
      </c>
      <c r="G218" t="inlineStr">
        <is>
          <t>150 W. Route 66</t>
        </is>
      </c>
      <c r="H218" t="inlineStr">
        <is>
          <t>Glendora</t>
        </is>
      </c>
      <c r="I218" t="inlineStr">
        <is>
          <t>Los Angeles</t>
        </is>
      </c>
      <c r="J218" t="inlineStr">
        <is>
          <t>Glendora Hospital</t>
        </is>
      </c>
    </row>
    <row r="219">
      <c r="A219">
        <f>--ISNUMBER(IFERROR(SEARCH($C$5,Inputs!$D219,1),""))</f>
        <v/>
      </c>
      <c r="B219">
        <f>IF(A219=1,COUNTIF($A$6:A219,1),"")</f>
        <v/>
      </c>
      <c r="C219">
        <f>IFERROR(INDEX($D$6:$D$1750,MATCH(ROWS($B$6:B219),$B$6:$B$1750,0)),"")</f>
        <v/>
      </c>
      <c r="D219">
        <f>J219&amp;" ("&amp;E219&amp;")"</f>
        <v/>
      </c>
      <c r="E219" t="n">
        <v>11704</v>
      </c>
      <c r="F219" t="inlineStr">
        <is>
          <t>General Acute Care</t>
        </is>
      </c>
      <c r="G219" t="inlineStr">
        <is>
          <t>14148 Francisquito Ave</t>
        </is>
      </c>
      <c r="H219" t="inlineStr">
        <is>
          <t>Baldwin Park</t>
        </is>
      </c>
      <c r="I219" t="inlineStr">
        <is>
          <t>Los Angeles</t>
        </is>
      </c>
      <c r="J219" t="inlineStr">
        <is>
          <t>Kindred Hospital Baldwin Park</t>
        </is>
      </c>
    </row>
    <row r="220">
      <c r="A220">
        <f>--ISNUMBER(IFERROR(SEARCH($C$5,Inputs!$D220,1),""))</f>
        <v/>
      </c>
      <c r="B220">
        <f>IF(A220=1,COUNTIF($A$6:A220,1),"")</f>
        <v/>
      </c>
      <c r="C220">
        <f>IFERROR(INDEX($D$6:$D$1750,MATCH(ROWS($B$6:B220),$B$6:$B$1750,0)),"")</f>
        <v/>
      </c>
      <c r="D220">
        <f>J220&amp;" ("&amp;E220&amp;")"</f>
        <v/>
      </c>
      <c r="E220" t="n">
        <v>11718</v>
      </c>
      <c r="F220" t="inlineStr">
        <is>
          <t>General Acute Care</t>
        </is>
      </c>
      <c r="G220" t="inlineStr">
        <is>
          <t>6245 De Longpre Ave.</t>
        </is>
      </c>
      <c r="H220" t="inlineStr">
        <is>
          <t>Hollywood</t>
        </is>
      </c>
      <c r="I220" t="inlineStr">
        <is>
          <t>Los Angeles</t>
        </is>
      </c>
      <c r="J220" t="inlineStr">
        <is>
          <t>Southern California Hospital at Hollywood</t>
        </is>
      </c>
    </row>
    <row r="221">
      <c r="A221">
        <f>--ISNUMBER(IFERROR(SEARCH($C$5,Inputs!$D221,1),""))</f>
        <v/>
      </c>
      <c r="B221">
        <f>IF(A221=1,COUNTIF($A$6:A221,1),"")</f>
        <v/>
      </c>
      <c r="C221">
        <f>IFERROR(INDEX($D$6:$D$1750,MATCH(ROWS($B$6:B221),$B$6:$B$1750,0)),"")</f>
        <v/>
      </c>
      <c r="D221">
        <f>J221&amp;" ("&amp;E221&amp;")"</f>
        <v/>
      </c>
      <c r="E221" t="n">
        <v>11722</v>
      </c>
      <c r="F221" t="inlineStr">
        <is>
          <t>General Acute Care</t>
        </is>
      </c>
      <c r="G221" t="inlineStr">
        <is>
          <t>1300 N. Vermont Ave.</t>
        </is>
      </c>
      <c r="H221" t="inlineStr">
        <is>
          <t>Los Angeles</t>
        </is>
      </c>
      <c r="I221" t="inlineStr">
        <is>
          <t>Los Angeles</t>
        </is>
      </c>
      <c r="J221" t="inlineStr">
        <is>
          <t>Hollywood Presbyterian Medical Center</t>
        </is>
      </c>
    </row>
    <row r="222">
      <c r="A222">
        <f>--ISNUMBER(IFERROR(SEARCH($C$5,Inputs!$D222,1),""))</f>
        <v/>
      </c>
      <c r="B222">
        <f>IF(A222=1,COUNTIF($A$6:A222,1),"")</f>
        <v/>
      </c>
      <c r="C222">
        <f>IFERROR(INDEX($D$6:$D$1750,MATCH(ROWS($B$6:B222),$B$6:$B$1750,0)),"")</f>
        <v/>
      </c>
      <c r="D222">
        <f>J222&amp;" ("&amp;E222&amp;")"</f>
        <v/>
      </c>
      <c r="E222" t="n">
        <v>11726</v>
      </c>
      <c r="F222" t="inlineStr">
        <is>
          <t>General Acute Care</t>
        </is>
      </c>
      <c r="G222" t="inlineStr">
        <is>
          <t>15031 Rinaldi St.</t>
        </is>
      </c>
      <c r="H222" t="inlineStr">
        <is>
          <t>Mission Hills</t>
        </is>
      </c>
      <c r="I222" t="inlineStr">
        <is>
          <t>Los Angeles</t>
        </is>
      </c>
      <c r="J222" t="inlineStr">
        <is>
          <t>Providence Holy Cross Medical Center</t>
        </is>
      </c>
    </row>
    <row r="223">
      <c r="A223">
        <f>--ISNUMBER(IFERROR(SEARCH($C$5,Inputs!$D223,1),""))</f>
        <v/>
      </c>
      <c r="B223">
        <f>IF(A223=1,COUNTIF($A$6:A223,1),"")</f>
        <v/>
      </c>
      <c r="C223">
        <f>IFERROR(INDEX($D$6:$D$1750,MATCH(ROWS($B$6:B223),$B$6:$B$1750,0)),"")</f>
        <v/>
      </c>
      <c r="D223">
        <f>J223&amp;" ("&amp;E223&amp;")"</f>
        <v/>
      </c>
      <c r="E223" t="n">
        <v>11731</v>
      </c>
      <c r="F223" t="inlineStr">
        <is>
          <t>General Acute Care</t>
        </is>
      </c>
      <c r="G223" t="inlineStr">
        <is>
          <t>1225 Wilshire Blvd</t>
        </is>
      </c>
      <c r="H223" t="inlineStr">
        <is>
          <t>Los Angeles</t>
        </is>
      </c>
      <c r="I223" t="inlineStr">
        <is>
          <t>Los Angeles</t>
        </is>
      </c>
      <c r="J223" t="inlineStr">
        <is>
          <t>PIH Health Good Samaritan Hospital</t>
        </is>
      </c>
    </row>
    <row r="224">
      <c r="A224">
        <f>--ISNUMBER(IFERROR(SEARCH($C$5,Inputs!$D224,1),""))</f>
        <v/>
      </c>
      <c r="B224">
        <f>IF(A224=1,COUNTIF($A$6:A224,1),"")</f>
        <v/>
      </c>
      <c r="C224">
        <f>IFERROR(INDEX($D$6:$D$1750,MATCH(ROWS($B$6:B224),$B$6:$B$1750,0)),"")</f>
        <v/>
      </c>
      <c r="D224">
        <f>J224&amp;" ("&amp;E224&amp;")"</f>
        <v/>
      </c>
      <c r="E224" t="n">
        <v>11733</v>
      </c>
      <c r="F224" t="inlineStr">
        <is>
          <t>General Acute Care</t>
        </is>
      </c>
      <c r="G224" t="inlineStr">
        <is>
          <t>100 W. California Blvd.</t>
        </is>
      </c>
      <c r="H224" t="inlineStr">
        <is>
          <t>Pasadena</t>
        </is>
      </c>
      <c r="I224" t="inlineStr">
        <is>
          <t>Los Angeles</t>
        </is>
      </c>
      <c r="J224" t="inlineStr">
        <is>
          <t>Huntington Hospital</t>
        </is>
      </c>
    </row>
    <row r="225">
      <c r="A225">
        <f>--ISNUMBER(IFERROR(SEARCH($C$5,Inputs!$D225,1),""))</f>
        <v/>
      </c>
      <c r="B225">
        <f>IF(A225=1,COUNTIF($A$6:A225,1),"")</f>
        <v/>
      </c>
      <c r="C225">
        <f>IFERROR(INDEX($D$6:$D$1750,MATCH(ROWS($B$6:B225),$B$6:$B$1750,0)),"")</f>
        <v/>
      </c>
      <c r="D225">
        <f>J225&amp;" ("&amp;E225&amp;")"</f>
        <v/>
      </c>
      <c r="E225" t="n">
        <v>11741</v>
      </c>
      <c r="F225" t="inlineStr">
        <is>
          <t>Acute Psychiatric Hospital</t>
        </is>
      </c>
      <c r="G225" t="inlineStr">
        <is>
          <t>7500 Hellman Ave</t>
        </is>
      </c>
      <c r="H225" t="inlineStr">
        <is>
          <t>Rosemead</t>
        </is>
      </c>
      <c r="I225" t="inlineStr">
        <is>
          <t>Los Angeles</t>
        </is>
      </c>
      <c r="J225" t="inlineStr">
        <is>
          <t>L.A. Downtown Medical Center - Ingleside Campus D/P APH</t>
        </is>
      </c>
    </row>
    <row r="226">
      <c r="A226">
        <f>--ISNUMBER(IFERROR(SEARCH($C$5,Inputs!$D226,1),""))</f>
        <v/>
      </c>
      <c r="B226">
        <f>IF(A226=1,COUNTIF($A$6:A226,1),"")</f>
        <v/>
      </c>
      <c r="C226">
        <f>IFERROR(INDEX($D$6:$D$1750,MATCH(ROWS($B$6:B226),$B$6:$B$1750,0)),"")</f>
        <v/>
      </c>
      <c r="D226">
        <f>J226&amp;" ("&amp;E226&amp;")"</f>
        <v/>
      </c>
      <c r="E226" t="n">
        <v>11748</v>
      </c>
      <c r="F226" t="inlineStr">
        <is>
          <t>General Acute Care</t>
        </is>
      </c>
      <c r="G226" t="inlineStr">
        <is>
          <t>210 W San Bernardino Rd</t>
        </is>
      </c>
      <c r="H226" t="inlineStr">
        <is>
          <t>Covina</t>
        </is>
      </c>
      <c r="I226" t="inlineStr">
        <is>
          <t>Los Angeles</t>
        </is>
      </c>
      <c r="J226" t="inlineStr">
        <is>
          <t>Emanate Health Inter-Community Hospital</t>
        </is>
      </c>
    </row>
    <row r="227">
      <c r="A227">
        <f>--ISNUMBER(IFERROR(SEARCH($C$5,Inputs!$D227,1),""))</f>
        <v/>
      </c>
      <c r="B227">
        <f>IF(A227=1,COUNTIF($A$6:A227,1),"")</f>
        <v/>
      </c>
      <c r="C227">
        <f>IFERROR(INDEX($D$6:$D$1750,MATCH(ROWS($B$6:B227),$B$6:$B$1750,0)),"")</f>
        <v/>
      </c>
      <c r="D227">
        <f>J227&amp;" ("&amp;E227&amp;")"</f>
        <v/>
      </c>
      <c r="E227" t="n">
        <v>11758</v>
      </c>
      <c r="F227" t="inlineStr">
        <is>
          <t>General Acute Care</t>
        </is>
      </c>
      <c r="G227" t="inlineStr">
        <is>
          <t>25825 S. Vermont Avenue</t>
        </is>
      </c>
      <c r="H227" t="inlineStr">
        <is>
          <t>Harbor City</t>
        </is>
      </c>
      <c r="I227" t="inlineStr">
        <is>
          <t>Los Angeles</t>
        </is>
      </c>
      <c r="J227" t="inlineStr">
        <is>
          <t>Kaiser Foundation Hospital - South Bay</t>
        </is>
      </c>
    </row>
    <row r="228">
      <c r="A228">
        <f>--ISNUMBER(IFERROR(SEARCH($C$5,Inputs!$D228,1),""))</f>
        <v/>
      </c>
      <c r="B228">
        <f>IF(A228=1,COUNTIF($A$6:A228,1),"")</f>
        <v/>
      </c>
      <c r="C228">
        <f>IFERROR(INDEX($D$6:$D$1750,MATCH(ROWS($B$6:B228),$B$6:$B$1750,0)),"")</f>
        <v/>
      </c>
      <c r="D228">
        <f>J228&amp;" ("&amp;E228&amp;")"</f>
        <v/>
      </c>
      <c r="E228" t="n">
        <v>11759</v>
      </c>
      <c r="F228" t="inlineStr">
        <is>
          <t>General Acute Care</t>
        </is>
      </c>
      <c r="G228" t="inlineStr">
        <is>
          <t>13652 Cantara St.</t>
        </is>
      </c>
      <c r="H228" t="inlineStr">
        <is>
          <t>Panorama City</t>
        </is>
      </c>
      <c r="I228" t="inlineStr">
        <is>
          <t>Los Angeles</t>
        </is>
      </c>
      <c r="J228" t="inlineStr">
        <is>
          <t>Kaiser Foundation Hospital - Panorama City</t>
        </is>
      </c>
    </row>
    <row r="229">
      <c r="A229">
        <f>--ISNUMBER(IFERROR(SEARCH($C$5,Inputs!$D229,1),""))</f>
        <v/>
      </c>
      <c r="B229">
        <f>IF(A229=1,COUNTIF($A$6:A229,1),"")</f>
        <v/>
      </c>
      <c r="C229">
        <f>IFERROR(INDEX($D$6:$D$1750,MATCH(ROWS($B$6:B229),$B$6:$B$1750,0)),"")</f>
        <v/>
      </c>
      <c r="D229">
        <f>J229&amp;" ("&amp;E229&amp;")"</f>
        <v/>
      </c>
      <c r="E229" t="n">
        <v>11760</v>
      </c>
      <c r="F229" t="inlineStr">
        <is>
          <t>General Acute Care</t>
        </is>
      </c>
      <c r="G229" t="inlineStr">
        <is>
          <t>4867 Sunset Blvd.</t>
        </is>
      </c>
      <c r="H229" t="inlineStr">
        <is>
          <t>Los Angeles</t>
        </is>
      </c>
      <c r="I229" t="inlineStr">
        <is>
          <t>Los Angeles</t>
        </is>
      </c>
      <c r="J229" t="inlineStr">
        <is>
          <t>Kaiser Foundation Hospital - Los Angeles</t>
        </is>
      </c>
    </row>
    <row r="230">
      <c r="A230">
        <f>--ISNUMBER(IFERROR(SEARCH($C$5,Inputs!$D230,1),""))</f>
        <v/>
      </c>
      <c r="B230">
        <f>IF(A230=1,COUNTIF($A$6:A230,1),"")</f>
        <v/>
      </c>
      <c r="C230">
        <f>IFERROR(INDEX($D$6:$D$1750,MATCH(ROWS($B$6:B230),$B$6:$B$1750,0)),"")</f>
        <v/>
      </c>
      <c r="D230">
        <f>J230&amp;" ("&amp;E230&amp;")"</f>
        <v/>
      </c>
      <c r="E230" t="n">
        <v>11768</v>
      </c>
      <c r="F230" t="inlineStr">
        <is>
          <t>General Acute Care</t>
        </is>
      </c>
      <c r="G230" t="inlineStr">
        <is>
          <t>14900 Imperial Hwy</t>
        </is>
      </c>
      <c r="H230" t="inlineStr">
        <is>
          <t>La Mirada</t>
        </is>
      </c>
      <c r="I230" t="inlineStr">
        <is>
          <t>Los Angeles</t>
        </is>
      </c>
      <c r="J230" t="inlineStr">
        <is>
          <t>Kindred Hospital - La Mirada</t>
        </is>
      </c>
    </row>
    <row r="231">
      <c r="A231">
        <f>--ISNUMBER(IFERROR(SEARCH($C$5,Inputs!$D231,1),""))</f>
        <v/>
      </c>
      <c r="B231">
        <f>IF(A231=1,COUNTIF($A$6:A231,1),"")</f>
        <v/>
      </c>
      <c r="C231">
        <f>IFERROR(INDEX($D$6:$D$1750,MATCH(ROWS($B$6:B231),$B$6:$B$1750,0)),"")</f>
        <v/>
      </c>
      <c r="D231">
        <f>J231&amp;" ("&amp;E231&amp;")"</f>
        <v/>
      </c>
      <c r="E231" t="n">
        <v>11776</v>
      </c>
      <c r="F231" t="inlineStr">
        <is>
          <t>General Acute Care</t>
        </is>
      </c>
      <c r="G231" t="inlineStr">
        <is>
          <t>845 N. Lark Ellen Ave.</t>
        </is>
      </c>
      <c r="H231" t="inlineStr">
        <is>
          <t>West Covina</t>
        </is>
      </c>
      <c r="I231" t="inlineStr">
        <is>
          <t>Los Angeles</t>
        </is>
      </c>
      <c r="J231" t="inlineStr">
        <is>
          <t>Kindred Hospital - San Gabriel Valley</t>
        </is>
      </c>
    </row>
    <row r="232">
      <c r="A232">
        <f>--ISNUMBER(IFERROR(SEARCH($C$5,Inputs!$D232,1),""))</f>
        <v/>
      </c>
      <c r="B232">
        <f>IF(A232=1,COUNTIF($A$6:A232,1),"")</f>
        <v/>
      </c>
      <c r="C232">
        <f>IFERROR(INDEX($D$6:$D$1750,MATCH(ROWS($B$6:B232),$B$6:$B$1750,0)),"")</f>
        <v/>
      </c>
      <c r="D232">
        <f>J232&amp;" ("&amp;E232&amp;")"</f>
        <v/>
      </c>
      <c r="E232" t="n">
        <v>11778</v>
      </c>
      <c r="F232" t="inlineStr">
        <is>
          <t>Acute Psychiatric Hospital</t>
        </is>
      </c>
      <c r="G232" t="inlineStr">
        <is>
          <t>2900 E Del Mar Blvd.</t>
        </is>
      </c>
      <c r="H232" t="inlineStr">
        <is>
          <t>Pasadena</t>
        </is>
      </c>
      <c r="I232" t="inlineStr">
        <is>
          <t>Los Angeles</t>
        </is>
      </c>
      <c r="J232" t="inlineStr">
        <is>
          <t>Aurora Las Encinas Hospital</t>
        </is>
      </c>
    </row>
    <row r="233">
      <c r="A233">
        <f>--ISNUMBER(IFERROR(SEARCH($C$5,Inputs!$D233,1),""))</f>
        <v/>
      </c>
      <c r="B233">
        <f>IF(A233=1,COUNTIF($A$6:A233,1),"")</f>
        <v/>
      </c>
      <c r="C233">
        <f>IFERROR(INDEX($D$6:$D$1750,MATCH(ROWS($B$6:B233),$B$6:$B$1750,0)),"")</f>
        <v/>
      </c>
      <c r="D233">
        <f>J233&amp;" ("&amp;E233&amp;")"</f>
        <v/>
      </c>
      <c r="E233" t="n">
        <v>11787</v>
      </c>
      <c r="F233" t="inlineStr">
        <is>
          <t>General Acute Care</t>
        </is>
      </c>
      <c r="G233" t="inlineStr">
        <is>
          <t>4101 Torrance Blvd.</t>
        </is>
      </c>
      <c r="H233" t="inlineStr">
        <is>
          <t>Torrance</t>
        </is>
      </c>
      <c r="I233" t="inlineStr">
        <is>
          <t>Los Angeles</t>
        </is>
      </c>
      <c r="J233" t="inlineStr">
        <is>
          <t>Providence Little Company of Mary Medical Center Torrance</t>
        </is>
      </c>
    </row>
    <row r="234">
      <c r="A234">
        <f>--ISNUMBER(IFERROR(SEARCH($C$5,Inputs!$D234,1),""))</f>
        <v/>
      </c>
      <c r="B234">
        <f>IF(A234=1,COUNTIF($A$6:A234,1),"")</f>
        <v/>
      </c>
      <c r="C234">
        <f>IFERROR(INDEX($D$6:$D$1750,MATCH(ROWS($B$6:B234),$B$6:$B$1750,0)),"")</f>
        <v/>
      </c>
      <c r="D234">
        <f>J234&amp;" ("&amp;E234&amp;")"</f>
        <v/>
      </c>
      <c r="E234" t="n">
        <v>11792</v>
      </c>
      <c r="F234" t="inlineStr">
        <is>
          <t>General Acute Care</t>
        </is>
      </c>
      <c r="G234" t="inlineStr">
        <is>
          <t>1720 Termino Ave.</t>
        </is>
      </c>
      <c r="H234" t="inlineStr">
        <is>
          <t>Long Beach</t>
        </is>
      </c>
      <c r="I234" t="inlineStr">
        <is>
          <t>Los Angeles</t>
        </is>
      </c>
      <c r="J234" t="inlineStr">
        <is>
          <t>Community Hospital Long Beach</t>
        </is>
      </c>
    </row>
    <row r="235">
      <c r="A235">
        <f>--ISNUMBER(IFERROR(SEARCH($C$5,Inputs!$D235,1),""))</f>
        <v/>
      </c>
      <c r="B235">
        <f>IF(A235=1,COUNTIF($A$6:A235,1),"")</f>
        <v/>
      </c>
      <c r="C235">
        <f>IFERROR(INDEX($D$6:$D$1750,MATCH(ROWS($B$6:B235),$B$6:$B$1750,0)),"")</f>
        <v/>
      </c>
      <c r="D235">
        <f>J235&amp;" ("&amp;E235&amp;")"</f>
        <v/>
      </c>
      <c r="E235" t="n">
        <v>11795</v>
      </c>
      <c r="F235" t="inlineStr">
        <is>
          <t>Acute Psychiatric Hospital</t>
        </is>
      </c>
      <c r="G235" t="inlineStr">
        <is>
          <t>1725 Pacific Ave.</t>
        </is>
      </c>
      <c r="H235" t="inlineStr">
        <is>
          <t>Long Beach</t>
        </is>
      </c>
      <c r="I235" t="inlineStr">
        <is>
          <t>Los Angeles</t>
        </is>
      </c>
      <c r="J235" t="inlineStr">
        <is>
          <t>College Medical Center South Campus D/P APH</t>
        </is>
      </c>
    </row>
    <row r="236">
      <c r="A236">
        <f>--ISNUMBER(IFERROR(SEARCH($C$5,Inputs!$D236,1),""))</f>
        <v/>
      </c>
      <c r="B236">
        <f>IF(A236=1,COUNTIF($A$6:A236,1),"")</f>
        <v/>
      </c>
      <c r="C236">
        <f>IFERROR(INDEX($D$6:$D$1750,MATCH(ROWS($B$6:B236),$B$6:$B$1750,0)),"")</f>
        <v/>
      </c>
      <c r="D236">
        <f>J236&amp;" ("&amp;E236&amp;")"</f>
        <v/>
      </c>
      <c r="E236" t="n">
        <v>11809</v>
      </c>
      <c r="F236" t="inlineStr">
        <is>
          <t>General Acute Care</t>
        </is>
      </c>
      <c r="G236" t="inlineStr">
        <is>
          <t>1000 West Carson St.</t>
        </is>
      </c>
      <c r="H236" t="inlineStr">
        <is>
          <t>Torrance</t>
        </is>
      </c>
      <c r="I236" t="inlineStr">
        <is>
          <t>Los Angeles</t>
        </is>
      </c>
      <c r="J236" t="inlineStr">
        <is>
          <t>LAC/Harbor-UCLA Medical Center</t>
        </is>
      </c>
    </row>
    <row r="237">
      <c r="A237">
        <f>--ISNUMBER(IFERROR(SEARCH($C$5,Inputs!$D237,1),""))</f>
        <v/>
      </c>
      <c r="B237">
        <f>IF(A237=1,COUNTIF($A$6:A237,1),"")</f>
        <v/>
      </c>
      <c r="C237">
        <f>IFERROR(INDEX($D$6:$D$1750,MATCH(ROWS($B$6:B237),$B$6:$B$1750,0)),"")</f>
        <v/>
      </c>
      <c r="D237">
        <f>J237&amp;" ("&amp;E237&amp;")"</f>
        <v/>
      </c>
      <c r="E237" t="n">
        <v>11810</v>
      </c>
      <c r="F237" t="inlineStr">
        <is>
          <t>General Acute Care</t>
        </is>
      </c>
      <c r="G237" t="inlineStr">
        <is>
          <t>1200 N. State St.</t>
        </is>
      </c>
      <c r="H237" t="inlineStr">
        <is>
          <t>Los Angeles</t>
        </is>
      </c>
      <c r="I237" t="inlineStr">
        <is>
          <t>Los Angeles</t>
        </is>
      </c>
      <c r="J237" t="inlineStr">
        <is>
          <t>LAC+USC Medical Center</t>
        </is>
      </c>
    </row>
    <row r="238">
      <c r="A238">
        <f>--ISNUMBER(IFERROR(SEARCH($C$5,Inputs!$D238,1),""))</f>
        <v/>
      </c>
      <c r="B238">
        <f>IF(A238=1,COUNTIF($A$6:A238,1),"")</f>
        <v/>
      </c>
      <c r="C238">
        <f>IFERROR(INDEX($D$6:$D$1750,MATCH(ROWS($B$6:B238),$B$6:$B$1750,0)),"")</f>
        <v/>
      </c>
      <c r="D238">
        <f>J238&amp;" ("&amp;E238&amp;")"</f>
        <v/>
      </c>
      <c r="E238" t="n">
        <v>11843</v>
      </c>
      <c r="F238" t="inlineStr">
        <is>
          <t>General Acute Care</t>
        </is>
      </c>
      <c r="G238" t="inlineStr">
        <is>
          <t>1145 W. Redondo Beach Blvd.</t>
        </is>
      </c>
      <c r="H238" t="inlineStr">
        <is>
          <t>Gardena</t>
        </is>
      </c>
      <c r="I238" t="inlineStr">
        <is>
          <t>Los Angeles</t>
        </is>
      </c>
      <c r="J238" t="inlineStr">
        <is>
          <t>Memorial Hospital of Gardena</t>
        </is>
      </c>
    </row>
    <row r="239">
      <c r="A239">
        <f>--ISNUMBER(IFERROR(SEARCH($C$5,Inputs!$D239,1),""))</f>
        <v/>
      </c>
      <c r="B239">
        <f>IF(A239=1,COUNTIF($A$6:A239,1),"")</f>
        <v/>
      </c>
      <c r="C239">
        <f>IFERROR(INDEX($D$6:$D$1750,MATCH(ROWS($B$6:B239),$B$6:$B$1750,0)),"")</f>
        <v/>
      </c>
      <c r="D239">
        <f>J239&amp;" ("&amp;E239&amp;")"</f>
        <v/>
      </c>
      <c r="E239" t="n">
        <v>11844</v>
      </c>
      <c r="F239" t="inlineStr">
        <is>
          <t>General Acute Care</t>
        </is>
      </c>
      <c r="G239" t="inlineStr">
        <is>
          <t>1420 S. Central Ave.</t>
        </is>
      </c>
      <c r="H239" t="inlineStr">
        <is>
          <t>Glendale</t>
        </is>
      </c>
      <c r="I239" t="inlineStr">
        <is>
          <t>Los Angeles</t>
        </is>
      </c>
      <c r="J239" t="inlineStr">
        <is>
          <t>Glendale Memorial Hospital and Health Center</t>
        </is>
      </c>
    </row>
    <row r="240">
      <c r="A240">
        <f>--ISNUMBER(IFERROR(SEARCH($C$5,Inputs!$D240,1),""))</f>
        <v/>
      </c>
      <c r="B240">
        <f>IF(A240=1,COUNTIF($A$6:A240,1),"")</f>
        <v/>
      </c>
      <c r="C240">
        <f>IFERROR(INDEX($D$6:$D$1750,MATCH(ROWS($B$6:B240),$B$6:$B$1750,0)),"")</f>
        <v/>
      </c>
      <c r="D240">
        <f>J240&amp;" ("&amp;E240&amp;")"</f>
        <v/>
      </c>
      <c r="E240" t="n">
        <v>11845</v>
      </c>
      <c r="F240" t="inlineStr">
        <is>
          <t>Acute Psychiatric Hospital</t>
        </is>
      </c>
      <c r="G240" t="inlineStr">
        <is>
          <t>13300 Hawthorne Blvd.</t>
        </is>
      </c>
      <c r="H240" t="inlineStr">
        <is>
          <t>Hawthorne</t>
        </is>
      </c>
      <c r="I240" t="inlineStr">
        <is>
          <t>Los Angeles</t>
        </is>
      </c>
      <c r="J240" t="inlineStr">
        <is>
          <t>College Medical Center Hawthorne Campus</t>
        </is>
      </c>
    </row>
    <row r="241">
      <c r="A241">
        <f>--ISNUMBER(IFERROR(SEARCH($C$5,Inputs!$D241,1),""))</f>
        <v/>
      </c>
      <c r="B241">
        <f>IF(A241=1,COUNTIF($A$6:A241,1),"")</f>
        <v/>
      </c>
      <c r="C241">
        <f>IFERROR(INDEX($D$6:$D$1750,MATCH(ROWS($B$6:B241),$B$6:$B$1750,0)),"")</f>
        <v/>
      </c>
      <c r="D241">
        <f>J241&amp;" ("&amp;E241&amp;")"</f>
        <v/>
      </c>
      <c r="E241" t="n">
        <v>11846</v>
      </c>
      <c r="F241" t="inlineStr">
        <is>
          <t>General Acute Care</t>
        </is>
      </c>
      <c r="G241" t="inlineStr">
        <is>
          <t>2801 Atlantic Ave.</t>
        </is>
      </c>
      <c r="H241" t="inlineStr">
        <is>
          <t>Long Beach</t>
        </is>
      </c>
      <c r="I241" t="inlineStr">
        <is>
          <t>Los Angeles</t>
        </is>
      </c>
      <c r="J241" t="inlineStr">
        <is>
          <t>Memorialcare Long Beach Medical Center</t>
        </is>
      </c>
    </row>
    <row r="242">
      <c r="A242">
        <f>--ISNUMBER(IFERROR(SEARCH($C$5,Inputs!$D242,1),""))</f>
        <v/>
      </c>
      <c r="B242">
        <f>IF(A242=1,COUNTIF($A$6:A242,1),"")</f>
        <v/>
      </c>
      <c r="C242">
        <f>IFERROR(INDEX($D$6:$D$1750,MATCH(ROWS($B$6:B242),$B$6:$B$1750,0)),"")</f>
        <v/>
      </c>
      <c r="D242">
        <f>J242&amp;" ("&amp;E242&amp;")"</f>
        <v/>
      </c>
      <c r="E242" t="n">
        <v>11847</v>
      </c>
      <c r="F242" t="inlineStr">
        <is>
          <t>General Acute Care</t>
        </is>
      </c>
      <c r="G242" t="inlineStr">
        <is>
          <t>14850 Roscoe Blvd.</t>
        </is>
      </c>
      <c r="H242" t="inlineStr">
        <is>
          <t>Panorama City</t>
        </is>
      </c>
      <c r="I242" t="inlineStr">
        <is>
          <t>Los Angeles</t>
        </is>
      </c>
      <c r="J242" t="inlineStr">
        <is>
          <t>Mission Community Hospital</t>
        </is>
      </c>
    </row>
    <row r="243">
      <c r="A243">
        <f>--ISNUMBER(IFERROR(SEARCH($C$5,Inputs!$D243,1),""))</f>
        <v/>
      </c>
      <c r="B243">
        <f>IF(A243=1,COUNTIF($A$6:A243,1),"")</f>
        <v/>
      </c>
      <c r="C243">
        <f>IFERROR(INDEX($D$6:$D$1750,MATCH(ROWS($B$6:B243),$B$6:$B$1750,0)),"")</f>
        <v/>
      </c>
      <c r="D243">
        <f>J243&amp;" ("&amp;E243&amp;")"</f>
        <v/>
      </c>
      <c r="E243" t="n">
        <v>11848</v>
      </c>
      <c r="F243" t="inlineStr">
        <is>
          <t>General Acute Care</t>
        </is>
      </c>
      <c r="G243" t="inlineStr">
        <is>
          <t>3828 Delmas Ter</t>
        </is>
      </c>
      <c r="H243" t="inlineStr">
        <is>
          <t>Culver City</t>
        </is>
      </c>
      <c r="I243" t="inlineStr">
        <is>
          <t>Los Angeles</t>
        </is>
      </c>
      <c r="J243" t="inlineStr">
        <is>
          <t>Southern California Hospital At Culver City</t>
        </is>
      </c>
    </row>
    <row r="244">
      <c r="A244">
        <f>--ISNUMBER(IFERROR(SEARCH($C$5,Inputs!$D244,1),""))</f>
        <v/>
      </c>
      <c r="B244">
        <f>IF(A244=1,COUNTIF($A$6:A244,1),"")</f>
        <v/>
      </c>
      <c r="C244">
        <f>IFERROR(INDEX($D$6:$D$1750,MATCH(ROWS($B$6:B244),$B$6:$B$1750,0)),"")</f>
        <v/>
      </c>
      <c r="D244">
        <f>J244&amp;" ("&amp;E244&amp;")"</f>
        <v/>
      </c>
      <c r="E244" t="n">
        <v>11858</v>
      </c>
      <c r="F244" t="inlineStr">
        <is>
          <t>General Acute Care</t>
        </is>
      </c>
      <c r="G244" t="inlineStr">
        <is>
          <t>300 W. Huntington Dr.</t>
        </is>
      </c>
      <c r="H244" t="inlineStr">
        <is>
          <t>Arcadia</t>
        </is>
      </c>
      <c r="I244" t="inlineStr">
        <is>
          <t>Los Angeles</t>
        </is>
      </c>
      <c r="J244" t="inlineStr">
        <is>
          <t>USC Arcadia Hospital</t>
        </is>
      </c>
    </row>
    <row r="245">
      <c r="A245">
        <f>--ISNUMBER(IFERROR(SEARCH($C$5,Inputs!$D245,1),""))</f>
        <v/>
      </c>
      <c r="B245">
        <f>IF(A245=1,COUNTIF($A$6:A245,1),"")</f>
        <v/>
      </c>
      <c r="C245">
        <f>IFERROR(INDEX($D$6:$D$1750,MATCH(ROWS($B$6:B245),$B$6:$B$1750,0)),"")</f>
        <v/>
      </c>
      <c r="D245">
        <f>J245&amp;" ("&amp;E245&amp;")"</f>
        <v/>
      </c>
      <c r="E245" t="n">
        <v>11863</v>
      </c>
      <c r="F245" t="inlineStr">
        <is>
          <t>General Acute Care</t>
        </is>
      </c>
      <c r="G245" t="inlineStr">
        <is>
          <t>5900 W Olympic Blvd</t>
        </is>
      </c>
      <c r="H245" t="inlineStr">
        <is>
          <t>Los Angeles</t>
        </is>
      </c>
      <c r="I245" t="inlineStr">
        <is>
          <t>Los Angeles</t>
        </is>
      </c>
      <c r="J245" t="inlineStr">
        <is>
          <t>Olympia Medical Center</t>
        </is>
      </c>
    </row>
    <row r="246">
      <c r="A246">
        <f>--ISNUMBER(IFERROR(SEARCH($C$5,Inputs!$D246,1),""))</f>
        <v/>
      </c>
      <c r="B246">
        <f>IF(A246=1,COUNTIF($A$6:A246,1),"")</f>
        <v/>
      </c>
      <c r="C246">
        <f>IFERROR(INDEX($D$6:$D$1750,MATCH(ROWS($B$6:B246),$B$6:$B$1750,0)),"")</f>
        <v/>
      </c>
      <c r="D246">
        <f>J246&amp;" ("&amp;E246&amp;")"</f>
        <v/>
      </c>
      <c r="E246" t="n">
        <v>11874</v>
      </c>
      <c r="F246" t="inlineStr">
        <is>
          <t>General Acute Care</t>
        </is>
      </c>
      <c r="G246" t="inlineStr">
        <is>
          <t>323 S. Heliotrope Ave.</t>
        </is>
      </c>
      <c r="H246" t="inlineStr">
        <is>
          <t>Monrovia</t>
        </is>
      </c>
      <c r="I246" t="inlineStr">
        <is>
          <t>Los Angeles</t>
        </is>
      </c>
      <c r="J246" t="inlineStr">
        <is>
          <t>Monrovia Memorial Hospital</t>
        </is>
      </c>
    </row>
    <row r="247">
      <c r="A247">
        <f>--ISNUMBER(IFERROR(SEARCH($C$5,Inputs!$D247,1),""))</f>
        <v/>
      </c>
      <c r="B247">
        <f>IF(A247=1,COUNTIF($A$6:A247,1),"")</f>
        <v/>
      </c>
      <c r="C247">
        <f>IFERROR(INDEX($D$6:$D$1750,MATCH(ROWS($B$6:B247),$B$6:$B$1750,0)),"")</f>
        <v/>
      </c>
      <c r="D247">
        <f>J247&amp;" ("&amp;E247&amp;")"</f>
        <v/>
      </c>
      <c r="E247" t="n">
        <v>11887</v>
      </c>
      <c r="F247" t="inlineStr">
        <is>
          <t>Acute Psychiatric Hospital</t>
        </is>
      </c>
      <c r="G247" t="inlineStr">
        <is>
          <t>23388 Mulholland Dr.</t>
        </is>
      </c>
      <c r="H247" t="inlineStr">
        <is>
          <t>Woodland Hills</t>
        </is>
      </c>
      <c r="I247" t="inlineStr">
        <is>
          <t>Los Angeles</t>
        </is>
      </c>
      <c r="J247" t="inlineStr">
        <is>
          <t>Motion Picture &amp; Television Hospital</t>
        </is>
      </c>
    </row>
    <row r="248">
      <c r="A248">
        <f>--ISNUMBER(IFERROR(SEARCH($C$5,Inputs!$D248,1),""))</f>
        <v/>
      </c>
      <c r="B248">
        <f>IF(A248=1,COUNTIF($A$6:A248,1),"")</f>
        <v/>
      </c>
      <c r="C248">
        <f>IFERROR(INDEX($D$6:$D$1750,MATCH(ROWS($B$6:B248),$B$6:$B$1750,0)),"")</f>
        <v/>
      </c>
      <c r="D248">
        <f>J248&amp;" ("&amp;E248&amp;")"</f>
        <v/>
      </c>
      <c r="E248" t="n">
        <v>11891</v>
      </c>
      <c r="F248" t="inlineStr">
        <is>
          <t>General Acute Care</t>
        </is>
      </c>
      <c r="G248" t="inlineStr">
        <is>
          <t>8700 Beverly Blvd.</t>
        </is>
      </c>
      <c r="H248" t="inlineStr">
        <is>
          <t>Los Angeles</t>
        </is>
      </c>
      <c r="I248" t="inlineStr">
        <is>
          <t>Los Angeles</t>
        </is>
      </c>
      <c r="J248" t="inlineStr">
        <is>
          <t>Cedars-Sinai Medical Center</t>
        </is>
      </c>
    </row>
    <row r="249">
      <c r="A249">
        <f>--ISNUMBER(IFERROR(SEARCH($C$5,Inputs!$D249,1),""))</f>
        <v/>
      </c>
      <c r="B249">
        <f>IF(A249=1,COUNTIF($A$6:A249,1),"")</f>
        <v/>
      </c>
      <c r="C249">
        <f>IFERROR(INDEX($D$6:$D$1750,MATCH(ROWS($B$6:B249),$B$6:$B$1750,0)),"")</f>
        <v/>
      </c>
      <c r="D249">
        <f>J249&amp;" ("&amp;E249&amp;")"</f>
        <v/>
      </c>
      <c r="E249" t="n">
        <v>11906</v>
      </c>
      <c r="F249" t="inlineStr">
        <is>
          <t>General Acute Care</t>
        </is>
      </c>
      <c r="G249" t="inlineStr">
        <is>
          <t>18300 Roscoe Blvd.</t>
        </is>
      </c>
      <c r="H249" t="inlineStr">
        <is>
          <t>Northridge</t>
        </is>
      </c>
      <c r="I249" t="inlineStr">
        <is>
          <t>Los Angeles</t>
        </is>
      </c>
      <c r="J249" t="inlineStr">
        <is>
          <t>Northridge Hospital Medical Center</t>
        </is>
      </c>
    </row>
    <row r="250">
      <c r="A250">
        <f>--ISNUMBER(IFERROR(SEARCH($C$5,Inputs!$D250,1),""))</f>
        <v/>
      </c>
      <c r="B250">
        <f>IF(A250=1,COUNTIF($A$6:A250,1),"")</f>
        <v/>
      </c>
      <c r="C250">
        <f>IFERROR(INDEX($D$6:$D$1750,MATCH(ROWS($B$6:B250),$B$6:$B$1750,0)),"")</f>
        <v/>
      </c>
      <c r="D250">
        <f>J250&amp;" ("&amp;E250&amp;")"</f>
        <v/>
      </c>
      <c r="E250" t="n">
        <v>11910</v>
      </c>
      <c r="F250" t="inlineStr">
        <is>
          <t>General Acute Care</t>
        </is>
      </c>
      <c r="G250" t="inlineStr">
        <is>
          <t>13222 Bloomfield Ave.</t>
        </is>
      </c>
      <c r="H250" t="inlineStr">
        <is>
          <t>Norwalk</t>
        </is>
      </c>
      <c r="I250" t="inlineStr">
        <is>
          <t>Los Angeles</t>
        </is>
      </c>
      <c r="J250" t="inlineStr">
        <is>
          <t>Norwalk Community Hospital</t>
        </is>
      </c>
    </row>
    <row r="251">
      <c r="A251">
        <f>--ISNUMBER(IFERROR(SEARCH($C$5,Inputs!$D251,1),""))</f>
        <v/>
      </c>
      <c r="B251">
        <f>IF(A251=1,COUNTIF($A$6:A251,1),"")</f>
        <v/>
      </c>
      <c r="C251">
        <f>IFERROR(INDEX($D$6:$D$1750,MATCH(ROWS($B$6:B251),$B$6:$B$1750,0)),"")</f>
        <v/>
      </c>
      <c r="D251">
        <f>J251&amp;" ("&amp;E251&amp;")"</f>
        <v/>
      </c>
      <c r="E251" t="n">
        <v>11927</v>
      </c>
      <c r="F251" t="inlineStr">
        <is>
          <t>General Acute Care</t>
        </is>
      </c>
      <c r="G251" t="inlineStr">
        <is>
          <t>2776 Pacific Ave.</t>
        </is>
      </c>
      <c r="H251" t="inlineStr">
        <is>
          <t>Long Beach</t>
        </is>
      </c>
      <c r="I251" t="inlineStr">
        <is>
          <t>Los Angeles</t>
        </is>
      </c>
      <c r="J251" t="inlineStr">
        <is>
          <t>College Medical Center</t>
        </is>
      </c>
    </row>
    <row r="252">
      <c r="A252">
        <f>--ISNUMBER(IFERROR(SEARCH($C$5,Inputs!$D252,1),""))</f>
        <v/>
      </c>
      <c r="B252">
        <f>IF(A252=1,COUNTIF($A$6:A252,1),"")</f>
        <v/>
      </c>
      <c r="C252">
        <f>IFERROR(INDEX($D$6:$D$1750,MATCH(ROWS($B$6:B252),$B$6:$B$1750,0)),"")</f>
        <v/>
      </c>
      <c r="D252">
        <f>J252&amp;" ("&amp;E252&amp;")"</f>
        <v/>
      </c>
      <c r="E252" t="n">
        <v>11966</v>
      </c>
      <c r="F252" t="inlineStr">
        <is>
          <t>General Acute Care</t>
        </is>
      </c>
      <c r="G252" t="inlineStr">
        <is>
          <t>1798 N. Garey Ave.</t>
        </is>
      </c>
      <c r="H252" t="inlineStr">
        <is>
          <t>Pomona</t>
        </is>
      </c>
      <c r="I252" t="inlineStr">
        <is>
          <t>Los Angeles</t>
        </is>
      </c>
      <c r="J252" t="inlineStr">
        <is>
          <t>Pomona Valley Hospital Medical Center</t>
        </is>
      </c>
    </row>
    <row r="253">
      <c r="A253">
        <f>--ISNUMBER(IFERROR(SEARCH($C$5,Inputs!$D253,1),""))</f>
        <v/>
      </c>
      <c r="B253">
        <f>IF(A253=1,COUNTIF($A$6:A253,1),"")</f>
        <v/>
      </c>
      <c r="C253">
        <f>IFERROR(INDEX($D$6:$D$1750,MATCH(ROWS($B$6:B253),$B$6:$B$1750,0)),"")</f>
        <v/>
      </c>
      <c r="D253">
        <f>J253&amp;" ("&amp;E253&amp;")"</f>
        <v/>
      </c>
      <c r="E253" t="n">
        <v>11968</v>
      </c>
      <c r="F253" t="inlineStr">
        <is>
          <t>General Acute Care</t>
        </is>
      </c>
      <c r="G253" t="inlineStr">
        <is>
          <t>12401 Washington Blvd.</t>
        </is>
      </c>
      <c r="H253" t="inlineStr">
        <is>
          <t>Whittier</t>
        </is>
      </c>
      <c r="I253" t="inlineStr">
        <is>
          <t>Los Angeles</t>
        </is>
      </c>
      <c r="J253" t="inlineStr">
        <is>
          <t>PIH Health Hospital-Whittier</t>
        </is>
      </c>
    </row>
    <row r="254">
      <c r="A254">
        <f>--ISNUMBER(IFERROR(SEARCH($C$5,Inputs!$D254,1),""))</f>
        <v/>
      </c>
      <c r="B254">
        <f>IF(A254=1,COUNTIF($A$6:A254,1),"")</f>
        <v/>
      </c>
      <c r="C254">
        <f>IFERROR(INDEX($D$6:$D$1750,MATCH(ROWS($B$6:B254),$B$6:$B$1750,0)),"")</f>
        <v/>
      </c>
      <c r="D254">
        <f>J254&amp;" ("&amp;E254&amp;")"</f>
        <v/>
      </c>
      <c r="E254" t="n">
        <v>11971</v>
      </c>
      <c r="F254" t="inlineStr">
        <is>
          <t>General Acute Care</t>
        </is>
      </c>
      <c r="G254" t="inlineStr">
        <is>
          <t>1115 S Sunset Ave</t>
        </is>
      </c>
      <c r="H254" t="inlineStr">
        <is>
          <t>West Covina</t>
        </is>
      </c>
      <c r="I254" t="inlineStr">
        <is>
          <t>Los Angeles</t>
        </is>
      </c>
      <c r="J254" t="inlineStr">
        <is>
          <t>Emanate Health Queen Of The Valley Hospital</t>
        </is>
      </c>
    </row>
    <row r="255">
      <c r="A255">
        <f>--ISNUMBER(IFERROR(SEARCH($C$5,Inputs!$D255,1),""))</f>
        <v/>
      </c>
      <c r="B255">
        <f>IF(A255=1,COUNTIF($A$6:A255,1),"")</f>
        <v/>
      </c>
      <c r="C255">
        <f>IFERROR(INDEX($D$6:$D$1750,MATCH(ROWS($B$6:B255),$B$6:$B$1750,0)),"")</f>
        <v/>
      </c>
      <c r="D255">
        <f>J255&amp;" ("&amp;E255&amp;")"</f>
        <v/>
      </c>
      <c r="E255" t="n">
        <v>11976</v>
      </c>
      <c r="F255" t="inlineStr">
        <is>
          <t>General Acute Care</t>
        </is>
      </c>
      <c r="G255" t="inlineStr">
        <is>
          <t>7601 E Imperial Hwy</t>
        </is>
      </c>
      <c r="H255" t="inlineStr">
        <is>
          <t>Downey</t>
        </is>
      </c>
      <c r="I255" t="inlineStr">
        <is>
          <t>Los Angeles</t>
        </is>
      </c>
      <c r="J255" t="inlineStr">
        <is>
          <t>LAC/Rancho Los Amigos National Rehabilitation Center</t>
        </is>
      </c>
    </row>
    <row r="256">
      <c r="A256">
        <f>--ISNUMBER(IFERROR(SEARCH($C$5,Inputs!$D256,1),""))</f>
        <v/>
      </c>
      <c r="B256">
        <f>IF(A256=1,COUNTIF($A$6:A256,1),"")</f>
        <v/>
      </c>
      <c r="C256">
        <f>IFERROR(INDEX($D$6:$D$1750,MATCH(ROWS($B$6:B256),$B$6:$B$1750,0)),"")</f>
        <v/>
      </c>
      <c r="D256">
        <f>J256&amp;" ("&amp;E256&amp;")"</f>
        <v/>
      </c>
      <c r="E256" t="n">
        <v>11983</v>
      </c>
      <c r="F256" t="inlineStr">
        <is>
          <t>Acute Psychiatric Hospital</t>
        </is>
      </c>
      <c r="G256" t="inlineStr">
        <is>
          <t>765 College St.</t>
        </is>
      </c>
      <c r="H256" t="inlineStr">
        <is>
          <t>Los Angeles</t>
        </is>
      </c>
      <c r="I256" t="inlineStr">
        <is>
          <t>Los Angeles</t>
        </is>
      </c>
      <c r="J256" t="inlineStr">
        <is>
          <t>Kaiser Foundation Hospital - Mental Health Ctr D/P APH</t>
        </is>
      </c>
    </row>
    <row r="257">
      <c r="A257">
        <f>--ISNUMBER(IFERROR(SEARCH($C$5,Inputs!$D257,1),""))</f>
        <v/>
      </c>
      <c r="B257">
        <f>IF(A257=1,COUNTIF($A$6:A257,1),"")</f>
        <v/>
      </c>
      <c r="C257">
        <f>IFERROR(INDEX($D$6:$D$1750,MATCH(ROWS($B$6:B257),$B$6:$B$1750,0)),"")</f>
        <v/>
      </c>
      <c r="D257">
        <f>J257&amp;" ("&amp;E257&amp;")"</f>
        <v/>
      </c>
      <c r="E257" t="n">
        <v>12004</v>
      </c>
      <c r="F257" t="inlineStr">
        <is>
          <t>General Acute Care</t>
        </is>
      </c>
      <c r="G257" t="inlineStr">
        <is>
          <t>3630 Imperial Highway</t>
        </is>
      </c>
      <c r="H257" t="inlineStr">
        <is>
          <t>Lynwood</t>
        </is>
      </c>
      <c r="I257" t="inlineStr">
        <is>
          <t>Los Angeles</t>
        </is>
      </c>
      <c r="J257" t="inlineStr">
        <is>
          <t>Saint Francis Medical Center</t>
        </is>
      </c>
    </row>
    <row r="258">
      <c r="A258">
        <f>--ISNUMBER(IFERROR(SEARCH($C$5,Inputs!$D258,1),""))</f>
        <v/>
      </c>
      <c r="B258">
        <f>IF(A258=1,COUNTIF($A$6:A258,1),"")</f>
        <v/>
      </c>
      <c r="C258">
        <f>IFERROR(INDEX($D$6:$D$1750,MATCH(ROWS($B$6:B258),$B$6:$B$1750,0)),"")</f>
        <v/>
      </c>
      <c r="D258">
        <f>J258&amp;" ("&amp;E258&amp;")"</f>
        <v/>
      </c>
      <c r="E258" t="n">
        <v>12006</v>
      </c>
      <c r="F258" t="inlineStr">
        <is>
          <t>General Acute Care</t>
        </is>
      </c>
      <c r="G258" t="inlineStr">
        <is>
          <t>2121 Santa Monica Blvd.</t>
        </is>
      </c>
      <c r="H258" t="inlineStr">
        <is>
          <t>Santa Monica</t>
        </is>
      </c>
      <c r="I258" t="inlineStr">
        <is>
          <t>Los Angeles</t>
        </is>
      </c>
      <c r="J258" t="inlineStr">
        <is>
          <t>Saint John's Health Center</t>
        </is>
      </c>
    </row>
    <row r="259">
      <c r="A259">
        <f>--ISNUMBER(IFERROR(SEARCH($C$5,Inputs!$D259,1),""))</f>
        <v/>
      </c>
      <c r="B259">
        <f>IF(A259=1,COUNTIF($A$6:A259,1),"")</f>
        <v/>
      </c>
      <c r="C259">
        <f>IFERROR(INDEX($D$6:$D$1750,MATCH(ROWS($B$6:B259),$B$6:$B$1750,0)),"")</f>
        <v/>
      </c>
      <c r="D259">
        <f>J259&amp;" ("&amp;E259&amp;")"</f>
        <v/>
      </c>
      <c r="E259" t="n">
        <v>12008</v>
      </c>
      <c r="F259" t="inlineStr">
        <is>
          <t>General Acute Care</t>
        </is>
      </c>
      <c r="G259" t="inlineStr">
        <is>
          <t>501 S Buena Vista St</t>
        </is>
      </c>
      <c r="H259" t="inlineStr">
        <is>
          <t>Burbank</t>
        </is>
      </c>
      <c r="I259" t="inlineStr">
        <is>
          <t>Los Angeles</t>
        </is>
      </c>
      <c r="J259" t="inlineStr">
        <is>
          <t>Providence Saint Joseph Medical Center</t>
        </is>
      </c>
    </row>
    <row r="260">
      <c r="A260">
        <f>--ISNUMBER(IFERROR(SEARCH($C$5,Inputs!$D260,1),""))</f>
        <v/>
      </c>
      <c r="B260">
        <f>IF(A260=1,COUNTIF($A$6:A260,1),"")</f>
        <v/>
      </c>
      <c r="C260">
        <f>IFERROR(INDEX($D$6:$D$1750,MATCH(ROWS($B$6:B260),$B$6:$B$1750,0)),"")</f>
        <v/>
      </c>
      <c r="D260">
        <f>J260&amp;" ("&amp;E260&amp;")"</f>
        <v/>
      </c>
      <c r="E260" t="n">
        <v>12012</v>
      </c>
      <c r="F260" t="inlineStr">
        <is>
          <t>General Acute Care</t>
        </is>
      </c>
      <c r="G260" t="inlineStr">
        <is>
          <t>1050 Linden Ave</t>
        </is>
      </c>
      <c r="H260" t="inlineStr">
        <is>
          <t>Long Beach</t>
        </is>
      </c>
      <c r="I260" t="inlineStr">
        <is>
          <t>Los Angeles</t>
        </is>
      </c>
      <c r="J260" t="inlineStr">
        <is>
          <t>St. Mary Medical Center</t>
        </is>
      </c>
    </row>
    <row r="261">
      <c r="A261">
        <f>--ISNUMBER(IFERROR(SEARCH($C$5,Inputs!$D261,1),""))</f>
        <v/>
      </c>
      <c r="B261">
        <f>IF(A261=1,COUNTIF($A$6:A261,1),"")</f>
        <v/>
      </c>
      <c r="C261">
        <f>IFERROR(INDEX($D$6:$D$1750,MATCH(ROWS($B$6:B261),$B$6:$B$1750,0)),"")</f>
        <v/>
      </c>
      <c r="D261">
        <f>J261&amp;" ("&amp;E261&amp;")"</f>
        <v/>
      </c>
      <c r="E261" t="n">
        <v>12023</v>
      </c>
      <c r="F261" t="inlineStr">
        <is>
          <t>General Acute Care</t>
        </is>
      </c>
      <c r="G261" t="inlineStr">
        <is>
          <t>1300 W. 7th St.</t>
        </is>
      </c>
      <c r="H261" t="inlineStr">
        <is>
          <t>San Pedro</t>
        </is>
      </c>
      <c r="I261" t="inlineStr">
        <is>
          <t>Los Angeles</t>
        </is>
      </c>
      <c r="J261" t="inlineStr">
        <is>
          <t>Providence Little Company Of Mary Medical Center San Pedro</t>
        </is>
      </c>
    </row>
    <row r="262">
      <c r="A262">
        <f>--ISNUMBER(IFERROR(SEARCH($C$5,Inputs!$D262,1),""))</f>
        <v/>
      </c>
      <c r="B262">
        <f>IF(A262=1,COUNTIF($A$6:A262,1),"")</f>
        <v/>
      </c>
      <c r="C262">
        <f>IFERROR(INDEX($D$6:$D$1750,MATCH(ROWS($B$6:B262),$B$6:$B$1750,0)),"")</f>
        <v/>
      </c>
      <c r="D262">
        <f>J262&amp;" ("&amp;E262&amp;")"</f>
        <v/>
      </c>
      <c r="E262" t="n">
        <v>12024</v>
      </c>
      <c r="F262" t="inlineStr">
        <is>
          <t>General Acute Care</t>
        </is>
      </c>
      <c r="G262" t="inlineStr">
        <is>
          <t>6000 San Vicente Blvd.</t>
        </is>
      </c>
      <c r="H262" t="inlineStr">
        <is>
          <t>Los Angeles</t>
        </is>
      </c>
      <c r="I262" t="inlineStr">
        <is>
          <t>Los Angeles</t>
        </is>
      </c>
      <c r="J262" t="inlineStr">
        <is>
          <t>Docs Surgical Hospital</t>
        </is>
      </c>
    </row>
    <row r="263">
      <c r="A263">
        <f>--ISNUMBER(IFERROR(SEARCH($C$5,Inputs!$D263,1),""))</f>
        <v/>
      </c>
      <c r="B263">
        <f>IF(A263=1,COUNTIF($A$6:A263,1),"")</f>
        <v/>
      </c>
      <c r="C263">
        <f>IFERROR(INDEX($D$6:$D$1750,MATCH(ROWS($B$6:B263),$B$6:$B$1750,0)),"")</f>
        <v/>
      </c>
      <c r="D263">
        <f>J263&amp;" ("&amp;E263&amp;")"</f>
        <v/>
      </c>
      <c r="E263" t="n">
        <v>12033</v>
      </c>
      <c r="F263" t="inlineStr">
        <is>
          <t>General Acute Care</t>
        </is>
      </c>
      <c r="G263" t="inlineStr">
        <is>
          <t>1250 16th St.</t>
        </is>
      </c>
      <c r="H263" t="inlineStr">
        <is>
          <t>Santa Monica</t>
        </is>
      </c>
      <c r="I263" t="inlineStr">
        <is>
          <t>Los Angeles</t>
        </is>
      </c>
      <c r="J263" t="inlineStr">
        <is>
          <t>Santa Monica - UCLA Medical Center And Orthopaedic Hospital</t>
        </is>
      </c>
    </row>
    <row r="264">
      <c r="A264">
        <f>--ISNUMBER(IFERROR(SEARCH($C$5,Inputs!$D264,1),""))</f>
        <v/>
      </c>
      <c r="B264">
        <f>IF(A264=1,COUNTIF($A$6:A264,1),"")</f>
        <v/>
      </c>
      <c r="C264">
        <f>IFERROR(INDEX($D$6:$D$1750,MATCH(ROWS($B$6:B264),$B$6:$B$1750,0)),"")</f>
        <v/>
      </c>
      <c r="D264">
        <f>J264&amp;" ("&amp;E264&amp;")"</f>
        <v/>
      </c>
      <c r="E264" t="n">
        <v>12042</v>
      </c>
      <c r="F264" t="inlineStr">
        <is>
          <t>General Acute Care</t>
        </is>
      </c>
      <c r="G264" t="inlineStr">
        <is>
          <t>9449 San Fernando Rd.</t>
        </is>
      </c>
      <c r="H264" t="inlineStr">
        <is>
          <t>Sun Valley</t>
        </is>
      </c>
      <c r="I264" t="inlineStr">
        <is>
          <t>Los Angeles</t>
        </is>
      </c>
      <c r="J264" t="inlineStr">
        <is>
          <t>Pacifica Hospital of the Valley</t>
        </is>
      </c>
    </row>
    <row r="265">
      <c r="A265">
        <f>--ISNUMBER(IFERROR(SEARCH($C$5,Inputs!$D265,1),""))</f>
        <v/>
      </c>
      <c r="B265">
        <f>IF(A265=1,COUNTIF($A$6:A265,1),"")</f>
        <v/>
      </c>
      <c r="C265">
        <f>IFERROR(INDEX($D$6:$D$1750,MATCH(ROWS($B$6:B265),$B$6:$B$1750,0)),"")</f>
        <v/>
      </c>
      <c r="D265">
        <f>J265&amp;" ("&amp;E265&amp;")"</f>
        <v/>
      </c>
      <c r="E265" t="n">
        <v>12047</v>
      </c>
      <c r="F265" t="inlineStr">
        <is>
          <t>General Acute Care</t>
        </is>
      </c>
      <c r="G265" t="inlineStr">
        <is>
          <t>4929 Van Nuys Blvd.</t>
        </is>
      </c>
      <c r="H265" t="inlineStr">
        <is>
          <t>Sherman Oaks</t>
        </is>
      </c>
      <c r="I265" t="inlineStr">
        <is>
          <t>Los Angeles</t>
        </is>
      </c>
      <c r="J265" t="inlineStr">
        <is>
          <t>Sherman Oaks Hospital</t>
        </is>
      </c>
    </row>
    <row r="266">
      <c r="A266">
        <f>--ISNUMBER(IFERROR(SEARCH($C$5,Inputs!$D266,1),""))</f>
        <v/>
      </c>
      <c r="B266">
        <f>IF(A266=1,COUNTIF($A$6:A266,1),"")</f>
        <v/>
      </c>
      <c r="C266">
        <f>IFERROR(INDEX($D$6:$D$1750,MATCH(ROWS($B$6:B266),$B$6:$B$1750,0)),"")</f>
        <v/>
      </c>
      <c r="D266">
        <f>J266&amp;" ("&amp;E266&amp;")"</f>
        <v/>
      </c>
      <c r="E266" t="n">
        <v>12088</v>
      </c>
      <c r="F266" t="inlineStr">
        <is>
          <t>General Acute Care</t>
        </is>
      </c>
      <c r="G266" t="inlineStr">
        <is>
          <t>13100 Studebaker Rd</t>
        </is>
      </c>
      <c r="H266" t="inlineStr">
        <is>
          <t>Norwalk</t>
        </is>
      </c>
      <c r="I266" t="inlineStr">
        <is>
          <t>Los Angeles</t>
        </is>
      </c>
      <c r="J266" t="inlineStr">
        <is>
          <t>Coast Plaza Hospital</t>
        </is>
      </c>
    </row>
    <row r="267">
      <c r="A267">
        <f>--ISNUMBER(IFERROR(SEARCH($C$5,Inputs!$D267,1),""))</f>
        <v/>
      </c>
      <c r="B267">
        <f>IF(A267=1,COUNTIF($A$6:A267,1),"")</f>
        <v/>
      </c>
      <c r="C267">
        <f>IFERROR(INDEX($D$6:$D$1750,MATCH(ROWS($B$6:B267),$B$6:$B$1750,0)),"")</f>
        <v/>
      </c>
      <c r="D267">
        <f>J267&amp;" ("&amp;E267&amp;")"</f>
        <v/>
      </c>
      <c r="E267" t="n">
        <v>12127</v>
      </c>
      <c r="F267" t="inlineStr">
        <is>
          <t>General Acute Care</t>
        </is>
      </c>
      <c r="G267" t="inlineStr">
        <is>
          <t>757 Westwood Plaza</t>
        </is>
      </c>
      <c r="H267" t="inlineStr">
        <is>
          <t>Los Angeles</t>
        </is>
      </c>
      <c r="I267" t="inlineStr">
        <is>
          <t>Los Angeles</t>
        </is>
      </c>
      <c r="J267" t="inlineStr">
        <is>
          <t>Ronald Reagan UCLA Medical Center</t>
        </is>
      </c>
    </row>
    <row r="268">
      <c r="A268">
        <f>--ISNUMBER(IFERROR(SEARCH($C$5,Inputs!$D268,1),""))</f>
        <v/>
      </c>
      <c r="B268">
        <f>IF(A268=1,COUNTIF($A$6:A268,1),"")</f>
        <v/>
      </c>
      <c r="C268">
        <f>IFERROR(INDEX($D$6:$D$1750,MATCH(ROWS($B$6:B268),$B$6:$B$1750,0)),"")</f>
        <v/>
      </c>
      <c r="D268">
        <f>J268&amp;" ("&amp;E268&amp;")"</f>
        <v/>
      </c>
      <c r="E268" t="n">
        <v>12140</v>
      </c>
      <c r="F268" t="inlineStr">
        <is>
          <t>General Acute Care</t>
        </is>
      </c>
      <c r="G268" t="inlineStr">
        <is>
          <t>15107 Vanowen St.</t>
        </is>
      </c>
      <c r="H268" t="inlineStr">
        <is>
          <t>Van Nuys</t>
        </is>
      </c>
      <c r="I268" t="inlineStr">
        <is>
          <t>Los Angeles</t>
        </is>
      </c>
      <c r="J268" t="inlineStr">
        <is>
          <t>Valley Presbyterian Hospital</t>
        </is>
      </c>
    </row>
    <row r="269">
      <c r="A269">
        <f>--ISNUMBER(IFERROR(SEARCH($C$5,Inputs!$D269,1),""))</f>
        <v/>
      </c>
      <c r="B269">
        <f>IF(A269=1,COUNTIF($A$6:A269,1),"")</f>
        <v/>
      </c>
      <c r="C269">
        <f>IFERROR(INDEX($D$6:$D$1750,MATCH(ROWS($B$6:B269),$B$6:$B$1750,0)),"")</f>
        <v/>
      </c>
      <c r="D269">
        <f>J269&amp;" ("&amp;E269&amp;")"</f>
        <v/>
      </c>
      <c r="E269" t="n">
        <v>12145</v>
      </c>
      <c r="F269" t="inlineStr">
        <is>
          <t>Acute Psychiatric Hospital</t>
        </is>
      </c>
      <c r="G269" t="inlineStr">
        <is>
          <t>14433 Emelita St.</t>
        </is>
      </c>
      <c r="H269" t="inlineStr">
        <is>
          <t>Van Nuys</t>
        </is>
      </c>
      <c r="I269" t="inlineStr">
        <is>
          <t>Los Angeles</t>
        </is>
      </c>
      <c r="J269" t="inlineStr">
        <is>
          <t>Southern California Hospital At Van Nuys D/P Aph</t>
        </is>
      </c>
    </row>
    <row r="270">
      <c r="A270">
        <f>--ISNUMBER(IFERROR(SEARCH($C$5,Inputs!$D270,1),""))</f>
        <v/>
      </c>
      <c r="B270">
        <f>IF(A270=1,COUNTIF($A$6:A270,1),"")</f>
        <v/>
      </c>
      <c r="C270">
        <f>IFERROR(INDEX($D$6:$D$1750,MATCH(ROWS($B$6:B270),$B$6:$B$1750,0)),"")</f>
        <v/>
      </c>
      <c r="D270">
        <f>J270&amp;" ("&amp;E270&amp;")"</f>
        <v/>
      </c>
      <c r="E270" t="n">
        <v>12180</v>
      </c>
      <c r="F270" t="inlineStr">
        <is>
          <t>General Acute Care</t>
        </is>
      </c>
      <c r="G270" t="inlineStr">
        <is>
          <t>725 S. Orange Ave.</t>
        </is>
      </c>
      <c r="H270" t="inlineStr">
        <is>
          <t>West Covina</t>
        </is>
      </c>
      <c r="I270" t="inlineStr">
        <is>
          <t>Los Angeles</t>
        </is>
      </c>
      <c r="J270" t="inlineStr">
        <is>
          <t>West Covina Medical Center</t>
        </is>
      </c>
    </row>
    <row r="271">
      <c r="A271">
        <f>--ISNUMBER(IFERROR(SEARCH($C$5,Inputs!$D271,1),""))</f>
        <v/>
      </c>
      <c r="B271">
        <f>IF(A271=1,COUNTIF($A$6:A271,1),"")</f>
        <v/>
      </c>
      <c r="C271">
        <f>IFERROR(INDEX($D$6:$D$1750,MATCH(ROWS($B$6:B271),$B$6:$B$1750,0)),"")</f>
        <v/>
      </c>
      <c r="D271">
        <f>J271&amp;" ("&amp;E271&amp;")"</f>
        <v/>
      </c>
      <c r="E271" t="n">
        <v>12182</v>
      </c>
      <c r="F271" t="inlineStr">
        <is>
          <t>General Acute Care</t>
        </is>
      </c>
      <c r="G271" t="inlineStr">
        <is>
          <t>7300 Medical Center Dr.</t>
        </is>
      </c>
      <c r="H271" t="inlineStr">
        <is>
          <t>West Hills</t>
        </is>
      </c>
      <c r="I271" t="inlineStr">
        <is>
          <t>Los Angeles</t>
        </is>
      </c>
      <c r="J271" t="inlineStr">
        <is>
          <t>West Hills Hospital &amp; Medical Center</t>
        </is>
      </c>
    </row>
    <row r="272">
      <c r="A272">
        <f>--ISNUMBER(IFERROR(SEARCH($C$5,Inputs!$D272,1),""))</f>
        <v/>
      </c>
      <c r="B272">
        <f>IF(A272=1,COUNTIF($A$6:A272,1),"")</f>
        <v/>
      </c>
      <c r="C272">
        <f>IFERROR(INDEX($D$6:$D$1750,MATCH(ROWS($B$6:B272),$B$6:$B$1750,0)),"")</f>
        <v/>
      </c>
      <c r="D272">
        <f>J272&amp;" ("&amp;E272&amp;")"</f>
        <v/>
      </c>
      <c r="E272" t="n">
        <v>12198</v>
      </c>
      <c r="F272" t="inlineStr">
        <is>
          <t>General Acute Care</t>
        </is>
      </c>
      <c r="G272" t="inlineStr">
        <is>
          <t>1720 E Cesar E. Chavez Ave</t>
        </is>
      </c>
      <c r="H272" t="inlineStr">
        <is>
          <t>Los Angeles</t>
        </is>
      </c>
      <c r="I272" t="inlineStr">
        <is>
          <t>Los Angeles</t>
        </is>
      </c>
      <c r="J272" t="inlineStr">
        <is>
          <t>Adventist Health White Memorial</t>
        </is>
      </c>
    </row>
    <row r="273">
      <c r="A273">
        <f>--ISNUMBER(IFERROR(SEARCH($C$5,Inputs!$D273,1),""))</f>
        <v/>
      </c>
      <c r="B273">
        <f>IF(A273=1,COUNTIF($A$6:A273,1),"")</f>
        <v/>
      </c>
      <c r="C273">
        <f>IFERROR(INDEX($D$6:$D$1750,MATCH(ROWS($B$6:B273),$B$6:$B$1750,0)),"")</f>
        <v/>
      </c>
      <c r="D273">
        <f>J273&amp;" ("&amp;E273&amp;")"</f>
        <v/>
      </c>
      <c r="E273" t="n">
        <v>12201</v>
      </c>
      <c r="F273" t="inlineStr">
        <is>
          <t>General Acute Care</t>
        </is>
      </c>
      <c r="G273" t="inlineStr">
        <is>
          <t>9080 Colima Rd.</t>
        </is>
      </c>
      <c r="H273" t="inlineStr">
        <is>
          <t>Whittier</t>
        </is>
      </c>
      <c r="I273" t="inlineStr">
        <is>
          <t>Los Angeles</t>
        </is>
      </c>
      <c r="J273" t="inlineStr">
        <is>
          <t>Whittier Hospital Medical Center</t>
        </is>
      </c>
    </row>
    <row r="274">
      <c r="A274">
        <f>--ISNUMBER(IFERROR(SEARCH($C$5,Inputs!$D274,1),""))</f>
        <v/>
      </c>
      <c r="B274">
        <f>IF(A274=1,COUNTIF($A$6:A274,1),"")</f>
        <v/>
      </c>
      <c r="C274">
        <f>IFERROR(INDEX($D$6:$D$1750,MATCH(ROWS($B$6:B274),$B$6:$B$1750,0)),"")</f>
        <v/>
      </c>
      <c r="D274">
        <f>J274&amp;" ("&amp;E274&amp;")"</f>
        <v/>
      </c>
      <c r="E274" t="n">
        <v>12235</v>
      </c>
      <c r="F274" t="inlineStr">
        <is>
          <t>General Acute Care</t>
        </is>
      </c>
      <c r="G274" t="inlineStr">
        <is>
          <t>11500 Brookshire Ave.</t>
        </is>
      </c>
      <c r="H274" t="inlineStr">
        <is>
          <t>Downey</t>
        </is>
      </c>
      <c r="I274" t="inlineStr">
        <is>
          <t>Los Angeles</t>
        </is>
      </c>
      <c r="J274" t="inlineStr">
        <is>
          <t>PIH Health Hospital - Downey</t>
        </is>
      </c>
    </row>
    <row r="275">
      <c r="A275">
        <f>--ISNUMBER(IFERROR(SEARCH($C$5,Inputs!$D275,1),""))</f>
        <v/>
      </c>
      <c r="B275">
        <f>IF(A275=1,COUNTIF($A$6:A275,1),"")</f>
        <v/>
      </c>
      <c r="C275">
        <f>IFERROR(INDEX($D$6:$D$1750,MATCH(ROWS($B$6:B275),$B$6:$B$1750,0)),"")</f>
        <v/>
      </c>
      <c r="D275">
        <f>J275&amp;" ("&amp;E275&amp;")"</f>
        <v/>
      </c>
      <c r="E275" t="n">
        <v>12249</v>
      </c>
      <c r="F275" t="inlineStr">
        <is>
          <t>General Acute Care</t>
        </is>
      </c>
      <c r="G275" t="inlineStr">
        <is>
          <t>3330 Lomita Blvd.</t>
        </is>
      </c>
      <c r="H275" t="inlineStr">
        <is>
          <t>Torrance</t>
        </is>
      </c>
      <c r="I275" t="inlineStr">
        <is>
          <t>Los Angeles</t>
        </is>
      </c>
      <c r="J275" t="inlineStr">
        <is>
          <t>Torrance Memorial Medical Center</t>
        </is>
      </c>
    </row>
    <row r="276">
      <c r="A276">
        <f>--ISNUMBER(IFERROR(SEARCH($C$5,Inputs!$D276,1),""))</f>
        <v/>
      </c>
      <c r="B276">
        <f>IF(A276=1,COUNTIF($A$6:A276,1),"")</f>
        <v/>
      </c>
      <c r="C276">
        <f>IFERROR(INDEX($D$6:$D$1750,MATCH(ROWS($B$6:B276),$B$6:$B$1750,0)),"")</f>
        <v/>
      </c>
      <c r="D276">
        <f>J276&amp;" ("&amp;E276&amp;")"</f>
        <v/>
      </c>
      <c r="E276" t="n">
        <v>12259</v>
      </c>
      <c r="F276" t="inlineStr">
        <is>
          <t>General Acute Care</t>
        </is>
      </c>
      <c r="G276" t="inlineStr">
        <is>
          <t>1680 East 120th Street</t>
        </is>
      </c>
      <c r="H276" t="inlineStr">
        <is>
          <t>Los Angeles</t>
        </is>
      </c>
      <c r="I276" t="inlineStr">
        <is>
          <t>Los Angeles</t>
        </is>
      </c>
      <c r="J276" t="inlineStr">
        <is>
          <t>Martin Luther King, Jr. Community Hospital</t>
        </is>
      </c>
    </row>
    <row r="277">
      <c r="A277">
        <f>--ISNUMBER(IFERROR(SEARCH($C$5,Inputs!$D277,1),""))</f>
        <v/>
      </c>
      <c r="B277">
        <f>IF(A277=1,COUNTIF($A$6:A277,1),"")</f>
        <v/>
      </c>
      <c r="C277">
        <f>IFERROR(INDEX($D$6:$D$1750,MATCH(ROWS($B$6:B277),$B$6:$B$1750,0)),"")</f>
        <v/>
      </c>
      <c r="D277">
        <f>J277&amp;" ("&amp;E277&amp;")"</f>
        <v/>
      </c>
      <c r="E277" t="n">
        <v>12268</v>
      </c>
      <c r="F277" t="inlineStr">
        <is>
          <t>General Acute Care</t>
        </is>
      </c>
      <c r="G277" t="inlineStr">
        <is>
          <t>435 H St</t>
        </is>
      </c>
      <c r="H277" t="inlineStr">
        <is>
          <t>Chula Vista</t>
        </is>
      </c>
      <c r="I277" t="inlineStr">
        <is>
          <t>San Diego</t>
        </is>
      </c>
      <c r="J277" t="inlineStr">
        <is>
          <t>Scripps Mercy Hospital Chula Vista</t>
        </is>
      </c>
    </row>
    <row r="278">
      <c r="A278">
        <f>--ISNUMBER(IFERROR(SEARCH($C$5,Inputs!$D278,1),""))</f>
        <v/>
      </c>
      <c r="B278">
        <f>IF(A278=1,COUNTIF($A$6:A278,1),"")</f>
        <v/>
      </c>
      <c r="C278">
        <f>IFERROR(INDEX($D$6:$D$1750,MATCH(ROWS($B$6:B278),$B$6:$B$1750,0)),"")</f>
        <v/>
      </c>
      <c r="D278">
        <f>J278&amp;" ("&amp;E278&amp;")"</f>
        <v/>
      </c>
      <c r="E278" t="n">
        <v>12285</v>
      </c>
      <c r="F278" t="inlineStr">
        <is>
          <t>General Acute Care</t>
        </is>
      </c>
      <c r="G278" t="inlineStr">
        <is>
          <t>3020 Children's Way</t>
        </is>
      </c>
      <c r="H278" t="inlineStr">
        <is>
          <t>San Diego</t>
        </is>
      </c>
      <c r="I278" t="inlineStr">
        <is>
          <t>San Diego</t>
        </is>
      </c>
      <c r="J278" t="inlineStr">
        <is>
          <t>Rady Children's Hospital - San Diego</t>
        </is>
      </c>
    </row>
    <row r="279">
      <c r="A279">
        <f>--ISNUMBER(IFERROR(SEARCH($C$5,Inputs!$D279,1),""))</f>
        <v/>
      </c>
      <c r="B279">
        <f>IF(A279=1,COUNTIF($A$6:A279,1),"")</f>
        <v/>
      </c>
      <c r="C279">
        <f>IFERROR(INDEX($D$6:$D$1750,MATCH(ROWS($B$6:B279),$B$6:$B$1750,0)),"")</f>
        <v/>
      </c>
      <c r="D279">
        <f>J279&amp;" ("&amp;E279&amp;")"</f>
        <v/>
      </c>
      <c r="E279" t="n">
        <v>12295</v>
      </c>
      <c r="F279" t="inlineStr">
        <is>
          <t>General Acute Care</t>
        </is>
      </c>
      <c r="G279" t="inlineStr">
        <is>
          <t>250 Prospect Place</t>
        </is>
      </c>
      <c r="H279" t="inlineStr">
        <is>
          <t>Coronado</t>
        </is>
      </c>
      <c r="I279" t="inlineStr">
        <is>
          <t>San Diego</t>
        </is>
      </c>
      <c r="J279" t="inlineStr">
        <is>
          <t>Sharp Coronado Hospital and Healthcare Center</t>
        </is>
      </c>
    </row>
    <row r="280">
      <c r="A280">
        <f>--ISNUMBER(IFERROR(SEARCH($C$5,Inputs!$D280,1),""))</f>
        <v/>
      </c>
      <c r="B280">
        <f>IF(A280=1,COUNTIF($A$6:A280,1),"")</f>
        <v/>
      </c>
      <c r="C280">
        <f>IFERROR(INDEX($D$6:$D$1750,MATCH(ROWS($B$6:B280),$B$6:$B$1750,0)),"")</f>
        <v/>
      </c>
      <c r="D280">
        <f>J280&amp;" ("&amp;E280&amp;")"</f>
        <v/>
      </c>
      <c r="E280" t="n">
        <v>12309</v>
      </c>
      <c r="F280" t="inlineStr">
        <is>
          <t>General Acute Care</t>
        </is>
      </c>
      <c r="G280" t="inlineStr">
        <is>
          <t>354 Santa Fe Drive</t>
        </is>
      </c>
      <c r="H280" t="inlineStr">
        <is>
          <t>Encinitas</t>
        </is>
      </c>
      <c r="I280" t="inlineStr">
        <is>
          <t>San Diego</t>
        </is>
      </c>
      <c r="J280" t="inlineStr">
        <is>
          <t>Scripps Memorial Hospital - Encinitas</t>
        </is>
      </c>
    </row>
    <row r="281">
      <c r="A281">
        <f>--ISNUMBER(IFERROR(SEARCH($C$5,Inputs!$D281,1),""))</f>
        <v/>
      </c>
      <c r="B281">
        <f>IF(A281=1,COUNTIF($A$6:A281,1),"")</f>
        <v/>
      </c>
      <c r="C281">
        <f>IFERROR(INDEX($D$6:$D$1750,MATCH(ROWS($B$6:B281),$B$6:$B$1750,0)),"")</f>
        <v/>
      </c>
      <c r="D281">
        <f>J281&amp;" ("&amp;E281&amp;")"</f>
        <v/>
      </c>
      <c r="E281" t="n">
        <v>12322</v>
      </c>
      <c r="F281" t="inlineStr">
        <is>
          <t>General Acute Care</t>
        </is>
      </c>
      <c r="G281" t="inlineStr">
        <is>
          <t>5555 Grossmont Center Dr</t>
        </is>
      </c>
      <c r="H281" t="inlineStr">
        <is>
          <t>La Mesa</t>
        </is>
      </c>
      <c r="I281" t="inlineStr">
        <is>
          <t>San Diego</t>
        </is>
      </c>
      <c r="J281" t="inlineStr">
        <is>
          <t>Grossmont Hospital</t>
        </is>
      </c>
    </row>
    <row r="282">
      <c r="A282">
        <f>--ISNUMBER(IFERROR(SEARCH($C$5,Inputs!$D282,1),""))</f>
        <v/>
      </c>
      <c r="B282">
        <f>IF(A282=1,COUNTIF($A$6:A282,1),"")</f>
        <v/>
      </c>
      <c r="C282">
        <f>IFERROR(INDEX($D$6:$D$1750,MATCH(ROWS($B$6:B282),$B$6:$B$1750,0)),"")</f>
        <v/>
      </c>
      <c r="D282">
        <f>J282&amp;" ("&amp;E282&amp;")"</f>
        <v/>
      </c>
      <c r="E282" t="n">
        <v>12328</v>
      </c>
      <c r="F282" t="inlineStr">
        <is>
          <t>General Acute Care</t>
        </is>
      </c>
      <c r="G282" t="inlineStr">
        <is>
          <t>1940 El Cajon Blvd.</t>
        </is>
      </c>
      <c r="H282" t="inlineStr">
        <is>
          <t>San Diego</t>
        </is>
      </c>
      <c r="I282" t="inlineStr">
        <is>
          <t>San Diego</t>
        </is>
      </c>
      <c r="J282" t="inlineStr">
        <is>
          <t>Kindred Hospital - San Diego</t>
        </is>
      </c>
    </row>
    <row r="283">
      <c r="A283">
        <f>--ISNUMBER(IFERROR(SEARCH($C$5,Inputs!$D283,1),""))</f>
        <v/>
      </c>
      <c r="B283">
        <f>IF(A283=1,COUNTIF($A$6:A283,1),"")</f>
        <v/>
      </c>
      <c r="C283">
        <f>IFERROR(INDEX($D$6:$D$1750,MATCH(ROWS($B$6:B283),$B$6:$B$1750,0)),"")</f>
        <v/>
      </c>
      <c r="D283">
        <f>J283&amp;" ("&amp;E283&amp;")"</f>
        <v/>
      </c>
      <c r="E283" t="n">
        <v>12339</v>
      </c>
      <c r="F283" t="inlineStr">
        <is>
          <t>General Acute Care</t>
        </is>
      </c>
      <c r="G283" t="inlineStr">
        <is>
          <t>4077 5th Ave.</t>
        </is>
      </c>
      <c r="H283" t="inlineStr">
        <is>
          <t>San Diego</t>
        </is>
      </c>
      <c r="I283" t="inlineStr">
        <is>
          <t>San Diego</t>
        </is>
      </c>
      <c r="J283" t="inlineStr">
        <is>
          <t>Scripps Mercy Hospital</t>
        </is>
      </c>
    </row>
    <row r="284">
      <c r="A284">
        <f>--ISNUMBER(IFERROR(SEARCH($C$5,Inputs!$D284,1),""))</f>
        <v/>
      </c>
      <c r="B284">
        <f>IF(A284=1,COUNTIF($A$6:A284,1),"")</f>
        <v/>
      </c>
      <c r="C284">
        <f>IFERROR(INDEX($D$6:$D$1750,MATCH(ROWS($B$6:B284),$B$6:$B$1750,0)),"")</f>
        <v/>
      </c>
      <c r="D284">
        <f>J284&amp;" ("&amp;E284&amp;")"</f>
        <v/>
      </c>
      <c r="E284" t="n">
        <v>12340</v>
      </c>
      <c r="F284" t="inlineStr">
        <is>
          <t>Acute Psychiatric Hospital</t>
        </is>
      </c>
      <c r="G284" t="inlineStr">
        <is>
          <t>7850 Vista Hill Ave.</t>
        </is>
      </c>
      <c r="H284" t="inlineStr">
        <is>
          <t>San Diego</t>
        </is>
      </c>
      <c r="I284" t="inlineStr">
        <is>
          <t>San Diego</t>
        </is>
      </c>
      <c r="J284" t="inlineStr">
        <is>
          <t>Sharp Mesa Vista Hospital</t>
        </is>
      </c>
    </row>
    <row r="285">
      <c r="A285">
        <f>--ISNUMBER(IFERROR(SEARCH($C$5,Inputs!$D285,1),""))</f>
        <v/>
      </c>
      <c r="B285">
        <f>IF(A285=1,COUNTIF($A$6:A285,1),"")</f>
        <v/>
      </c>
      <c r="C285">
        <f>IFERROR(INDEX($D$6:$D$1750,MATCH(ROWS($B$6:B285),$B$6:$B$1750,0)),"")</f>
        <v/>
      </c>
      <c r="D285">
        <f>J285&amp;" ("&amp;E285&amp;")"</f>
        <v/>
      </c>
      <c r="E285" t="n">
        <v>12344</v>
      </c>
      <c r="F285" t="inlineStr">
        <is>
          <t>Acute Psychiatric Hospital</t>
        </is>
      </c>
      <c r="G285" t="inlineStr">
        <is>
          <t>7050 Parkway Dr.</t>
        </is>
      </c>
      <c r="H285" t="inlineStr">
        <is>
          <t>La Mesa</t>
        </is>
      </c>
      <c r="I285" t="inlineStr">
        <is>
          <t>San Diego</t>
        </is>
      </c>
      <c r="J285" t="inlineStr">
        <is>
          <t>Alvarado Parkway Institute Behavioral Healthsystem</t>
        </is>
      </c>
    </row>
    <row r="286">
      <c r="A286">
        <f>--ISNUMBER(IFERROR(SEARCH($C$5,Inputs!$D286,1),""))</f>
        <v/>
      </c>
      <c r="B286">
        <f>IF(A286=1,COUNTIF($A$6:A286,1),"")</f>
        <v/>
      </c>
      <c r="C286">
        <f>IFERROR(INDEX($D$6:$D$1750,MATCH(ROWS($B$6:B286),$B$6:$B$1750,0)),"")</f>
        <v/>
      </c>
      <c r="D286">
        <f>J286&amp;" ("&amp;E286&amp;")"</f>
        <v/>
      </c>
      <c r="E286" t="n">
        <v>12347</v>
      </c>
      <c r="F286" t="inlineStr">
        <is>
          <t>General Acute Care</t>
        </is>
      </c>
      <c r="G286" t="inlineStr">
        <is>
          <t>555 E. Valley Parkway</t>
        </is>
      </c>
      <c r="H286" t="inlineStr">
        <is>
          <t>Escondido</t>
        </is>
      </c>
      <c r="I286" t="inlineStr">
        <is>
          <t>San Diego</t>
        </is>
      </c>
      <c r="J286" t="inlineStr">
        <is>
          <t>Palomar Health Downtown Campus</t>
        </is>
      </c>
    </row>
    <row r="287">
      <c r="A287">
        <f>--ISNUMBER(IFERROR(SEARCH($C$5,Inputs!$D287,1),""))</f>
        <v/>
      </c>
      <c r="B287">
        <f>IF(A287=1,COUNTIF($A$6:A287,1),"")</f>
        <v/>
      </c>
      <c r="C287">
        <f>IFERROR(INDEX($D$6:$D$1750,MATCH(ROWS($B$6:B287),$B$6:$B$1750,0)),"")</f>
        <v/>
      </c>
      <c r="D287">
        <f>J287&amp;" ("&amp;E287&amp;")"</f>
        <v/>
      </c>
      <c r="E287" t="n">
        <v>12348</v>
      </c>
      <c r="F287" t="inlineStr">
        <is>
          <t>General Acute Care</t>
        </is>
      </c>
      <c r="G287" t="inlineStr">
        <is>
          <t>2400 East Fourth Street</t>
        </is>
      </c>
      <c r="H287" t="inlineStr">
        <is>
          <t>National City</t>
        </is>
      </c>
      <c r="I287" t="inlineStr">
        <is>
          <t>San Diego</t>
        </is>
      </c>
      <c r="J287" t="inlineStr">
        <is>
          <t>Paradise Valley Hospital</t>
        </is>
      </c>
    </row>
    <row r="288">
      <c r="A288">
        <f>--ISNUMBER(IFERROR(SEARCH($C$5,Inputs!$D288,1),""))</f>
        <v/>
      </c>
      <c r="B288">
        <f>IF(A288=1,COUNTIF($A$6:A288,1),"")</f>
        <v/>
      </c>
      <c r="C288">
        <f>IFERROR(INDEX($D$6:$D$1750,MATCH(ROWS($B$6:B288),$B$6:$B$1750,0)),"")</f>
        <v/>
      </c>
      <c r="D288">
        <f>J288&amp;" ("&amp;E288&amp;")"</f>
        <v/>
      </c>
      <c r="E288" t="n">
        <v>12359</v>
      </c>
      <c r="F288" t="inlineStr">
        <is>
          <t>General Acute Care</t>
        </is>
      </c>
      <c r="G288" t="inlineStr">
        <is>
          <t>200 W. Arbor Dr.</t>
        </is>
      </c>
      <c r="H288" t="inlineStr">
        <is>
          <t>San Diego</t>
        </is>
      </c>
      <c r="I288" t="inlineStr">
        <is>
          <t>San Diego</t>
        </is>
      </c>
      <c r="J288" t="inlineStr">
        <is>
          <t>UC San Diego Health Hillcrest - Hillcrest Medical Center</t>
        </is>
      </c>
    </row>
    <row r="289">
      <c r="A289">
        <f>--ISNUMBER(IFERROR(SEARCH($C$5,Inputs!$D289,1),""))</f>
        <v/>
      </c>
      <c r="B289">
        <f>IF(A289=1,COUNTIF($A$6:A289,1),"")</f>
        <v/>
      </c>
      <c r="C289">
        <f>IFERROR(INDEX($D$6:$D$1750,MATCH(ROWS($B$6:B289),$B$6:$B$1750,0)),"")</f>
        <v/>
      </c>
      <c r="D289">
        <f>J289&amp;" ("&amp;E289&amp;")"</f>
        <v/>
      </c>
      <c r="E289" t="n">
        <v>12363</v>
      </c>
      <c r="F289" t="inlineStr">
        <is>
          <t>General Acute Care</t>
        </is>
      </c>
      <c r="G289" t="inlineStr">
        <is>
          <t>9888 Genesee Avenue</t>
        </is>
      </c>
      <c r="H289" t="inlineStr">
        <is>
          <t>La Jolla</t>
        </is>
      </c>
      <c r="I289" t="inlineStr">
        <is>
          <t>San Diego</t>
        </is>
      </c>
      <c r="J289" t="inlineStr">
        <is>
          <t>Scripps Memorial Hospital - La Jolla</t>
        </is>
      </c>
    </row>
    <row r="290">
      <c r="A290">
        <f>--ISNUMBER(IFERROR(SEARCH($C$5,Inputs!$D290,1),""))</f>
        <v/>
      </c>
      <c r="B290">
        <f>IF(A290=1,COUNTIF($A$6:A290,1),"")</f>
        <v/>
      </c>
      <c r="C290">
        <f>IFERROR(INDEX($D$6:$D$1750,MATCH(ROWS($B$6:B290),$B$6:$B$1750,0)),"")</f>
        <v/>
      </c>
      <c r="D290">
        <f>J290&amp;" ("&amp;E290&amp;")"</f>
        <v/>
      </c>
      <c r="E290" t="n">
        <v>12364</v>
      </c>
      <c r="F290" t="inlineStr">
        <is>
          <t>General Acute Care</t>
        </is>
      </c>
      <c r="G290" t="inlineStr">
        <is>
          <t>7901 Frost St.</t>
        </is>
      </c>
      <c r="H290" t="inlineStr">
        <is>
          <t>San Diego</t>
        </is>
      </c>
      <c r="I290" t="inlineStr">
        <is>
          <t>San Diego</t>
        </is>
      </c>
      <c r="J290" t="inlineStr">
        <is>
          <t>Sharp Memorial Hospital</t>
        </is>
      </c>
    </row>
    <row r="291">
      <c r="A291">
        <f>--ISNUMBER(IFERROR(SEARCH($C$5,Inputs!$D291,1),""))</f>
        <v/>
      </c>
      <c r="B291">
        <f>IF(A291=1,COUNTIF($A$6:A291,1),"")</f>
        <v/>
      </c>
      <c r="C291">
        <f>IFERROR(INDEX($D$6:$D$1750,MATCH(ROWS($B$6:B291),$B$6:$B$1750,0)),"")</f>
        <v/>
      </c>
      <c r="D291">
        <f>J291&amp;" ("&amp;E291&amp;")"</f>
        <v/>
      </c>
      <c r="E291" t="n">
        <v>12372</v>
      </c>
      <c r="F291" t="inlineStr">
        <is>
          <t>General Acute Care</t>
        </is>
      </c>
      <c r="G291" t="inlineStr">
        <is>
          <t>4002 Vista Way</t>
        </is>
      </c>
      <c r="H291" t="inlineStr">
        <is>
          <t>Oceanside</t>
        </is>
      </c>
      <c r="I291" t="inlineStr">
        <is>
          <t>San Diego</t>
        </is>
      </c>
      <c r="J291" t="inlineStr">
        <is>
          <t>Tri-City Medical Center</t>
        </is>
      </c>
    </row>
    <row r="292">
      <c r="A292">
        <f>--ISNUMBER(IFERROR(SEARCH($C$5,Inputs!$D292,1),""))</f>
        <v/>
      </c>
      <c r="B292">
        <f>IF(A292=1,COUNTIF($A$6:A292,1),"")</f>
        <v/>
      </c>
      <c r="C292">
        <f>IFERROR(INDEX($D$6:$D$1750,MATCH(ROWS($B$6:B292),$B$6:$B$1750,0)),"")</f>
        <v/>
      </c>
      <c r="D292">
        <f>J292&amp;" ("&amp;E292&amp;")"</f>
        <v/>
      </c>
      <c r="E292" t="n">
        <v>12416</v>
      </c>
      <c r="F292" t="inlineStr">
        <is>
          <t>General Acute Care</t>
        </is>
      </c>
      <c r="G292" t="inlineStr">
        <is>
          <t>601 Duboce Ave</t>
        </is>
      </c>
      <c r="H292" t="inlineStr">
        <is>
          <t>San Francisco</t>
        </is>
      </c>
      <c r="I292" t="inlineStr">
        <is>
          <t>San Francisco</t>
        </is>
      </c>
      <c r="J292" t="inlineStr">
        <is>
          <t>California Pacific Medical Center - Davies Campus Hospital</t>
        </is>
      </c>
    </row>
    <row r="293">
      <c r="A293">
        <f>--ISNUMBER(IFERROR(SEARCH($C$5,Inputs!$D293,1),""))</f>
        <v/>
      </c>
      <c r="B293">
        <f>IF(A293=1,COUNTIF($A$6:A293,1),"")</f>
        <v/>
      </c>
      <c r="C293">
        <f>IFERROR(INDEX($D$6:$D$1750,MATCH(ROWS($B$6:B293),$B$6:$B$1750,0)),"")</f>
        <v/>
      </c>
      <c r="D293">
        <f>J293&amp;" ("&amp;E293&amp;")"</f>
        <v/>
      </c>
      <c r="E293" t="n">
        <v>12426</v>
      </c>
      <c r="F293" t="inlineStr">
        <is>
          <t>Acute Psychiatric Hospital</t>
        </is>
      </c>
      <c r="G293" t="inlineStr">
        <is>
          <t>302 Silver Ave</t>
        </is>
      </c>
      <c r="H293" t="inlineStr">
        <is>
          <t>San Francisco</t>
        </is>
      </c>
      <c r="I293" t="inlineStr">
        <is>
          <t>San Francisco</t>
        </is>
      </c>
      <c r="J293" t="inlineStr">
        <is>
          <t>Jewish Home &amp; Rehab Center</t>
        </is>
      </c>
    </row>
    <row r="294">
      <c r="A294">
        <f>--ISNUMBER(IFERROR(SEARCH($C$5,Inputs!$D294,1),""))</f>
        <v/>
      </c>
      <c r="B294">
        <f>IF(A294=1,COUNTIF($A$6:A294,1),"")</f>
        <v/>
      </c>
      <c r="C294">
        <f>IFERROR(INDEX($D$6:$D$1750,MATCH(ROWS($B$6:B294),$B$6:$B$1750,0)),"")</f>
        <v/>
      </c>
      <c r="D294">
        <f>J294&amp;" ("&amp;E294&amp;")"</f>
        <v/>
      </c>
      <c r="E294" t="n">
        <v>12430</v>
      </c>
      <c r="F294" t="inlineStr">
        <is>
          <t>General Acute Care</t>
        </is>
      </c>
      <c r="G294" t="inlineStr">
        <is>
          <t>2425 Geary Blvd.</t>
        </is>
      </c>
      <c r="H294" t="inlineStr">
        <is>
          <t>San Francisco</t>
        </is>
      </c>
      <c r="I294" t="inlineStr">
        <is>
          <t>San Francisco</t>
        </is>
      </c>
      <c r="J294" t="inlineStr">
        <is>
          <t>Kaiser Foundation Hospital - San Francisco</t>
        </is>
      </c>
    </row>
    <row r="295">
      <c r="A295">
        <f>--ISNUMBER(IFERROR(SEARCH($C$5,Inputs!$D295,1),""))</f>
        <v/>
      </c>
      <c r="B295">
        <f>IF(A295=1,COUNTIF($A$6:A295,1),"")</f>
        <v/>
      </c>
      <c r="C295">
        <f>IFERROR(INDEX($D$6:$D$1750,MATCH(ROWS($B$6:B295),$B$6:$B$1750,0)),"")</f>
        <v/>
      </c>
      <c r="D295">
        <f>J295&amp;" ("&amp;E295&amp;")"</f>
        <v/>
      </c>
      <c r="E295" t="n">
        <v>12432</v>
      </c>
      <c r="F295" t="inlineStr">
        <is>
          <t>General Acute Care</t>
        </is>
      </c>
      <c r="G295" t="inlineStr">
        <is>
          <t>375 Laguna Honda Blvd.</t>
        </is>
      </c>
      <c r="H295" t="inlineStr">
        <is>
          <t>San Francisco</t>
        </is>
      </c>
      <c r="I295" t="inlineStr">
        <is>
          <t>San Francisco</t>
        </is>
      </c>
      <c r="J295" t="inlineStr">
        <is>
          <t>Laguna Honda Hospital &amp; Rehabilitation Center</t>
        </is>
      </c>
    </row>
    <row r="296">
      <c r="A296">
        <f>--ISNUMBER(IFERROR(SEARCH($C$5,Inputs!$D296,1),""))</f>
        <v/>
      </c>
      <c r="B296">
        <f>IF(A296=1,COUNTIF($A$6:A296,1),"")</f>
        <v/>
      </c>
      <c r="C296">
        <f>IFERROR(INDEX($D$6:$D$1750,MATCH(ROWS($B$6:B296),$B$6:$B$1750,0)),"")</f>
        <v/>
      </c>
      <c r="D296">
        <f>J296&amp;" ("&amp;E296&amp;")"</f>
        <v/>
      </c>
      <c r="E296" t="n">
        <v>12433</v>
      </c>
      <c r="F296" t="inlineStr">
        <is>
          <t>Acute Psychiatric Hospital</t>
        </is>
      </c>
      <c r="G296" t="inlineStr">
        <is>
          <t>401 Parnassus Avenue</t>
        </is>
      </c>
      <c r="H296" t="inlineStr">
        <is>
          <t>San Francisco</t>
        </is>
      </c>
      <c r="I296" t="inlineStr">
        <is>
          <t>San Francisco</t>
        </is>
      </c>
      <c r="J296" t="inlineStr">
        <is>
          <t>Langley Porter Psychiatric Institute</t>
        </is>
      </c>
    </row>
    <row r="297">
      <c r="A297">
        <f>--ISNUMBER(IFERROR(SEARCH($C$5,Inputs!$D297,1),""))</f>
        <v/>
      </c>
      <c r="B297">
        <f>IF(A297=1,COUNTIF($A$6:A297,1),"")</f>
        <v/>
      </c>
      <c r="C297">
        <f>IFERROR(INDEX($D$6:$D$1750,MATCH(ROWS($B$6:B297),$B$6:$B$1750,0)),"")</f>
        <v/>
      </c>
      <c r="D297">
        <f>J297&amp;" ("&amp;E297&amp;")"</f>
        <v/>
      </c>
      <c r="E297" t="n">
        <v>12443</v>
      </c>
      <c r="F297" t="inlineStr">
        <is>
          <t>General Acute Care</t>
        </is>
      </c>
      <c r="G297" t="inlineStr">
        <is>
          <t>1600 Divisadero Street</t>
        </is>
      </c>
      <c r="H297" t="inlineStr">
        <is>
          <t>San Francisco</t>
        </is>
      </c>
      <c r="I297" t="inlineStr">
        <is>
          <t>San Francisco</t>
        </is>
      </c>
      <c r="J297" t="inlineStr">
        <is>
          <t>UCSF Medical Center at Mount Zion</t>
        </is>
      </c>
    </row>
    <row r="298">
      <c r="A298">
        <f>--ISNUMBER(IFERROR(SEARCH($C$5,Inputs!$D298,1),""))</f>
        <v/>
      </c>
      <c r="B298">
        <f>IF(A298=1,COUNTIF($A$6:A298,1),"")</f>
        <v/>
      </c>
      <c r="C298">
        <f>IFERROR(INDEX($D$6:$D$1750,MATCH(ROWS($B$6:B298),$B$6:$B$1750,0)),"")</f>
        <v/>
      </c>
      <c r="D298">
        <f>J298&amp;" ("&amp;E298&amp;")"</f>
        <v/>
      </c>
      <c r="E298" t="n">
        <v>12457</v>
      </c>
      <c r="F298" t="inlineStr">
        <is>
          <t>General Acute Care</t>
        </is>
      </c>
      <c r="G298" t="inlineStr">
        <is>
          <t>900 Hyde St</t>
        </is>
      </c>
      <c r="H298" t="inlineStr">
        <is>
          <t>San Francisco</t>
        </is>
      </c>
      <c r="I298" t="inlineStr">
        <is>
          <t>San Francisco</t>
        </is>
      </c>
      <c r="J298" t="inlineStr">
        <is>
          <t>Saint Francis Memorial Hospital</t>
        </is>
      </c>
    </row>
    <row r="299">
      <c r="A299">
        <f>--ISNUMBER(IFERROR(SEARCH($C$5,Inputs!$D299,1),""))</f>
        <v/>
      </c>
      <c r="B299">
        <f>IF(A299=1,COUNTIF($A$6:A299,1),"")</f>
        <v/>
      </c>
      <c r="C299">
        <f>IFERROR(INDEX($D$6:$D$1750,MATCH(ROWS($B$6:B299),$B$6:$B$1750,0)),"")</f>
        <v/>
      </c>
      <c r="D299">
        <f>J299&amp;" ("&amp;E299&amp;")"</f>
        <v/>
      </c>
      <c r="E299" t="n">
        <v>12460</v>
      </c>
      <c r="F299" t="inlineStr">
        <is>
          <t>General Acute Care</t>
        </is>
      </c>
      <c r="G299" t="inlineStr">
        <is>
          <t>450 Stanyan St</t>
        </is>
      </c>
      <c r="H299" t="inlineStr">
        <is>
          <t>San Francisco</t>
        </is>
      </c>
      <c r="I299" t="inlineStr">
        <is>
          <t>San Francisco</t>
        </is>
      </c>
      <c r="J299" t="inlineStr">
        <is>
          <t>St. Mary's Medical Center</t>
        </is>
      </c>
    </row>
    <row r="300">
      <c r="A300">
        <f>--ISNUMBER(IFERROR(SEARCH($C$5,Inputs!$D300,1),""))</f>
        <v/>
      </c>
      <c r="B300">
        <f>IF(A300=1,COUNTIF($A$6:A300,1),"")</f>
        <v/>
      </c>
      <c r="C300">
        <f>IFERROR(INDEX($D$6:$D$1750,MATCH(ROWS($B$6:B300),$B$6:$B$1750,0)),"")</f>
        <v/>
      </c>
      <c r="D300">
        <f>J300&amp;" ("&amp;E300&amp;")"</f>
        <v/>
      </c>
      <c r="E300" t="n">
        <v>12463</v>
      </c>
      <c r="F300" t="inlineStr">
        <is>
          <t>General Acute Care</t>
        </is>
      </c>
      <c r="G300" t="inlineStr">
        <is>
          <t>1001 Potrero Ave</t>
        </is>
      </c>
      <c r="H300" t="inlineStr">
        <is>
          <t>San Francisco</t>
        </is>
      </c>
      <c r="I300" t="inlineStr">
        <is>
          <t>San Francisco</t>
        </is>
      </c>
      <c r="J300" t="inlineStr">
        <is>
          <t>Priscilla Chan And Mark Zuckerberg San Francisco General Hospital And Trauma Center</t>
        </is>
      </c>
    </row>
    <row r="301">
      <c r="A301">
        <f>--ISNUMBER(IFERROR(SEARCH($C$5,Inputs!$D301,1),""))</f>
        <v/>
      </c>
      <c r="B301">
        <f>IF(A301=1,COUNTIF($A$6:A301,1),"")</f>
        <v/>
      </c>
      <c r="C301">
        <f>IFERROR(INDEX($D$6:$D$1750,MATCH(ROWS($B$6:B301),$B$6:$B$1750,0)),"")</f>
        <v/>
      </c>
      <c r="D301">
        <f>J301&amp;" ("&amp;E301&amp;")"</f>
        <v/>
      </c>
      <c r="E301" t="n">
        <v>12476</v>
      </c>
      <c r="F301" t="inlineStr">
        <is>
          <t>General Acute Care</t>
        </is>
      </c>
      <c r="G301" t="inlineStr">
        <is>
          <t>505 Parnassus Avenue</t>
        </is>
      </c>
      <c r="H301" t="inlineStr">
        <is>
          <t>San Francisco</t>
        </is>
      </c>
      <c r="I301" t="inlineStr">
        <is>
          <t>San Francisco</t>
        </is>
      </c>
      <c r="J301" t="inlineStr">
        <is>
          <t>UCSF Medical Center</t>
        </is>
      </c>
    </row>
    <row r="302">
      <c r="A302">
        <f>--ISNUMBER(IFERROR(SEARCH($C$5,Inputs!$D302,1),""))</f>
        <v/>
      </c>
      <c r="B302">
        <f>IF(A302=1,COUNTIF($A$6:A302,1),"")</f>
        <v/>
      </c>
      <c r="C302">
        <f>IFERROR(INDEX($D$6:$D$1750,MATCH(ROWS($B$6:B302),$B$6:$B$1750,0)),"")</f>
        <v/>
      </c>
      <c r="D302">
        <f>J302&amp;" ("&amp;E302&amp;")"</f>
        <v/>
      </c>
      <c r="E302" t="n">
        <v>12482</v>
      </c>
      <c r="F302" t="inlineStr">
        <is>
          <t>General Acute Care</t>
        </is>
      </c>
      <c r="G302" t="inlineStr">
        <is>
          <t>2333 Buchanan Street</t>
        </is>
      </c>
      <c r="H302" t="inlineStr">
        <is>
          <t>San Francisco</t>
        </is>
      </c>
      <c r="I302" t="inlineStr">
        <is>
          <t>San Francisco</t>
        </is>
      </c>
      <c r="J302" t="inlineStr">
        <is>
          <t>California Pacific Medical Center - Pacific Campus Hospital</t>
        </is>
      </c>
    </row>
    <row r="303">
      <c r="A303">
        <f>--ISNUMBER(IFERROR(SEARCH($C$5,Inputs!$D303,1),""))</f>
        <v/>
      </c>
      <c r="B303">
        <f>IF(A303=1,COUNTIF($A$6:A303,1),"")</f>
        <v/>
      </c>
      <c r="C303">
        <f>IFERROR(INDEX($D$6:$D$1750,MATCH(ROWS($B$6:B303),$B$6:$B$1750,0)),"")</f>
        <v/>
      </c>
      <c r="D303">
        <f>J303&amp;" ("&amp;E303&amp;")"</f>
        <v/>
      </c>
      <c r="E303" t="n">
        <v>12525</v>
      </c>
      <c r="F303" t="inlineStr">
        <is>
          <t>General Acute Care</t>
        </is>
      </c>
      <c r="G303" t="inlineStr">
        <is>
          <t>300 Hospital Dr</t>
        </is>
      </c>
      <c r="H303" t="inlineStr">
        <is>
          <t>Vallejo</t>
        </is>
      </c>
      <c r="I303" t="inlineStr">
        <is>
          <t>Solano</t>
        </is>
      </c>
      <c r="J303" t="inlineStr">
        <is>
          <t>Sutter Solano Medical Center</t>
        </is>
      </c>
    </row>
    <row r="304">
      <c r="A304">
        <f>--ISNUMBER(IFERROR(SEARCH($C$5,Inputs!$D304,1),""))</f>
        <v/>
      </c>
      <c r="B304">
        <f>IF(A304=1,COUNTIF($A$6:A304,1),"")</f>
        <v/>
      </c>
      <c r="C304">
        <f>IFERROR(INDEX($D$6:$D$1750,MATCH(ROWS($B$6:B304),$B$6:$B$1750,0)),"")</f>
        <v/>
      </c>
      <c r="D304">
        <f>J304&amp;" ("&amp;E304&amp;")"</f>
        <v/>
      </c>
      <c r="E304" t="n">
        <v>12551</v>
      </c>
      <c r="F304" t="inlineStr">
        <is>
          <t>General Acute Care</t>
        </is>
      </c>
      <c r="G304" t="inlineStr">
        <is>
          <t>1812 Verdugo Blvd.</t>
        </is>
      </c>
      <c r="H304" t="inlineStr">
        <is>
          <t>Glendale</t>
        </is>
      </c>
      <c r="I304" t="inlineStr">
        <is>
          <t>Los Angeles</t>
        </is>
      </c>
      <c r="J304" t="inlineStr">
        <is>
          <t>USC Verdugo Hills Hospital</t>
        </is>
      </c>
    </row>
    <row r="305">
      <c r="A305">
        <f>--ISNUMBER(IFERROR(SEARCH($C$5,Inputs!$D305,1),""))</f>
        <v/>
      </c>
      <c r="B305">
        <f>IF(A305=1,COUNTIF($A$6:A305,1),"")</f>
        <v/>
      </c>
      <c r="C305">
        <f>IFERROR(INDEX($D$6:$D$1750,MATCH(ROWS($B$6:B305),$B$6:$B$1750,0)),"")</f>
        <v/>
      </c>
      <c r="D305">
        <f>J305&amp;" ("&amp;E305&amp;")"</f>
        <v/>
      </c>
      <c r="E305" t="n">
        <v>12573</v>
      </c>
      <c r="F305" t="inlineStr">
        <is>
          <t>General Acute Care</t>
        </is>
      </c>
      <c r="G305" t="inlineStr">
        <is>
          <t>14662 Newport Ave</t>
        </is>
      </c>
      <c r="H305" t="inlineStr">
        <is>
          <t>Tustin</t>
        </is>
      </c>
      <c r="I305" t="inlineStr">
        <is>
          <t>Orange</t>
        </is>
      </c>
      <c r="J305" t="inlineStr">
        <is>
          <t>Foothill Regional Medical Center</t>
        </is>
      </c>
    </row>
    <row r="306">
      <c r="A306">
        <f>--ISNUMBER(IFERROR(SEARCH($C$5,Inputs!$D306,1),""))</f>
        <v/>
      </c>
      <c r="B306">
        <f>IF(A306=1,COUNTIF($A$6:A306,1),"")</f>
        <v/>
      </c>
      <c r="C306">
        <f>IFERROR(INDEX($D$6:$D$1750,MATCH(ROWS($B$6:B306),$B$6:$B$1750,0)),"")</f>
        <v/>
      </c>
      <c r="D306">
        <f>J306&amp;" ("&amp;E306&amp;")"</f>
        <v/>
      </c>
      <c r="E306" t="n">
        <v>12575</v>
      </c>
      <c r="F306" t="inlineStr">
        <is>
          <t>Acute Psychiatric Hospital</t>
        </is>
      </c>
      <c r="G306" t="inlineStr">
        <is>
          <t>10802 College Pl</t>
        </is>
      </c>
      <c r="H306" t="inlineStr">
        <is>
          <t>Cerritos</t>
        </is>
      </c>
      <c r="I306" t="inlineStr">
        <is>
          <t>Los Angeles</t>
        </is>
      </c>
      <c r="J306" t="inlineStr">
        <is>
          <t>College Hospital</t>
        </is>
      </c>
    </row>
    <row r="307">
      <c r="A307">
        <f>--ISNUMBER(IFERROR(SEARCH($C$5,Inputs!$D307,1),""))</f>
        <v/>
      </c>
      <c r="B307">
        <f>IF(A307=1,COUNTIF($A$6:A307,1),"")</f>
        <v/>
      </c>
      <c r="C307">
        <f>IFERROR(INDEX($D$6:$D$1750,MATCH(ROWS($B$6:B307),$B$6:$B$1750,0)),"")</f>
        <v/>
      </c>
      <c r="D307">
        <f>J307&amp;" ("&amp;E307&amp;")"</f>
        <v/>
      </c>
      <c r="E307" t="n">
        <v>12601</v>
      </c>
      <c r="F307" t="inlineStr">
        <is>
          <t>General Acute Care</t>
        </is>
      </c>
      <c r="G307" t="inlineStr">
        <is>
          <t>400 West Mineral King</t>
        </is>
      </c>
      <c r="H307" t="inlineStr">
        <is>
          <t>Visalia</t>
        </is>
      </c>
      <c r="I307" t="inlineStr">
        <is>
          <t>Tulare</t>
        </is>
      </c>
      <c r="J307" t="inlineStr">
        <is>
          <t>Kaweah Health Medical Center</t>
        </is>
      </c>
    </row>
    <row r="308">
      <c r="A308">
        <f>--ISNUMBER(IFERROR(SEARCH($C$5,Inputs!$D308,1),""))</f>
        <v/>
      </c>
      <c r="B308">
        <f>IF(A308=1,COUNTIF($A$6:A308,1),"")</f>
        <v/>
      </c>
      <c r="C308">
        <f>IFERROR(INDEX($D$6:$D$1750,MATCH(ROWS($B$6:B308),$B$6:$B$1750,0)),"")</f>
        <v/>
      </c>
      <c r="D308">
        <f>J308&amp;" ("&amp;E308&amp;")"</f>
        <v/>
      </c>
      <c r="E308" t="n">
        <v>12645</v>
      </c>
      <c r="F308" t="inlineStr">
        <is>
          <t>Acute Psychiatric Hospital</t>
        </is>
      </c>
      <c r="G308" t="inlineStr">
        <is>
          <t>1287 Fulton Rd</t>
        </is>
      </c>
      <c r="H308" t="inlineStr">
        <is>
          <t>Santa Rosa</t>
        </is>
      </c>
      <c r="I308" t="inlineStr">
        <is>
          <t>Sonoma</t>
        </is>
      </c>
      <c r="J308" t="inlineStr">
        <is>
          <t>Aurora Behavioral Healthcare-Santa Rosa, LLC</t>
        </is>
      </c>
    </row>
    <row r="309">
      <c r="A309">
        <f>--ISNUMBER(IFERROR(SEARCH($C$5,Inputs!$D309,1),""))</f>
        <v/>
      </c>
      <c r="B309">
        <f>IF(A309=1,COUNTIF($A$6:A309,1),"")</f>
        <v/>
      </c>
      <c r="C309">
        <f>IFERROR(INDEX($D$6:$D$1750,MATCH(ROWS($B$6:B309),$B$6:$B$1750,0)),"")</f>
        <v/>
      </c>
      <c r="D309">
        <f>J309&amp;" ("&amp;E309&amp;")"</f>
        <v/>
      </c>
      <c r="E309" t="n">
        <v>12662</v>
      </c>
      <c r="F309" t="inlineStr">
        <is>
          <t>General Acute Care</t>
        </is>
      </c>
      <c r="G309" t="inlineStr">
        <is>
          <t>39000 Bob Hope Dr</t>
        </is>
      </c>
      <c r="H309" t="inlineStr">
        <is>
          <t>Rancho Mirage</t>
        </is>
      </c>
      <c r="I309" t="inlineStr">
        <is>
          <t>Riverside</t>
        </is>
      </c>
      <c r="J309" t="inlineStr">
        <is>
          <t>Eisenhower Medical Center</t>
        </is>
      </c>
    </row>
    <row r="310">
      <c r="A310">
        <f>--ISNUMBER(IFERROR(SEARCH($C$5,Inputs!$D310,1),""))</f>
        <v/>
      </c>
      <c r="B310">
        <f>IF(A310=1,COUNTIF($A$6:A310,1),"")</f>
        <v/>
      </c>
      <c r="C310">
        <f>IFERROR(INDEX($D$6:$D$1750,MATCH(ROWS($B$6:B310),$B$6:$B$1750,0)),"")</f>
        <v/>
      </c>
      <c r="D310">
        <f>J310&amp;" ("&amp;E310&amp;")"</f>
        <v/>
      </c>
      <c r="E310" t="n">
        <v>12678</v>
      </c>
      <c r="F310" t="inlineStr">
        <is>
          <t>General Acute Care</t>
        </is>
      </c>
      <c r="G310" t="inlineStr">
        <is>
          <t>600 Marine Blvd.</t>
        </is>
      </c>
      <c r="H310" t="inlineStr">
        <is>
          <t>Moss Beach</t>
        </is>
      </c>
      <c r="I310" t="inlineStr">
        <is>
          <t>San Mateo</t>
        </is>
      </c>
      <c r="J310" t="inlineStr">
        <is>
          <t>AHMC Seton Medical Center Coastside</t>
        </is>
      </c>
    </row>
    <row r="311">
      <c r="A311">
        <f>--ISNUMBER(IFERROR(SEARCH($C$5,Inputs!$D311,1),""))</f>
        <v/>
      </c>
      <c r="B311">
        <f>IF(A311=1,COUNTIF($A$6:A311,1),"")</f>
        <v/>
      </c>
      <c r="C311">
        <f>IFERROR(INDEX($D$6:$D$1750,MATCH(ROWS($B$6:B311),$B$6:$B$1750,0)),"")</f>
        <v/>
      </c>
      <c r="D311">
        <f>J311&amp;" ("&amp;E311&amp;")"</f>
        <v/>
      </c>
      <c r="E311" t="n">
        <v>12741</v>
      </c>
      <c r="F311" t="inlineStr">
        <is>
          <t>Acute Psychiatric Hospital</t>
        </is>
      </c>
      <c r="G311" t="inlineStr">
        <is>
          <t>330 Moss Street</t>
        </is>
      </c>
      <c r="H311" t="inlineStr">
        <is>
          <t>Chula Vista</t>
        </is>
      </c>
      <c r="I311" t="inlineStr">
        <is>
          <t>San Diego</t>
        </is>
      </c>
      <c r="J311" t="inlineStr">
        <is>
          <t>Paradise Valley Hospital D/P APH Bayview Behavioral Health</t>
        </is>
      </c>
    </row>
    <row r="312">
      <c r="A312">
        <f>--ISNUMBER(IFERROR(SEARCH($C$5,Inputs!$D312,1),""))</f>
        <v/>
      </c>
      <c r="B312">
        <f>IF(A312=1,COUNTIF($A$6:A312,1),"")</f>
        <v/>
      </c>
      <c r="C312">
        <f>IFERROR(INDEX($D$6:$D$1750,MATCH(ROWS($B$6:B312),$B$6:$B$1750,0)),"")</f>
        <v/>
      </c>
      <c r="D312">
        <f>J312&amp;" ("&amp;E312&amp;")"</f>
        <v/>
      </c>
      <c r="E312" t="n">
        <v>12744</v>
      </c>
      <c r="F312" t="inlineStr">
        <is>
          <t>General Acute Care</t>
        </is>
      </c>
      <c r="G312" t="inlineStr">
        <is>
          <t>4650 Lincoln Blvd</t>
        </is>
      </c>
      <c r="H312" t="inlineStr">
        <is>
          <t>Marina Del Rey</t>
        </is>
      </c>
      <c r="I312" t="inlineStr">
        <is>
          <t>Los Angeles</t>
        </is>
      </c>
      <c r="J312" t="inlineStr">
        <is>
          <t>Cedars-Sinai Marina Del Rey Hospital</t>
        </is>
      </c>
    </row>
    <row r="313">
      <c r="A313">
        <f>--ISNUMBER(IFERROR(SEARCH($C$5,Inputs!$D313,1),""))</f>
        <v/>
      </c>
      <c r="B313">
        <f>IF(A313=1,COUNTIF($A$6:A313,1),"")</f>
        <v/>
      </c>
      <c r="C313">
        <f>IFERROR(INDEX($D$6:$D$1750,MATCH(ROWS($B$6:B313),$B$6:$B$1750,0)),"")</f>
        <v/>
      </c>
      <c r="D313">
        <f>J313&amp;" ("&amp;E313&amp;")"</f>
        <v/>
      </c>
      <c r="E313" t="n">
        <v>12755</v>
      </c>
      <c r="F313" t="inlineStr">
        <is>
          <t>General Acute Care</t>
        </is>
      </c>
      <c r="G313" t="inlineStr">
        <is>
          <t>24451 Health Center Dr.</t>
        </is>
      </c>
      <c r="H313" t="inlineStr">
        <is>
          <t>Laguna Hills</t>
        </is>
      </c>
      <c r="I313" t="inlineStr">
        <is>
          <t>Orange</t>
        </is>
      </c>
      <c r="J313" t="inlineStr">
        <is>
          <t>Memorialcare Saddleback Medical Center</t>
        </is>
      </c>
    </row>
    <row r="314">
      <c r="A314">
        <f>--ISNUMBER(IFERROR(SEARCH($C$5,Inputs!$D314,1),""))</f>
        <v/>
      </c>
      <c r="B314">
        <f>IF(A314=1,COUNTIF($A$6:A314,1),"")</f>
        <v/>
      </c>
      <c r="C314">
        <f>IFERROR(INDEX($D$6:$D$1750,MATCH(ROWS($B$6:B314),$B$6:$B$1750,0)),"")</f>
        <v/>
      </c>
      <c r="D314">
        <f>J314&amp;" ("&amp;E314&amp;")"</f>
        <v/>
      </c>
      <c r="E314" t="n">
        <v>12763</v>
      </c>
      <c r="F314" t="inlineStr">
        <is>
          <t>General Acute Care</t>
        </is>
      </c>
      <c r="G314" t="inlineStr">
        <is>
          <t>16850 Bear Valley Rd.</t>
        </is>
      </c>
      <c r="H314" t="inlineStr">
        <is>
          <t>Victorville</t>
        </is>
      </c>
      <c r="I314" t="inlineStr">
        <is>
          <t>San Bernardino</t>
        </is>
      </c>
      <c r="J314" t="inlineStr">
        <is>
          <t>Desert Valley Hospital</t>
        </is>
      </c>
    </row>
    <row r="315">
      <c r="A315">
        <f>--ISNUMBER(IFERROR(SEARCH($C$5,Inputs!$D315,1),""))</f>
        <v/>
      </c>
      <c r="B315">
        <f>IF(A315=1,COUNTIF($A$6:A315,1),"")</f>
        <v/>
      </c>
      <c r="C315">
        <f>IFERROR(INDEX($D$6:$D$1750,MATCH(ROWS($B$6:B315),$B$6:$B$1750,0)),"")</f>
        <v/>
      </c>
      <c r="D315">
        <f>J315&amp;" ("&amp;E315&amp;")"</f>
        <v/>
      </c>
      <c r="E315" t="n">
        <v>12765</v>
      </c>
      <c r="F315" t="inlineStr">
        <is>
          <t>General Acute Care</t>
        </is>
      </c>
      <c r="G315" t="inlineStr">
        <is>
          <t>1401 Garces Hwy</t>
        </is>
      </c>
      <c r="H315" t="inlineStr">
        <is>
          <t>Delano</t>
        </is>
      </c>
      <c r="I315" t="inlineStr">
        <is>
          <t>Kern</t>
        </is>
      </c>
      <c r="J315" t="inlineStr">
        <is>
          <t>Adventist Health Delano</t>
        </is>
      </c>
    </row>
    <row r="316">
      <c r="A316">
        <f>--ISNUMBER(IFERROR(SEARCH($C$5,Inputs!$D316,1),""))</f>
        <v/>
      </c>
      <c r="B316">
        <f>IF(A316=1,COUNTIF($A$6:A316,1),"")</f>
        <v/>
      </c>
      <c r="C316">
        <f>IFERROR(INDEX($D$6:$D$1750,MATCH(ROWS($B$6:B316),$B$6:$B$1750,0)),"")</f>
        <v/>
      </c>
      <c r="D316">
        <f>J316&amp;" ("&amp;E316&amp;")"</f>
        <v/>
      </c>
      <c r="E316" t="n">
        <v>12784</v>
      </c>
      <c r="F316" t="inlineStr">
        <is>
          <t>General Acute Care</t>
        </is>
      </c>
      <c r="G316" t="inlineStr">
        <is>
          <t>800 East Washington Blvd.</t>
        </is>
      </c>
      <c r="H316" t="inlineStr">
        <is>
          <t>Crescent City</t>
        </is>
      </c>
      <c r="I316" t="inlineStr">
        <is>
          <t>Del Norte</t>
        </is>
      </c>
      <c r="J316" t="inlineStr">
        <is>
          <t>Sutter Coast Hospital</t>
        </is>
      </c>
    </row>
    <row r="317">
      <c r="A317">
        <f>--ISNUMBER(IFERROR(SEARCH($C$5,Inputs!$D317,1),""))</f>
        <v/>
      </c>
      <c r="B317">
        <f>IF(A317=1,COUNTIF($A$6:A317,1),"")</f>
        <v/>
      </c>
      <c r="C317">
        <f>IFERROR(INDEX($D$6:$D$1750,MATCH(ROWS($B$6:B317),$B$6:$B$1750,0)),"")</f>
        <v/>
      </c>
      <c r="D317">
        <f>J317&amp;" ("&amp;E317&amp;")"</f>
        <v/>
      </c>
      <c r="E317" t="n">
        <v>12787</v>
      </c>
      <c r="F317" t="inlineStr">
        <is>
          <t>General Acute Care</t>
        </is>
      </c>
      <c r="G317" t="inlineStr">
        <is>
          <t>16453 S. Colorado Ave.</t>
        </is>
      </c>
      <c r="H317" t="inlineStr">
        <is>
          <t>Paramount</t>
        </is>
      </c>
      <c r="I317" t="inlineStr">
        <is>
          <t>Los Angeles</t>
        </is>
      </c>
      <c r="J317" t="inlineStr">
        <is>
          <t>Kindred Hospital Paramount</t>
        </is>
      </c>
    </row>
    <row r="318">
      <c r="A318">
        <f>--ISNUMBER(IFERROR(SEARCH($C$5,Inputs!$D318,1),""))</f>
        <v/>
      </c>
      <c r="B318">
        <f>IF(A318=1,COUNTIF($A$6:A318,1),"")</f>
        <v/>
      </c>
      <c r="C318">
        <f>IFERROR(INDEX($D$6:$D$1750,MATCH(ROWS($B$6:B318),$B$6:$B$1750,0)),"")</f>
        <v/>
      </c>
      <c r="D318">
        <f>J318&amp;" ("&amp;E318&amp;")"</f>
        <v/>
      </c>
      <c r="E318" t="n">
        <v>12804</v>
      </c>
      <c r="F318" t="inlineStr">
        <is>
          <t>General Acute Care</t>
        </is>
      </c>
      <c r="G318" t="inlineStr">
        <is>
          <t>27700 Medical Center Rd.</t>
        </is>
      </c>
      <c r="H318" t="inlineStr">
        <is>
          <t>Mission Viejo</t>
        </is>
      </c>
      <c r="I318" t="inlineStr">
        <is>
          <t>Orange</t>
        </is>
      </c>
      <c r="J318" t="inlineStr">
        <is>
          <t>Providence Mission Hospital</t>
        </is>
      </c>
    </row>
    <row r="319">
      <c r="A319">
        <f>--ISNUMBER(IFERROR(SEARCH($C$5,Inputs!$D319,1),""))</f>
        <v/>
      </c>
      <c r="B319">
        <f>IF(A319=1,COUNTIF($A$6:A319,1),"")</f>
        <v/>
      </c>
      <c r="C319">
        <f>IFERROR(INDEX($D$6:$D$1750,MATCH(ROWS($B$6:B319),$B$6:$B$1750,0)),"")</f>
        <v/>
      </c>
      <c r="D319">
        <f>J319&amp;" ("&amp;E319&amp;")"</f>
        <v/>
      </c>
      <c r="E319" t="n">
        <v>12817</v>
      </c>
      <c r="F319" t="inlineStr">
        <is>
          <t>Acute Psychiatric Hospital</t>
        </is>
      </c>
      <c r="G319" t="inlineStr">
        <is>
          <t>150 Medical Plaza</t>
        </is>
      </c>
      <c r="H319" t="inlineStr">
        <is>
          <t>Los Angeles</t>
        </is>
      </c>
      <c r="I319" t="inlineStr">
        <is>
          <t>Los Angeles</t>
        </is>
      </c>
      <c r="J319" t="inlineStr">
        <is>
          <t>Resnick Neuropsychiatric Hospital at UCLA</t>
        </is>
      </c>
    </row>
    <row r="320">
      <c r="A320">
        <f>--ISNUMBER(IFERROR(SEARCH($C$5,Inputs!$D320,1),""))</f>
        <v/>
      </c>
      <c r="B320">
        <f>IF(A320=1,COUNTIF($A$6:A320,1),"")</f>
        <v/>
      </c>
      <c r="C320">
        <f>IFERROR(INDEX($D$6:$D$1750,MATCH(ROWS($B$6:B320),$B$6:$B$1750,0)),"")</f>
        <v/>
      </c>
      <c r="D320">
        <f>J320&amp;" ("&amp;E320&amp;")"</f>
        <v/>
      </c>
      <c r="E320" t="n">
        <v>12823</v>
      </c>
      <c r="F320" t="inlineStr">
        <is>
          <t>General Acute Care</t>
        </is>
      </c>
      <c r="G320" t="inlineStr">
        <is>
          <t>1375 University Street</t>
        </is>
      </c>
      <c r="H320" t="inlineStr">
        <is>
          <t>Healdsburg</t>
        </is>
      </c>
      <c r="I320" t="inlineStr">
        <is>
          <t>Sonoma</t>
        </is>
      </c>
      <c r="J320" t="inlineStr">
        <is>
          <t>Healdsburg Hospital</t>
        </is>
      </c>
    </row>
    <row r="321">
      <c r="A321">
        <f>--ISNUMBER(IFERROR(SEARCH($C$5,Inputs!$D321,1),""))</f>
        <v/>
      </c>
      <c r="B321">
        <f>IF(A321=1,COUNTIF($A$6:A321,1),"")</f>
        <v/>
      </c>
      <c r="C321">
        <f>IFERROR(INDEX($D$6:$D$1750,MATCH(ROWS($B$6:B321),$B$6:$B$1750,0)),"")</f>
        <v/>
      </c>
      <c r="D321">
        <f>J321&amp;" ("&amp;E321&amp;")"</f>
        <v/>
      </c>
      <c r="E321" t="n">
        <v>12824</v>
      </c>
      <c r="F321" t="inlineStr">
        <is>
          <t>Acute Psychiatric Hospital</t>
        </is>
      </c>
      <c r="G321" t="inlineStr">
        <is>
          <t>18646 Oxnard St.</t>
        </is>
      </c>
      <c r="H321" t="inlineStr">
        <is>
          <t>Tarzana</t>
        </is>
      </c>
      <c r="I321" t="inlineStr">
        <is>
          <t>Los Angeles</t>
        </is>
      </c>
      <c r="J321" t="inlineStr">
        <is>
          <t>Tarzana Treatment Center</t>
        </is>
      </c>
    </row>
    <row r="322">
      <c r="A322">
        <f>--ISNUMBER(IFERROR(SEARCH($C$5,Inputs!$D322,1),""))</f>
        <v/>
      </c>
      <c r="B322">
        <f>IF(A322=1,COUNTIF($A$6:A322,1),"")</f>
        <v/>
      </c>
      <c r="C322">
        <f>IFERROR(INDEX($D$6:$D$1750,MATCH(ROWS($B$6:B322),$B$6:$B$1750,0)),"")</f>
        <v/>
      </c>
      <c r="D322">
        <f>J322&amp;" ("&amp;E322&amp;")"</f>
        <v/>
      </c>
      <c r="E322" t="n">
        <v>12831</v>
      </c>
      <c r="F322" t="inlineStr">
        <is>
          <t>General Acute Care</t>
        </is>
      </c>
      <c r="G322" t="inlineStr">
        <is>
          <t>3700 E South St</t>
        </is>
      </c>
      <c r="H322" t="inlineStr">
        <is>
          <t>Lakewood</t>
        </is>
      </c>
      <c r="I322" t="inlineStr">
        <is>
          <t>Los Angeles</t>
        </is>
      </c>
      <c r="J322" t="inlineStr">
        <is>
          <t>Lakewood Regional Medical Center</t>
        </is>
      </c>
    </row>
    <row r="323">
      <c r="A323">
        <f>--ISNUMBER(IFERROR(SEARCH($C$5,Inputs!$D323,1),""))</f>
        <v/>
      </c>
      <c r="B323">
        <f>IF(A323=1,COUNTIF($A$6:A323,1),"")</f>
        <v/>
      </c>
      <c r="C323">
        <f>IFERROR(INDEX($D$6:$D$1750,MATCH(ROWS($B$6:B323),$B$6:$B$1750,0)),"")</f>
        <v/>
      </c>
      <c r="D323">
        <f>J323&amp;" ("&amp;E323&amp;")"</f>
        <v/>
      </c>
      <c r="E323" t="n">
        <v>12834</v>
      </c>
      <c r="F323" t="inlineStr">
        <is>
          <t>General Acute Care</t>
        </is>
      </c>
      <c r="G323" t="inlineStr">
        <is>
          <t>17100 Euclid St.</t>
        </is>
      </c>
      <c r="H323" t="inlineStr">
        <is>
          <t>Fountain Valley</t>
        </is>
      </c>
      <c r="I323" t="inlineStr">
        <is>
          <t>Orange</t>
        </is>
      </c>
      <c r="J323" t="inlineStr">
        <is>
          <t>Fountain Valley Regional Hospital And Medical Center</t>
        </is>
      </c>
    </row>
    <row r="324">
      <c r="A324">
        <f>--ISNUMBER(IFERROR(SEARCH($C$5,Inputs!$D324,1),""))</f>
        <v/>
      </c>
      <c r="B324">
        <f>IF(A324=1,COUNTIF($A$6:A324,1),"")</f>
        <v/>
      </c>
      <c r="C324">
        <f>IFERROR(INDEX($D$6:$D$1750,MATCH(ROWS($B$6:B324),$B$6:$B$1750,0)),"")</f>
        <v/>
      </c>
      <c r="D324">
        <f>J324&amp;" ("&amp;E324&amp;")"</f>
        <v/>
      </c>
      <c r="E324" t="n">
        <v>12872</v>
      </c>
      <c r="F324" t="inlineStr">
        <is>
          <t>General Acute Care</t>
        </is>
      </c>
      <c r="G324" t="inlineStr">
        <is>
          <t>6655 Alvarado Rd</t>
        </is>
      </c>
      <c r="H324" t="inlineStr">
        <is>
          <t>San Diego</t>
        </is>
      </c>
      <c r="I324" t="inlineStr">
        <is>
          <t>San Diego</t>
        </is>
      </c>
      <c r="J324" t="inlineStr">
        <is>
          <t>Alvarado Hospital Medical Center</t>
        </is>
      </c>
    </row>
    <row r="325">
      <c r="A325">
        <f>--ISNUMBER(IFERROR(SEARCH($C$5,Inputs!$D325,1),""))</f>
        <v/>
      </c>
      <c r="B325">
        <f>IF(A325=1,COUNTIF($A$6:A325,1),"")</f>
        <v/>
      </c>
      <c r="C325">
        <f>IFERROR(INDEX($D$6:$D$1750,MATCH(ROWS($B$6:B325),$B$6:$B$1750,0)),"")</f>
        <v/>
      </c>
      <c r="D325">
        <f>J325&amp;" ("&amp;E325&amp;")"</f>
        <v/>
      </c>
      <c r="E325" t="n">
        <v>12874</v>
      </c>
      <c r="F325" t="inlineStr">
        <is>
          <t>General Acute Care</t>
        </is>
      </c>
      <c r="G325" t="inlineStr">
        <is>
          <t>2070 Century Park E</t>
        </is>
      </c>
      <c r="H325" t="inlineStr">
        <is>
          <t>Los Angeles</t>
        </is>
      </c>
      <c r="I325" t="inlineStr">
        <is>
          <t>Los Angeles</t>
        </is>
      </c>
      <c r="J325" t="inlineStr">
        <is>
          <t>California Rehabilitation Institute, LLC</t>
        </is>
      </c>
    </row>
    <row r="326">
      <c r="A326">
        <f>--ISNUMBER(IFERROR(SEARCH($C$5,Inputs!$D326,1),""))</f>
        <v/>
      </c>
      <c r="B326">
        <f>IF(A326=1,COUNTIF($A$6:A326,1),"")</f>
        <v/>
      </c>
      <c r="C326">
        <f>IFERROR(INDEX($D$6:$D$1750,MATCH(ROWS($B$6:B326),$B$6:$B$1750,0)),"")</f>
        <v/>
      </c>
      <c r="D326">
        <f>J326&amp;" ("&amp;E326&amp;")"</f>
        <v/>
      </c>
      <c r="E326" t="n">
        <v>12875</v>
      </c>
      <c r="F326" t="inlineStr">
        <is>
          <t>General Acute Care</t>
        </is>
      </c>
      <c r="G326" t="inlineStr">
        <is>
          <t>6041 Cadillac Ave</t>
        </is>
      </c>
      <c r="H326" t="inlineStr">
        <is>
          <t>Los Angeles</t>
        </is>
      </c>
      <c r="I326" t="inlineStr">
        <is>
          <t>Los Angeles</t>
        </is>
      </c>
      <c r="J326" t="inlineStr">
        <is>
          <t>Kaiser Foundation Hospital-West LA</t>
        </is>
      </c>
    </row>
    <row r="327">
      <c r="A327">
        <f>--ISNUMBER(IFERROR(SEARCH($C$5,Inputs!$D327,1),""))</f>
        <v/>
      </c>
      <c r="B327">
        <f>IF(A327=1,COUNTIF($A$6:A327,1),"")</f>
        <v/>
      </c>
      <c r="C327">
        <f>IFERROR(INDEX($D$6:$D$1750,MATCH(ROWS($B$6:B327),$B$6:$B$1750,0)),"")</f>
        <v/>
      </c>
      <c r="D327">
        <f>J327&amp;" ("&amp;E327&amp;")"</f>
        <v/>
      </c>
      <c r="E327" t="n">
        <v>12878</v>
      </c>
      <c r="F327" t="inlineStr">
        <is>
          <t>General Acute Care</t>
        </is>
      </c>
      <c r="G327" t="inlineStr">
        <is>
          <t>900 S. Atlantic Blvd.</t>
        </is>
      </c>
      <c r="H327" t="inlineStr">
        <is>
          <t>Monterey Park</t>
        </is>
      </c>
      <c r="I327" t="inlineStr">
        <is>
          <t>Los Angeles</t>
        </is>
      </c>
      <c r="J327" t="inlineStr">
        <is>
          <t>Monterey Park Hospital</t>
        </is>
      </c>
    </row>
    <row r="328">
      <c r="A328">
        <f>--ISNUMBER(IFERROR(SEARCH($C$5,Inputs!$D328,1),""))</f>
        <v/>
      </c>
      <c r="B328">
        <f>IF(A328=1,COUNTIF($A$6:A328,1),"")</f>
        <v/>
      </c>
      <c r="C328">
        <f>IFERROR(INDEX($D$6:$D$1750,MATCH(ROWS($B$6:B328),$B$6:$B$1750,0)),"")</f>
        <v/>
      </c>
      <c r="D328">
        <f>J328&amp;" ("&amp;E328&amp;")"</f>
        <v/>
      </c>
      <c r="E328" t="n">
        <v>12881</v>
      </c>
      <c r="F328" t="inlineStr">
        <is>
          <t>General Acute Care</t>
        </is>
      </c>
      <c r="G328" t="inlineStr">
        <is>
          <t>2615 Chester Avenue</t>
        </is>
      </c>
      <c r="H328" t="inlineStr">
        <is>
          <t>Bakersfield</t>
        </is>
      </c>
      <c r="I328" t="inlineStr">
        <is>
          <t>Kern</t>
        </is>
      </c>
      <c r="J328" t="inlineStr">
        <is>
          <t>Adventist Health Bakersfield</t>
        </is>
      </c>
    </row>
    <row r="329">
      <c r="A329">
        <f>--ISNUMBER(IFERROR(SEARCH($C$5,Inputs!$D329,1),""))</f>
        <v/>
      </c>
      <c r="B329">
        <f>IF(A329=1,COUNTIF($A$6:A329,1),"")</f>
        <v/>
      </c>
      <c r="C329">
        <f>IFERROR(INDEX($D$6:$D$1750,MATCH(ROWS($B$6:B329),$B$6:$B$1750,0)),"")</f>
        <v/>
      </c>
      <c r="D329">
        <f>J329&amp;" ("&amp;E329&amp;")"</f>
        <v/>
      </c>
      <c r="E329" t="n">
        <v>12952</v>
      </c>
      <c r="F329" t="inlineStr">
        <is>
          <t>General Acute Care</t>
        </is>
      </c>
      <c r="G329" t="inlineStr">
        <is>
          <t>250 Hospital Parkway</t>
        </is>
      </c>
      <c r="H329" t="inlineStr">
        <is>
          <t>San Jose</t>
        </is>
      </c>
      <c r="I329" t="inlineStr">
        <is>
          <t>Santa Clara</t>
        </is>
      </c>
      <c r="J329" t="inlineStr">
        <is>
          <t>Kaiser Foundation Hospital-San Jose</t>
        </is>
      </c>
    </row>
    <row r="330">
      <c r="A330">
        <f>--ISNUMBER(IFERROR(SEARCH($C$5,Inputs!$D330,1),""))</f>
        <v/>
      </c>
      <c r="B330">
        <f>IF(A330=1,COUNTIF($A$6:A330,1),"")</f>
        <v/>
      </c>
      <c r="C330">
        <f>IFERROR(INDEX($D$6:$D$1750,MATCH(ROWS($B$6:B330),$B$6:$B$1750,0)),"")</f>
        <v/>
      </c>
      <c r="D330">
        <f>J330&amp;" ("&amp;E330&amp;")"</f>
        <v/>
      </c>
      <c r="E330" t="n">
        <v>12964</v>
      </c>
      <c r="F330" t="inlineStr">
        <is>
          <t>General Acute Care</t>
        </is>
      </c>
      <c r="G330" t="inlineStr">
        <is>
          <t>1911 Johnson Avenue</t>
        </is>
      </c>
      <c r="H330" t="inlineStr">
        <is>
          <t>San Luis Obispo</t>
        </is>
      </c>
      <c r="I330" t="inlineStr">
        <is>
          <t>San Luis Obispo</t>
        </is>
      </c>
      <c r="J330" t="inlineStr">
        <is>
          <t>French Hospital Medical Center</t>
        </is>
      </c>
    </row>
    <row r="331">
      <c r="A331">
        <f>--ISNUMBER(IFERROR(SEARCH($C$5,Inputs!$D331,1),""))</f>
        <v/>
      </c>
      <c r="B331">
        <f>IF(A331=1,COUNTIF($A$6:A331,1),"")</f>
        <v/>
      </c>
      <c r="C331">
        <f>IFERROR(INDEX($D$6:$D$1750,MATCH(ROWS($B$6:B331),$B$6:$B$1750,0)),"")</f>
        <v/>
      </c>
      <c r="D331">
        <f>J331&amp;" ("&amp;E331&amp;")"</f>
        <v/>
      </c>
      <c r="E331" t="n">
        <v>12992</v>
      </c>
      <c r="F331" t="inlineStr">
        <is>
          <t>General Acute Care</t>
        </is>
      </c>
      <c r="G331" t="inlineStr">
        <is>
          <t>5000 San Bernardino St</t>
        </is>
      </c>
      <c r="H331" t="inlineStr">
        <is>
          <t>Montclair</t>
        </is>
      </c>
      <c r="I331" t="inlineStr">
        <is>
          <t>San Bernardino</t>
        </is>
      </c>
      <c r="J331" t="inlineStr">
        <is>
          <t>Montclair Hospital Medical Center</t>
        </is>
      </c>
    </row>
    <row r="332">
      <c r="A332">
        <f>--ISNUMBER(IFERROR(SEARCH($C$5,Inputs!$D332,1),""))</f>
        <v/>
      </c>
      <c r="B332">
        <f>IF(A332=1,COUNTIF($A$6:A332,1),"")</f>
        <v/>
      </c>
      <c r="C332">
        <f>IFERROR(INDEX($D$6:$D$1750,MATCH(ROWS($B$6:B332),$B$6:$B$1750,0)),"")</f>
        <v/>
      </c>
      <c r="D332">
        <f>J332&amp;" ("&amp;E332&amp;")"</f>
        <v/>
      </c>
      <c r="E332" t="n">
        <v>13012</v>
      </c>
      <c r="F332" t="inlineStr">
        <is>
          <t>General Acute Care</t>
        </is>
      </c>
      <c r="G332" t="inlineStr">
        <is>
          <t>7500 Hospital Dr</t>
        </is>
      </c>
      <c r="H332" t="inlineStr">
        <is>
          <t>Sacramento</t>
        </is>
      </c>
      <c r="I332" t="inlineStr">
        <is>
          <t>Sacramento</t>
        </is>
      </c>
      <c r="J332" t="inlineStr">
        <is>
          <t>Methodist Hospital of Sacramento</t>
        </is>
      </c>
    </row>
    <row r="333">
      <c r="A333">
        <f>--ISNUMBER(IFERROR(SEARCH($C$5,Inputs!$D333,1),""))</f>
        <v/>
      </c>
      <c r="B333">
        <f>IF(A333=1,COUNTIF($A$6:A333,1),"")</f>
        <v/>
      </c>
      <c r="C333">
        <f>IFERROR(INDEX($D$6:$D$1750,MATCH(ROWS($B$6:B333),$B$6:$B$1750,0)),"")</f>
        <v/>
      </c>
      <c r="D333">
        <f>J333&amp;" ("&amp;E333&amp;")"</f>
        <v/>
      </c>
      <c r="E333" t="n">
        <v>13018</v>
      </c>
      <c r="F333" t="inlineStr">
        <is>
          <t>General Acute Care</t>
        </is>
      </c>
      <c r="G333" t="inlineStr">
        <is>
          <t>7300 N Fresno St</t>
        </is>
      </c>
      <c r="H333" t="inlineStr">
        <is>
          <t>Fresno</t>
        </is>
      </c>
      <c r="I333" t="inlineStr">
        <is>
          <t>Fresno</t>
        </is>
      </c>
      <c r="J333" t="inlineStr">
        <is>
          <t>Kaiser Foundation Hospital - Fresno</t>
        </is>
      </c>
    </row>
    <row r="334">
      <c r="A334">
        <f>--ISNUMBER(IFERROR(SEARCH($C$5,Inputs!$D334,1),""))</f>
        <v/>
      </c>
      <c r="B334">
        <f>IF(A334=1,COUNTIF($A$6:A334,1),"")</f>
        <v/>
      </c>
      <c r="C334">
        <f>IFERROR(INDEX($D$6:$D$1750,MATCH(ROWS($B$6:B334),$B$6:$B$1750,0)),"")</f>
        <v/>
      </c>
      <c r="D334">
        <f>J334&amp;" ("&amp;E334&amp;")"</f>
        <v/>
      </c>
      <c r="E334" t="n">
        <v>13019</v>
      </c>
      <c r="F334" t="inlineStr">
        <is>
          <t>General Acute Care</t>
        </is>
      </c>
      <c r="G334" t="inlineStr">
        <is>
          <t>7901 Walker St.</t>
        </is>
      </c>
      <c r="H334" t="inlineStr">
        <is>
          <t>La Palma</t>
        </is>
      </c>
      <c r="I334" t="inlineStr">
        <is>
          <t>Orange</t>
        </is>
      </c>
      <c r="J334" t="inlineStr">
        <is>
          <t>La Palma Intercommunity Hospital</t>
        </is>
      </c>
    </row>
    <row r="335">
      <c r="A335">
        <f>--ISNUMBER(IFERROR(SEARCH($C$5,Inputs!$D335,1),""))</f>
        <v/>
      </c>
      <c r="B335">
        <f>IF(A335=1,COUNTIF($A$6:A335,1),"")</f>
        <v/>
      </c>
      <c r="C335">
        <f>IFERROR(INDEX($D$6:$D$1750,MATCH(ROWS($B$6:B335),$B$6:$B$1750,0)),"")</f>
        <v/>
      </c>
      <c r="D335">
        <f>J335&amp;" ("&amp;E335&amp;")"</f>
        <v/>
      </c>
      <c r="E335" t="n">
        <v>13030</v>
      </c>
      <c r="F335" t="inlineStr">
        <is>
          <t>General Acute Care</t>
        </is>
      </c>
      <c r="G335" t="inlineStr">
        <is>
          <t>2224 Medical Center Dr</t>
        </is>
      </c>
      <c r="H335" t="inlineStr">
        <is>
          <t>Perris</t>
        </is>
      </c>
      <c r="I335" t="inlineStr">
        <is>
          <t>Riverside</t>
        </is>
      </c>
      <c r="J335" t="inlineStr">
        <is>
          <t>Kindred Hospital Riverside</t>
        </is>
      </c>
    </row>
    <row r="336">
      <c r="A336">
        <f>--ISNUMBER(IFERROR(SEARCH($C$5,Inputs!$D336,1),""))</f>
        <v/>
      </c>
      <c r="B336">
        <f>IF(A336=1,COUNTIF($A$6:A336,1),"")</f>
        <v/>
      </c>
      <c r="C336">
        <f>IFERROR(INDEX($D$6:$D$1750,MATCH(ROWS($B$6:B336),$B$6:$B$1750,0)),"")</f>
        <v/>
      </c>
      <c r="D336">
        <f>J336&amp;" ("&amp;E336&amp;")"</f>
        <v/>
      </c>
      <c r="E336" t="n">
        <v>13035</v>
      </c>
      <c r="F336" t="inlineStr">
        <is>
          <t>General Acute Care</t>
        </is>
      </c>
      <c r="G336" t="inlineStr">
        <is>
          <t>41870 Garstin Dr</t>
        </is>
      </c>
      <c r="H336" t="inlineStr">
        <is>
          <t>Big Bear Lake</t>
        </is>
      </c>
      <c r="I336" t="inlineStr">
        <is>
          <t>San Bernardino</t>
        </is>
      </c>
      <c r="J336" t="inlineStr">
        <is>
          <t>Bear Valley Community Hospital</t>
        </is>
      </c>
    </row>
    <row r="337">
      <c r="A337">
        <f>--ISNUMBER(IFERROR(SEARCH($C$5,Inputs!$D337,1),""))</f>
        <v/>
      </c>
      <c r="B337">
        <f>IF(A337=1,COUNTIF($A$6:A337,1),"")</f>
        <v/>
      </c>
      <c r="C337">
        <f>IFERROR(INDEX($D$6:$D$1750,MATCH(ROWS($B$6:B337),$B$6:$B$1750,0)),"")</f>
        <v/>
      </c>
      <c r="D337">
        <f>J337&amp;" ("&amp;E337&amp;")"</f>
        <v/>
      </c>
      <c r="E337" t="n">
        <v>13059</v>
      </c>
      <c r="F337" t="inlineStr">
        <is>
          <t>General Acute Care</t>
        </is>
      </c>
      <c r="G337" t="inlineStr">
        <is>
          <t>2701 S Bristol St</t>
        </is>
      </c>
      <c r="H337" t="inlineStr">
        <is>
          <t>Santa Ana</t>
        </is>
      </c>
      <c r="I337" t="inlineStr">
        <is>
          <t>Orange</t>
        </is>
      </c>
      <c r="J337" t="inlineStr">
        <is>
          <t>South Coast Global Medical Center</t>
        </is>
      </c>
    </row>
    <row r="338">
      <c r="A338">
        <f>--ISNUMBER(IFERROR(SEARCH($C$5,Inputs!$D338,1),""))</f>
        <v/>
      </c>
      <c r="B338">
        <f>IF(A338=1,COUNTIF($A$6:A338,1),"")</f>
        <v/>
      </c>
      <c r="C338">
        <f>IFERROR(INDEX($D$6:$D$1750,MATCH(ROWS($B$6:B338),$B$6:$B$1750,0)),"")</f>
        <v/>
      </c>
      <c r="D338">
        <f>J338&amp;" ("&amp;E338&amp;")"</f>
        <v/>
      </c>
      <c r="E338" t="n">
        <v>13061</v>
      </c>
      <c r="F338" t="inlineStr">
        <is>
          <t>General Acute Care</t>
        </is>
      </c>
      <c r="G338" t="inlineStr">
        <is>
          <t>1025 S Anaheim Blvd</t>
        </is>
      </c>
      <c r="H338" t="inlineStr">
        <is>
          <t>Anaheim</t>
        </is>
      </c>
      <c r="I338" t="inlineStr">
        <is>
          <t>Orange</t>
        </is>
      </c>
      <c r="J338" t="inlineStr">
        <is>
          <t>Anaheim Global Medical Center</t>
        </is>
      </c>
    </row>
    <row r="339">
      <c r="A339">
        <f>--ISNUMBER(IFERROR(SEARCH($C$5,Inputs!$D339,1),""))</f>
        <v/>
      </c>
      <c r="B339">
        <f>IF(A339=1,COUNTIF($A$6:A339,1),"")</f>
        <v/>
      </c>
      <c r="C339">
        <f>IFERROR(INDEX($D$6:$D$1750,MATCH(ROWS($B$6:B339),$B$6:$B$1750,0)),"")</f>
        <v/>
      </c>
      <c r="D339">
        <f>J339&amp;" ("&amp;E339&amp;")"</f>
        <v/>
      </c>
      <c r="E339" t="n">
        <v>13066</v>
      </c>
      <c r="F339" t="inlineStr">
        <is>
          <t>General Acute Care</t>
        </is>
      </c>
      <c r="G339" t="inlineStr">
        <is>
          <t>654 Camino De Los Mares</t>
        </is>
      </c>
      <c r="H339" t="inlineStr">
        <is>
          <t>San Clemente</t>
        </is>
      </c>
      <c r="I339" t="inlineStr">
        <is>
          <t>Orange</t>
        </is>
      </c>
      <c r="J339" t="inlineStr">
        <is>
          <t>Saddleback Memorial Medical Center - San Clemente</t>
        </is>
      </c>
    </row>
    <row r="340">
      <c r="A340">
        <f>--ISNUMBER(IFERROR(SEARCH($C$5,Inputs!$D340,1),""))</f>
        <v/>
      </c>
      <c r="B340">
        <f>IF(A340=1,COUNTIF($A$6:A340,1),"")</f>
        <v/>
      </c>
      <c r="C340">
        <f>IFERROR(INDEX($D$6:$D$1750,MATCH(ROWS($B$6:B340),$B$6:$B$1750,0)),"")</f>
        <v/>
      </c>
      <c r="D340">
        <f>J340&amp;" ("&amp;E340&amp;")"</f>
        <v/>
      </c>
      <c r="E340" t="n">
        <v>13068</v>
      </c>
      <c r="F340" t="inlineStr">
        <is>
          <t>General Acute Care</t>
        </is>
      </c>
      <c r="G340" t="inlineStr">
        <is>
          <t>875 N Brea Blvd</t>
        </is>
      </c>
      <c r="H340" t="inlineStr">
        <is>
          <t>Brea</t>
        </is>
      </c>
      <c r="I340" t="inlineStr">
        <is>
          <t>Orange</t>
        </is>
      </c>
      <c r="J340" t="inlineStr">
        <is>
          <t>Kindred Hospital Brea</t>
        </is>
      </c>
    </row>
    <row r="341">
      <c r="A341">
        <f>--ISNUMBER(IFERROR(SEARCH($C$5,Inputs!$D341,1),""))</f>
        <v/>
      </c>
      <c r="B341">
        <f>IF(A341=1,COUNTIF($A$6:A341,1),"")</f>
        <v/>
      </c>
      <c r="C341">
        <f>IFERROR(INDEX($D$6:$D$1750,MATCH(ROWS($B$6:B341),$B$6:$B$1750,0)),"")</f>
        <v/>
      </c>
      <c r="D341">
        <f>J341&amp;" ("&amp;E341&amp;")"</f>
        <v/>
      </c>
      <c r="E341" t="n">
        <v>13072</v>
      </c>
      <c r="F341" t="inlineStr">
        <is>
          <t>General Acute Care</t>
        </is>
      </c>
      <c r="G341" t="inlineStr">
        <is>
          <t>5451 Walnut Ave.</t>
        </is>
      </c>
      <c r="H341" t="inlineStr">
        <is>
          <t>Chino</t>
        </is>
      </c>
      <c r="I341" t="inlineStr">
        <is>
          <t>San Bernardino</t>
        </is>
      </c>
      <c r="J341" t="inlineStr">
        <is>
          <t>Chino Valley Medical Center</t>
        </is>
      </c>
    </row>
    <row r="342">
      <c r="A342">
        <f>--ISNUMBER(IFERROR(SEARCH($C$5,Inputs!$D342,1),""))</f>
        <v/>
      </c>
      <c r="B342">
        <f>IF(A342=1,COUNTIF($A$6:A342,1),"")</f>
        <v/>
      </c>
      <c r="C342">
        <f>IFERROR(INDEX($D$6:$D$1750,MATCH(ROWS($B$6:B342),$B$6:$B$1750,0)),"")</f>
        <v/>
      </c>
      <c r="D342">
        <f>J342&amp;" ("&amp;E342&amp;")"</f>
        <v/>
      </c>
      <c r="E342" t="n">
        <v>13073</v>
      </c>
      <c r="F342" t="inlineStr">
        <is>
          <t>General Acute Care</t>
        </is>
      </c>
      <c r="G342" t="inlineStr">
        <is>
          <t>25333 Barton Road</t>
        </is>
      </c>
      <c r="H342" t="inlineStr">
        <is>
          <t>Loma Linda</t>
        </is>
      </c>
      <c r="I342" t="inlineStr">
        <is>
          <t>San Bernardino</t>
        </is>
      </c>
      <c r="J342" t="inlineStr">
        <is>
          <t>Loma Linda University Medical Center East Campus Hospital</t>
        </is>
      </c>
    </row>
    <row r="343">
      <c r="A343">
        <f>--ISNUMBER(IFERROR(SEARCH($C$5,Inputs!$D343,1),""))</f>
        <v/>
      </c>
      <c r="B343">
        <f>IF(A343=1,COUNTIF($A$6:A343,1),"")</f>
        <v/>
      </c>
      <c r="C343">
        <f>IFERROR(INDEX($D$6:$D$1750,MATCH(ROWS($B$6:B343),$B$6:$B$1750,0)),"")</f>
        <v/>
      </c>
      <c r="D343">
        <f>J343&amp;" ("&amp;E343&amp;")"</f>
        <v/>
      </c>
      <c r="E343" t="n">
        <v>13077</v>
      </c>
      <c r="F343" t="inlineStr">
        <is>
          <t>General Acute Care</t>
        </is>
      </c>
      <c r="G343" t="inlineStr">
        <is>
          <t>1301 N. Rose Dr.</t>
        </is>
      </c>
      <c r="H343" t="inlineStr">
        <is>
          <t>Placentia</t>
        </is>
      </c>
      <c r="I343" t="inlineStr">
        <is>
          <t>Orange</t>
        </is>
      </c>
      <c r="J343" t="inlineStr">
        <is>
          <t>Placentia Linda Hospital</t>
        </is>
      </c>
    </row>
    <row r="344">
      <c r="A344">
        <f>--ISNUMBER(IFERROR(SEARCH($C$5,Inputs!$D344,1),""))</f>
        <v/>
      </c>
      <c r="B344">
        <f>IF(A344=1,COUNTIF($A$6:A344,1),"")</f>
        <v/>
      </c>
      <c r="C344">
        <f>IFERROR(INDEX($D$6:$D$1750,MATCH(ROWS($B$6:B344),$B$6:$B$1750,0)),"")</f>
        <v/>
      </c>
      <c r="D344">
        <f>J344&amp;" ("&amp;E344&amp;")"</f>
        <v/>
      </c>
      <c r="E344" t="n">
        <v>13084</v>
      </c>
      <c r="F344" t="inlineStr">
        <is>
          <t>General Acute Care</t>
        </is>
      </c>
      <c r="G344" t="inlineStr">
        <is>
          <t>1350 W Covina Blvd</t>
        </is>
      </c>
      <c r="H344" t="inlineStr">
        <is>
          <t>San Dimas</t>
        </is>
      </c>
      <c r="I344" t="inlineStr">
        <is>
          <t>Los Angeles</t>
        </is>
      </c>
      <c r="J344" t="inlineStr">
        <is>
          <t>San Dimas Community Hospital</t>
        </is>
      </c>
    </row>
    <row r="345">
      <c r="A345">
        <f>--ISNUMBER(IFERROR(SEARCH($C$5,Inputs!$D345,1),""))</f>
        <v/>
      </c>
      <c r="B345">
        <f>IF(A345=1,COUNTIF($A$6:A345,1),"")</f>
        <v/>
      </c>
      <c r="C345">
        <f>IFERROR(INDEX($D$6:$D$1750,MATCH(ROWS($B$6:B345),$B$6:$B$1750,0)),"")</f>
        <v/>
      </c>
      <c r="D345">
        <f>J345&amp;" ("&amp;E345&amp;")"</f>
        <v/>
      </c>
      <c r="E345" t="n">
        <v>13085</v>
      </c>
      <c r="F345" t="inlineStr">
        <is>
          <t>General Acute Care</t>
        </is>
      </c>
      <c r="G345" t="inlineStr">
        <is>
          <t>18321 Clark St.</t>
        </is>
      </c>
      <c r="H345" t="inlineStr">
        <is>
          <t>Tarzana</t>
        </is>
      </c>
      <c r="I345" t="inlineStr">
        <is>
          <t>Los Angeles</t>
        </is>
      </c>
      <c r="J345" t="inlineStr">
        <is>
          <t>Providence Cedars-Sinai Tarzana Medical Center</t>
        </is>
      </c>
    </row>
    <row r="346">
      <c r="A346">
        <f>--ISNUMBER(IFERROR(SEARCH($C$5,Inputs!$D346,1),""))</f>
        <v/>
      </c>
      <c r="B346">
        <f>IF(A346=1,COUNTIF($A$6:A346,1),"")</f>
        <v/>
      </c>
      <c r="C346">
        <f>IFERROR(INDEX($D$6:$D$1750,MATCH(ROWS($B$6:B346),$B$6:$B$1750,0)),"")</f>
        <v/>
      </c>
      <c r="D346">
        <f>J346&amp;" ("&amp;E346&amp;")"</f>
        <v/>
      </c>
      <c r="E346" t="n">
        <v>13086</v>
      </c>
      <c r="F346" t="inlineStr">
        <is>
          <t>General Acute Care</t>
        </is>
      </c>
      <c r="G346" t="inlineStr">
        <is>
          <t>1200 El Camino Real</t>
        </is>
      </c>
      <c r="H346" t="inlineStr">
        <is>
          <t>South San Francisco</t>
        </is>
      </c>
      <c r="I346" t="inlineStr">
        <is>
          <t>San Mateo</t>
        </is>
      </c>
      <c r="J346" t="inlineStr">
        <is>
          <t>Kaiser Foundation Hospital - South San Francisco</t>
        </is>
      </c>
    </row>
    <row r="347">
      <c r="A347">
        <f>--ISNUMBER(IFERROR(SEARCH($C$5,Inputs!$D347,1),""))</f>
        <v/>
      </c>
      <c r="B347">
        <f>IF(A347=1,COUNTIF($A$6:A347,1),"")</f>
        <v/>
      </c>
      <c r="C347">
        <f>IFERROR(INDEX($D$6:$D$1750,MATCH(ROWS($B$6:B347),$B$6:$B$1750,0)),"")</f>
        <v/>
      </c>
      <c r="D347">
        <f>J347&amp;" ("&amp;E347&amp;")"</f>
        <v/>
      </c>
      <c r="E347" t="n">
        <v>13087</v>
      </c>
      <c r="F347" t="inlineStr">
        <is>
          <t>General Acute Care</t>
        </is>
      </c>
      <c r="G347" t="inlineStr">
        <is>
          <t>3800 Janes Road</t>
        </is>
      </c>
      <c r="H347" t="inlineStr">
        <is>
          <t>Arcata</t>
        </is>
      </c>
      <c r="I347" t="inlineStr">
        <is>
          <t>Humboldt</t>
        </is>
      </c>
      <c r="J347" t="inlineStr">
        <is>
          <t>Mad River Community Hospital</t>
        </is>
      </c>
    </row>
    <row r="348">
      <c r="A348">
        <f>--ISNUMBER(IFERROR(SEARCH($C$5,Inputs!$D348,1),""))</f>
        <v/>
      </c>
      <c r="B348">
        <f>IF(A348=1,COUNTIF($A$6:A348,1),"")</f>
        <v/>
      </c>
      <c r="C348">
        <f>IFERROR(INDEX($D$6:$D$1750,MATCH(ROWS($B$6:B348),$B$6:$B$1750,0)),"")</f>
        <v/>
      </c>
      <c r="D348">
        <f>J348&amp;" ("&amp;E348&amp;")"</f>
        <v/>
      </c>
      <c r="E348" t="n">
        <v>13093</v>
      </c>
      <c r="F348" t="inlineStr">
        <is>
          <t>General Acute Care</t>
        </is>
      </c>
      <c r="G348" t="inlineStr">
        <is>
          <t>250 S Grand Ave</t>
        </is>
      </c>
      <c r="H348" t="inlineStr">
        <is>
          <t>Glendora</t>
        </is>
      </c>
      <c r="I348" t="inlineStr">
        <is>
          <t>Los Angeles</t>
        </is>
      </c>
      <c r="J348" t="inlineStr">
        <is>
          <t>Emanate Health Foothill Presbyterian Hospital</t>
        </is>
      </c>
    </row>
    <row r="349">
      <c r="A349">
        <f>--ISNUMBER(IFERROR(SEARCH($C$5,Inputs!$D349,1),""))</f>
        <v/>
      </c>
      <c r="B349">
        <f>IF(A349=1,COUNTIF($A$6:A349,1),"")</f>
        <v/>
      </c>
      <c r="C349">
        <f>IFERROR(INDEX($D$6:$D$1750,MATCH(ROWS($B$6:B349),$B$6:$B$1750,0)),"")</f>
        <v/>
      </c>
      <c r="D349">
        <f>J349&amp;" ("&amp;E349&amp;")"</f>
        <v/>
      </c>
      <c r="E349" t="n">
        <v>13110</v>
      </c>
      <c r="F349" t="inlineStr">
        <is>
          <t>General Acute Care</t>
        </is>
      </c>
      <c r="G349" t="inlineStr">
        <is>
          <t>350 S Oak Ave</t>
        </is>
      </c>
      <c r="H349" t="inlineStr">
        <is>
          <t>Oakdale</t>
        </is>
      </c>
      <c r="I349" t="inlineStr">
        <is>
          <t>Stanislaus</t>
        </is>
      </c>
      <c r="J349" t="inlineStr">
        <is>
          <t>Oak Valley Hospital District</t>
        </is>
      </c>
    </row>
    <row r="350">
      <c r="A350">
        <f>--ISNUMBER(IFERROR(SEARCH($C$5,Inputs!$D350,1),""))</f>
        <v/>
      </c>
      <c r="B350">
        <f>IF(A350=1,COUNTIF($A$6:A350,1),"")</f>
        <v/>
      </c>
      <c r="C350">
        <f>IFERROR(INDEX($D$6:$D$1750,MATCH(ROWS($B$6:B350),$B$6:$B$1750,0)),"")</f>
        <v/>
      </c>
      <c r="D350">
        <f>J350&amp;" ("&amp;E350&amp;")"</f>
        <v/>
      </c>
      <c r="E350" t="n">
        <v>13111</v>
      </c>
      <c r="F350" t="inlineStr">
        <is>
          <t>General Acute Care</t>
        </is>
      </c>
      <c r="G350" t="inlineStr">
        <is>
          <t>4647 Zion Ave</t>
        </is>
      </c>
      <c r="H350" t="inlineStr">
        <is>
          <t>San Diego</t>
        </is>
      </c>
      <c r="I350" t="inlineStr">
        <is>
          <t>San Diego</t>
        </is>
      </c>
      <c r="J350" t="inlineStr">
        <is>
          <t>Kaiser Foundation Hospital - Zion</t>
        </is>
      </c>
    </row>
    <row r="351">
      <c r="A351">
        <f>--ISNUMBER(IFERROR(SEARCH($C$5,Inputs!$D351,1),""))</f>
        <v/>
      </c>
      <c r="B351">
        <f>IF(A351=1,COUNTIF($A$6:A351,1),"")</f>
        <v/>
      </c>
      <c r="C351">
        <f>IFERROR(INDEX($D$6:$D$1750,MATCH(ROWS($B$6:B351),$B$6:$B$1750,0)),"")</f>
        <v/>
      </c>
      <c r="D351">
        <f>J351&amp;" ("&amp;E351&amp;")"</f>
        <v/>
      </c>
      <c r="E351" t="n">
        <v>13141</v>
      </c>
      <c r="F351" t="inlineStr">
        <is>
          <t>Acute Psychiatric Hospital</t>
        </is>
      </c>
      <c r="G351" t="inlineStr">
        <is>
          <t>23700 Camino Del Sol</t>
        </is>
      </c>
      <c r="H351" t="inlineStr">
        <is>
          <t>Torrance</t>
        </is>
      </c>
      <c r="I351" t="inlineStr">
        <is>
          <t>Los Angeles</t>
        </is>
      </c>
      <c r="J351" t="inlineStr">
        <is>
          <t>Del Amo Hospital</t>
        </is>
      </c>
    </row>
    <row r="352">
      <c r="A352">
        <f>--ISNUMBER(IFERROR(SEARCH($C$5,Inputs!$D352,1),""))</f>
        <v/>
      </c>
      <c r="B352">
        <f>IF(A352=1,COUNTIF($A$6:A352,1),"")</f>
        <v/>
      </c>
      <c r="C352">
        <f>IFERROR(INDEX($D$6:$D$1750,MATCH(ROWS($B$6:B352),$B$6:$B$1750,0)),"")</f>
        <v/>
      </c>
      <c r="D352">
        <f>J352&amp;" ("&amp;E352&amp;")"</f>
        <v/>
      </c>
      <c r="E352" t="n">
        <v>13142</v>
      </c>
      <c r="F352" t="inlineStr">
        <is>
          <t>General Acute Care</t>
        </is>
      </c>
      <c r="G352" t="inlineStr">
        <is>
          <t>975 Sereno Dr</t>
        </is>
      </c>
      <c r="H352" t="inlineStr">
        <is>
          <t>Vallejo</t>
        </is>
      </c>
      <c r="I352" t="inlineStr">
        <is>
          <t>Solano</t>
        </is>
      </c>
      <c r="J352" t="inlineStr">
        <is>
          <t>Kaiser Foundation Hospital &amp; Rehab Center - Vallejo</t>
        </is>
      </c>
    </row>
    <row r="353">
      <c r="A353">
        <f>--ISNUMBER(IFERROR(SEARCH($C$5,Inputs!$D353,1),""))</f>
        <v/>
      </c>
      <c r="B353">
        <f>IF(A353=1,COUNTIF($A$6:A353,1),"")</f>
        <v/>
      </c>
      <c r="C353">
        <f>IFERROR(INDEX($D$6:$D$1750,MATCH(ROWS($B$6:B353),$B$6:$B$1750,0)),"")</f>
        <v/>
      </c>
      <c r="D353">
        <f>J353&amp;" ("&amp;E353&amp;")"</f>
        <v/>
      </c>
      <c r="E353" t="n">
        <v>13181</v>
      </c>
      <c r="F353" t="inlineStr">
        <is>
          <t>General Acute Care</t>
        </is>
      </c>
      <c r="G353" t="inlineStr">
        <is>
          <t>2309 Antonio Ave</t>
        </is>
      </c>
      <c r="H353" t="inlineStr">
        <is>
          <t>Camarillo</t>
        </is>
      </c>
      <c r="I353" t="inlineStr">
        <is>
          <t>Ventura</t>
        </is>
      </c>
      <c r="J353" t="inlineStr">
        <is>
          <t>St. John's Hospital Camarillo</t>
        </is>
      </c>
    </row>
    <row r="354">
      <c r="A354">
        <f>--ISNUMBER(IFERROR(SEARCH($C$5,Inputs!$D354,1),""))</f>
        <v/>
      </c>
      <c r="B354">
        <f>IF(A354=1,COUNTIF($A$6:A354,1),"")</f>
        <v/>
      </c>
      <c r="C354">
        <f>IFERROR(INDEX($D$6:$D$1750,MATCH(ROWS($B$6:B354),$B$6:$B$1750,0)),"")</f>
        <v/>
      </c>
      <c r="D354">
        <f>J354&amp;" ("&amp;E354&amp;")"</f>
        <v/>
      </c>
      <c r="E354" t="n">
        <v>13224</v>
      </c>
      <c r="F354" t="inlineStr">
        <is>
          <t>General Acute Care</t>
        </is>
      </c>
      <c r="G354" t="inlineStr">
        <is>
          <t>1701 Santa Anita Ave.</t>
        </is>
      </c>
      <c r="H354" t="inlineStr">
        <is>
          <t>South El Monte</t>
        </is>
      </c>
      <c r="I354" t="inlineStr">
        <is>
          <t>Los Angeles</t>
        </is>
      </c>
      <c r="J354" t="inlineStr">
        <is>
          <t>Greater El Monte Community Hospital</t>
        </is>
      </c>
    </row>
    <row r="355">
      <c r="A355">
        <f>--ISNUMBER(IFERROR(SEARCH($C$5,Inputs!$D355,1),""))</f>
        <v/>
      </c>
      <c r="B355">
        <f>IF(A355=1,COUNTIF($A$6:A355,1),"")</f>
        <v/>
      </c>
      <c r="C355">
        <f>IFERROR(INDEX($D$6:$D$1750,MATCH(ROWS($B$6:B355),$B$6:$B$1750,0)),"")</f>
        <v/>
      </c>
      <c r="D355">
        <f>J355&amp;" ("&amp;E355&amp;")"</f>
        <v/>
      </c>
      <c r="E355" t="n">
        <v>13225</v>
      </c>
      <c r="F355" t="inlineStr">
        <is>
          <t>General Acute Care</t>
        </is>
      </c>
      <c r="G355" t="inlineStr">
        <is>
          <t>1711 W Temple St</t>
        </is>
      </c>
      <c r="H355" t="inlineStr">
        <is>
          <t>Los Angeles</t>
        </is>
      </c>
      <c r="I355" t="inlineStr">
        <is>
          <t>Los Angeles</t>
        </is>
      </c>
      <c r="J355" t="inlineStr">
        <is>
          <t>L.A. Downtown Medical Center</t>
        </is>
      </c>
    </row>
    <row r="356">
      <c r="A356">
        <f>--ISNUMBER(IFERROR(SEARCH($C$5,Inputs!$D356,1),""))</f>
        <v/>
      </c>
      <c r="B356">
        <f>IF(A356=1,COUNTIF($A$6:A356,1),"")</f>
        <v/>
      </c>
      <c r="C356">
        <f>IFERROR(INDEX($D$6:$D$1750,MATCH(ROWS($B$6:B356),$B$6:$B$1750,0)),"")</f>
        <v/>
      </c>
      <c r="D356">
        <f>J356&amp;" ("&amp;E356&amp;")"</f>
        <v/>
      </c>
      <c r="E356" t="n">
        <v>13333</v>
      </c>
      <c r="F356" t="inlineStr">
        <is>
          <t>General Acute Care</t>
        </is>
      </c>
      <c r="G356" t="inlineStr">
        <is>
          <t>23845 W. McBean Parkway</t>
        </is>
      </c>
      <c r="H356" t="inlineStr">
        <is>
          <t>Valencia</t>
        </is>
      </c>
      <c r="I356" t="inlineStr">
        <is>
          <t>Los Angeles</t>
        </is>
      </c>
      <c r="J356" t="inlineStr">
        <is>
          <t>Henry Mayo Newhall Hospital</t>
        </is>
      </c>
    </row>
    <row r="357">
      <c r="A357">
        <f>--ISNUMBER(IFERROR(SEARCH($C$5,Inputs!$D357,1),""))</f>
        <v/>
      </c>
      <c r="B357">
        <f>IF(A357=1,COUNTIF($A$6:A357,1),"")</f>
        <v/>
      </c>
      <c r="C357">
        <f>IFERROR(INDEX($D$6:$D$1750,MATCH(ROWS($B$6:B357),$B$6:$B$1750,0)),"")</f>
        <v/>
      </c>
      <c r="D357">
        <f>J357&amp;" ("&amp;E357&amp;")"</f>
        <v/>
      </c>
      <c r="E357" t="n">
        <v>13336</v>
      </c>
      <c r="F357" t="inlineStr">
        <is>
          <t>General Acute Care</t>
        </is>
      </c>
      <c r="G357" t="inlineStr">
        <is>
          <t>751 Medical Center Court</t>
        </is>
      </c>
      <c r="H357" t="inlineStr">
        <is>
          <t>Chula Vista</t>
        </is>
      </c>
      <c r="I357" t="inlineStr">
        <is>
          <t>San Diego</t>
        </is>
      </c>
      <c r="J357" t="inlineStr">
        <is>
          <t>Sharp Chula Vista Medical Center</t>
        </is>
      </c>
    </row>
    <row r="358">
      <c r="A358">
        <f>--ISNUMBER(IFERROR(SEARCH($C$5,Inputs!$D358,1),""))</f>
        <v/>
      </c>
      <c r="B358">
        <f>IF(A358=1,COUNTIF($A$6:A358,1),"")</f>
        <v/>
      </c>
      <c r="C358">
        <f>IFERROR(INDEX($D$6:$D$1750,MATCH(ROWS($B$6:B358),$B$6:$B$1750,0)),"")</f>
        <v/>
      </c>
      <c r="D358">
        <f>J358&amp;" ("&amp;E358&amp;")"</f>
        <v/>
      </c>
      <c r="E358" t="n">
        <v>13812</v>
      </c>
      <c r="F358" t="inlineStr">
        <is>
          <t>General Acute Care</t>
        </is>
      </c>
      <c r="G358" t="inlineStr">
        <is>
          <t>914 Pine St</t>
        </is>
      </c>
      <c r="H358" t="inlineStr">
        <is>
          <t>Mount Shasta</t>
        </is>
      </c>
      <c r="I358" t="inlineStr">
        <is>
          <t>Siskiyou</t>
        </is>
      </c>
      <c r="J358" t="inlineStr">
        <is>
          <t>Mercy Medical Center Mt. Shasta</t>
        </is>
      </c>
    </row>
    <row r="359">
      <c r="A359">
        <f>--ISNUMBER(IFERROR(SEARCH($C$5,Inputs!$D359,1),""))</f>
        <v/>
      </c>
      <c r="B359">
        <f>IF(A359=1,COUNTIF($A$6:A359,1),"")</f>
        <v/>
      </c>
      <c r="C359">
        <f>IFERROR(INDEX($D$6:$D$1750,MATCH(ROWS($B$6:B359),$B$6:$B$1750,0)),"")</f>
        <v/>
      </c>
      <c r="D359">
        <f>J359&amp;" ("&amp;E359&amp;")"</f>
        <v/>
      </c>
      <c r="E359" t="n">
        <v>13901</v>
      </c>
      <c r="F359" t="inlineStr">
        <is>
          <t>General Acute Care</t>
        </is>
      </c>
      <c r="G359" t="inlineStr">
        <is>
          <t>2900 Chanticleer Avenue</t>
        </is>
      </c>
      <c r="H359" t="inlineStr">
        <is>
          <t>Santa Cruz</t>
        </is>
      </c>
      <c r="I359" t="inlineStr">
        <is>
          <t>Santa Cruz</t>
        </is>
      </c>
      <c r="J359" t="inlineStr">
        <is>
          <t>Sutter Maternity &amp; Surgery Center of Santa Cruz</t>
        </is>
      </c>
    </row>
    <row r="360">
      <c r="A360">
        <f>--ISNUMBER(IFERROR(SEARCH($C$5,Inputs!$D360,1),""))</f>
        <v/>
      </c>
      <c r="B360">
        <f>IF(A360=1,COUNTIF($A$6:A360,1),"")</f>
        <v/>
      </c>
      <c r="C360">
        <f>IFERROR(INDEX($D$6:$D$1750,MATCH(ROWS($B$6:B360),$B$6:$B$1750,0)),"")</f>
        <v/>
      </c>
      <c r="D360">
        <f>J360&amp;" ("&amp;E360&amp;")"</f>
        <v/>
      </c>
      <c r="E360" t="n">
        <v>13999</v>
      </c>
      <c r="F360" t="inlineStr">
        <is>
          <t>General Acute Care</t>
        </is>
      </c>
      <c r="G360" t="inlineStr">
        <is>
          <t>1100 Las Tablas Rd</t>
        </is>
      </c>
      <c r="H360" t="inlineStr">
        <is>
          <t>Templeton</t>
        </is>
      </c>
      <c r="I360" t="inlineStr">
        <is>
          <t>San Luis Obispo</t>
        </is>
      </c>
      <c r="J360" t="inlineStr">
        <is>
          <t>Tenet Health Central Coast Twin Cities Community Hospital</t>
        </is>
      </c>
    </row>
    <row r="361">
      <c r="A361">
        <f>--ISNUMBER(IFERROR(SEARCH($C$5,Inputs!$D361,1),""))</f>
        <v/>
      </c>
      <c r="B361">
        <f>IF(A361=1,COUNTIF($A$6:A361,1),"")</f>
        <v/>
      </c>
      <c r="C361">
        <f>IFERROR(INDEX($D$6:$D$1750,MATCH(ROWS($B$6:B361),$B$6:$B$1750,0)),"")</f>
        <v/>
      </c>
      <c r="D361">
        <f>J361&amp;" ("&amp;E361&amp;")"</f>
        <v/>
      </c>
      <c r="E361" t="n">
        <v>14100</v>
      </c>
      <c r="F361" t="inlineStr">
        <is>
          <t>General Acute Care</t>
        </is>
      </c>
      <c r="G361" t="inlineStr">
        <is>
          <t>6601 White Feather Rd</t>
        </is>
      </c>
      <c r="H361" t="inlineStr">
        <is>
          <t>Joshua Tree</t>
        </is>
      </c>
      <c r="I361" t="inlineStr">
        <is>
          <t>San Bernardino</t>
        </is>
      </c>
      <c r="J361" t="inlineStr">
        <is>
          <t>Hi-Desert Medical Center</t>
        </is>
      </c>
    </row>
    <row r="362">
      <c r="A362">
        <f>--ISNUMBER(IFERROR(SEARCH($C$5,Inputs!$D362,1),""))</f>
        <v/>
      </c>
      <c r="B362">
        <f>IF(A362=1,COUNTIF($A$6:A362,1),"")</f>
        <v/>
      </c>
      <c r="C362">
        <f>IFERROR(INDEX($D$6:$D$1750,MATCH(ROWS($B$6:B362),$B$6:$B$1750,0)),"")</f>
        <v/>
      </c>
      <c r="D362">
        <f>J362&amp;" ("&amp;E362&amp;")"</f>
        <v/>
      </c>
      <c r="E362" t="n">
        <v>14102</v>
      </c>
      <c r="F362" t="inlineStr">
        <is>
          <t>General Acute Care</t>
        </is>
      </c>
      <c r="G362" t="inlineStr">
        <is>
          <t>10841 White Oak Ave</t>
        </is>
      </c>
      <c r="H362" t="inlineStr">
        <is>
          <t>Rancho Cucamonga</t>
        </is>
      </c>
      <c r="I362" t="inlineStr">
        <is>
          <t>San Bernardino</t>
        </is>
      </c>
      <c r="J362" t="inlineStr">
        <is>
          <t>Kindred Hospital Rancho</t>
        </is>
      </c>
    </row>
    <row r="363">
      <c r="A363">
        <f>--ISNUMBER(IFERROR(SEARCH($C$5,Inputs!$D363,1),""))</f>
        <v/>
      </c>
      <c r="B363">
        <f>IF(A363=1,COUNTIF($A$6:A363,1),"")</f>
        <v/>
      </c>
      <c r="C363">
        <f>IFERROR(INDEX($D$6:$D$1750,MATCH(ROWS($B$6:B363),$B$6:$B$1750,0)),"")</f>
        <v/>
      </c>
      <c r="D363">
        <f>J363&amp;" ("&amp;E363&amp;")"</f>
        <v/>
      </c>
      <c r="E363" t="n">
        <v>14181</v>
      </c>
      <c r="F363" t="inlineStr">
        <is>
          <t>General Acute Care</t>
        </is>
      </c>
      <c r="G363" t="inlineStr">
        <is>
          <t>10666 North Torrey Pines Road</t>
        </is>
      </c>
      <c r="H363" t="inlineStr">
        <is>
          <t>La Jolla</t>
        </is>
      </c>
      <c r="I363" t="inlineStr">
        <is>
          <t>San Diego</t>
        </is>
      </c>
      <c r="J363" t="inlineStr">
        <is>
          <t>Scripps Green Hospital</t>
        </is>
      </c>
    </row>
    <row r="364">
      <c r="A364">
        <f>--ISNUMBER(IFERROR(SEARCH($C$5,Inputs!$D364,1),""))</f>
        <v/>
      </c>
      <c r="B364">
        <f>IF(A364=1,COUNTIF($A$6:A364,1),"")</f>
        <v/>
      </c>
      <c r="C364">
        <f>IFERROR(INDEX($D$6:$D$1750,MATCH(ROWS($B$6:B364),$B$6:$B$1750,0)),"")</f>
        <v/>
      </c>
      <c r="D364">
        <f>J364&amp;" ("&amp;E364&amp;")"</f>
        <v/>
      </c>
      <c r="E364" t="n">
        <v>14190</v>
      </c>
      <c r="F364" t="inlineStr">
        <is>
          <t>General Acute Care</t>
        </is>
      </c>
      <c r="G364" t="inlineStr">
        <is>
          <t>15615 Pomerado Rd</t>
        </is>
      </c>
      <c r="H364" t="inlineStr">
        <is>
          <t>Poway</t>
        </is>
      </c>
      <c r="I364" t="inlineStr">
        <is>
          <t>San Diego</t>
        </is>
      </c>
      <c r="J364" t="inlineStr">
        <is>
          <t>Palomar Medical Center Poway</t>
        </is>
      </c>
    </row>
    <row r="365">
      <c r="A365">
        <f>--ISNUMBER(IFERROR(SEARCH($C$5,Inputs!$D365,1),""))</f>
        <v/>
      </c>
      <c r="B365">
        <f>IF(A365=1,COUNTIF($A$6:A365,1),"")</f>
        <v/>
      </c>
      <c r="C365">
        <f>IFERROR(INDEX($D$6:$D$1750,MATCH(ROWS($B$6:B365),$B$6:$B$1750,0)),"")</f>
        <v/>
      </c>
      <c r="D365">
        <f>J365&amp;" ("&amp;E365&amp;")"</f>
        <v/>
      </c>
      <c r="E365" t="n">
        <v>14214</v>
      </c>
      <c r="F365" t="inlineStr">
        <is>
          <t>General Acute Care</t>
        </is>
      </c>
      <c r="G365" t="inlineStr">
        <is>
          <t>1600 Eureka Road</t>
        </is>
      </c>
      <c r="H365" t="inlineStr">
        <is>
          <t>Roseville</t>
        </is>
      </c>
      <c r="I365" t="inlineStr">
        <is>
          <t>Placer</t>
        </is>
      </c>
      <c r="J365" t="inlineStr">
        <is>
          <t>Kaiser Foundation Hospital - Roseville</t>
        </is>
      </c>
    </row>
    <row r="366">
      <c r="A366">
        <f>--ISNUMBER(IFERROR(SEARCH($C$5,Inputs!$D366,1),""))</f>
        <v/>
      </c>
      <c r="B366">
        <f>IF(A366=1,COUNTIF($A$6:A366,1),"")</f>
        <v/>
      </c>
      <c r="C366">
        <f>IFERROR(INDEX($D$6:$D$1750,MATCH(ROWS($B$6:B366),$B$6:$B$1750,0)),"")</f>
        <v/>
      </c>
      <c r="D366">
        <f>J366&amp;" ("&amp;E366&amp;")"</f>
        <v/>
      </c>
      <c r="E366" t="n">
        <v>14304</v>
      </c>
      <c r="F366" t="inlineStr">
        <is>
          <t>General Acute Care</t>
        </is>
      </c>
      <c r="G366" t="inlineStr">
        <is>
          <t>85 Sierra Park Road</t>
        </is>
      </c>
      <c r="H366" t="inlineStr">
        <is>
          <t>Mammoth Lakes</t>
        </is>
      </c>
      <c r="I366" t="inlineStr">
        <is>
          <t>Mono</t>
        </is>
      </c>
      <c r="J366" t="inlineStr">
        <is>
          <t>Mammoth Hospital</t>
        </is>
      </c>
    </row>
    <row r="367">
      <c r="A367">
        <f>--ISNUMBER(IFERROR(SEARCH($C$5,Inputs!$D367,1),""))</f>
        <v/>
      </c>
      <c r="B367">
        <f>IF(A367=1,COUNTIF($A$6:A367,1),"")</f>
        <v/>
      </c>
      <c r="C367">
        <f>IFERROR(INDEX($D$6:$D$1750,MATCH(ROWS($B$6:B367),$B$6:$B$1750,0)),"")</f>
        <v/>
      </c>
      <c r="D367">
        <f>J367&amp;" ("&amp;E367&amp;")"</f>
        <v/>
      </c>
      <c r="E367" t="n">
        <v>14345</v>
      </c>
      <c r="F367" t="inlineStr">
        <is>
          <t>General Acute Care</t>
        </is>
      </c>
      <c r="G367" t="inlineStr">
        <is>
          <t>5176 Hill Rd E</t>
        </is>
      </c>
      <c r="H367" t="inlineStr">
        <is>
          <t>Lakeport</t>
        </is>
      </c>
      <c r="I367" t="inlineStr">
        <is>
          <t>Lake</t>
        </is>
      </c>
      <c r="J367" t="inlineStr">
        <is>
          <t>Sutter Lakeside Hospital</t>
        </is>
      </c>
    </row>
    <row r="368">
      <c r="A368">
        <f>--ISNUMBER(IFERROR(SEARCH($C$5,Inputs!$D368,1),""))</f>
        <v/>
      </c>
      <c r="B368">
        <f>IF(A368=1,COUNTIF($A$6:A368,1),"")</f>
        <v/>
      </c>
      <c r="C368">
        <f>IFERROR(INDEX($D$6:$D$1750,MATCH(ROWS($B$6:B368),$B$6:$B$1750,0)),"")</f>
        <v/>
      </c>
      <c r="D368">
        <f>J368&amp;" ("&amp;E368&amp;")"</f>
        <v/>
      </c>
      <c r="E368" t="n">
        <v>14370</v>
      </c>
      <c r="F368" t="inlineStr">
        <is>
          <t>General Acute Care</t>
        </is>
      </c>
      <c r="G368" t="inlineStr">
        <is>
          <t>1201 W La Veta Ave</t>
        </is>
      </c>
      <c r="H368" t="inlineStr">
        <is>
          <t>Orange</t>
        </is>
      </c>
      <c r="I368" t="inlineStr">
        <is>
          <t>Orange</t>
        </is>
      </c>
      <c r="J368" t="inlineStr">
        <is>
          <t>Children's Hospital of Orange County</t>
        </is>
      </c>
    </row>
    <row r="369">
      <c r="A369">
        <f>--ISNUMBER(IFERROR(SEARCH($C$5,Inputs!$D369,1),""))</f>
        <v/>
      </c>
      <c r="B369">
        <f>IF(A369=1,COUNTIF($A$6:A369,1),"")</f>
        <v/>
      </c>
      <c r="C369">
        <f>IFERROR(INDEX($D$6:$D$1750,MATCH(ROWS($B$6:B369),$B$6:$B$1750,0)),"")</f>
        <v/>
      </c>
      <c r="D369">
        <f>J369&amp;" ("&amp;E369&amp;")"</f>
        <v/>
      </c>
      <c r="E369" t="n">
        <v>14506</v>
      </c>
      <c r="F369" t="inlineStr">
        <is>
          <t>General Acute Care</t>
        </is>
      </c>
      <c r="G369" t="inlineStr">
        <is>
          <t>2425 Stockton Blvd.</t>
        </is>
      </c>
      <c r="H369" t="inlineStr">
        <is>
          <t>Sacramento</t>
        </is>
      </c>
      <c r="I369" t="inlineStr">
        <is>
          <t>Sacramento</t>
        </is>
      </c>
      <c r="J369" t="inlineStr">
        <is>
          <t>Shriners Hospitals For Children Northern California</t>
        </is>
      </c>
    </row>
    <row r="370">
      <c r="A370">
        <f>--ISNUMBER(IFERROR(SEARCH($C$5,Inputs!$D370,1),""))</f>
        <v/>
      </c>
      <c r="B370">
        <f>IF(A370=1,COUNTIF($A$6:A370,1),"")</f>
        <v/>
      </c>
      <c r="C370">
        <f>IFERROR(INDEX($D$6:$D$1750,MATCH(ROWS($B$6:B370),$B$6:$B$1750,0)),"")</f>
        <v/>
      </c>
      <c r="D370">
        <f>J370&amp;" ("&amp;E370&amp;")"</f>
        <v/>
      </c>
      <c r="E370" t="n">
        <v>14509</v>
      </c>
      <c r="F370" t="inlineStr">
        <is>
          <t>General Acute Care</t>
        </is>
      </c>
      <c r="G370" t="inlineStr">
        <is>
          <t>39400 Paseo Padre Parkway</t>
        </is>
      </c>
      <c r="H370" t="inlineStr">
        <is>
          <t>Fremont</t>
        </is>
      </c>
      <c r="I370" t="inlineStr">
        <is>
          <t>Alameda</t>
        </is>
      </c>
      <c r="J370" t="inlineStr">
        <is>
          <t>Kaiser Foundation Hospital - Fremont</t>
        </is>
      </c>
    </row>
    <row r="371">
      <c r="A371">
        <f>--ISNUMBER(IFERROR(SEARCH($C$5,Inputs!$D371,1),""))</f>
        <v/>
      </c>
      <c r="B371">
        <f>IF(A371=1,COUNTIF($A$6:A371,1),"")</f>
        <v/>
      </c>
      <c r="C371">
        <f>IFERROR(INDEX($D$6:$D$1750,MATCH(ROWS($B$6:B371),$B$6:$B$1750,0)),"")</f>
        <v/>
      </c>
      <c r="D371">
        <f>J371&amp;" ("&amp;E371&amp;")"</f>
        <v/>
      </c>
      <c r="E371" t="n">
        <v>14560</v>
      </c>
      <c r="F371" t="inlineStr">
        <is>
          <t>General Acute Care</t>
        </is>
      </c>
      <c r="G371" t="inlineStr">
        <is>
          <t>275 Hospital Drive</t>
        </is>
      </c>
      <c r="H371" t="inlineStr">
        <is>
          <t>Ukiah</t>
        </is>
      </c>
      <c r="I371" t="inlineStr">
        <is>
          <t>Mendocino</t>
        </is>
      </c>
      <c r="J371" t="inlineStr">
        <is>
          <t>Adventist Health Ukiah Valley</t>
        </is>
      </c>
    </row>
    <row r="372">
      <c r="A372">
        <f>--ISNUMBER(IFERROR(SEARCH($C$5,Inputs!$D372,1),""))</f>
        <v/>
      </c>
      <c r="B372">
        <f>IF(A372=1,COUNTIF($A$6:A372,1),"")</f>
        <v/>
      </c>
      <c r="C372">
        <f>IFERROR(INDEX($D$6:$D$1750,MATCH(ROWS($B$6:B372),$B$6:$B$1750,0)),"")</f>
        <v/>
      </c>
      <c r="D372">
        <f>J372&amp;" ("&amp;E372&amp;")"</f>
        <v/>
      </c>
      <c r="E372" t="n">
        <v>14568</v>
      </c>
      <c r="F372" t="inlineStr">
        <is>
          <t>General Acute Care</t>
        </is>
      </c>
      <c r="G372" t="inlineStr">
        <is>
          <t>400 N McDowell Blvd</t>
        </is>
      </c>
      <c r="H372" t="inlineStr">
        <is>
          <t>Petaluma</t>
        </is>
      </c>
      <c r="I372" t="inlineStr">
        <is>
          <t>Sonoma</t>
        </is>
      </c>
      <c r="J372" t="inlineStr">
        <is>
          <t>Petaluma Valley Hospital</t>
        </is>
      </c>
    </row>
    <row r="373">
      <c r="A373">
        <f>--ISNUMBER(IFERROR(SEARCH($C$5,Inputs!$D373,1),""))</f>
        <v/>
      </c>
      <c r="B373">
        <f>IF(A373=1,COUNTIF($A$6:A373,1),"")</f>
        <v/>
      </c>
      <c r="C373">
        <f>IFERROR(INDEX($D$6:$D$1750,MATCH(ROWS($B$6:B373),$B$6:$B$1750,0)),"")</f>
        <v/>
      </c>
      <c r="D373">
        <f>J373&amp;" ("&amp;E373&amp;")"</f>
        <v/>
      </c>
      <c r="E373" t="n">
        <v>14621</v>
      </c>
      <c r="F373" t="inlineStr">
        <is>
          <t>General Acute Care</t>
        </is>
      </c>
      <c r="G373" t="inlineStr">
        <is>
          <t>845 Jackson Street</t>
        </is>
      </c>
      <c r="H373" t="inlineStr">
        <is>
          <t>San Francisco</t>
        </is>
      </c>
      <c r="I373" t="inlineStr">
        <is>
          <t>San Francisco</t>
        </is>
      </c>
      <c r="J373" t="inlineStr">
        <is>
          <t>Chinese Hospital</t>
        </is>
      </c>
    </row>
    <row r="374">
      <c r="A374">
        <f>--ISNUMBER(IFERROR(SEARCH($C$5,Inputs!$D374,1),""))</f>
        <v/>
      </c>
      <c r="B374">
        <f>IF(A374=1,COUNTIF($A$6:A374,1),"")</f>
        <v/>
      </c>
      <c r="C374">
        <f>IFERROR(INDEX($D$6:$D$1750,MATCH(ROWS($B$6:B374),$B$6:$B$1750,0)),"")</f>
        <v/>
      </c>
      <c r="D374">
        <f>J374&amp;" ("&amp;E374&amp;")"</f>
        <v/>
      </c>
      <c r="E374" t="n">
        <v>14900</v>
      </c>
      <c r="F374" t="inlineStr">
        <is>
          <t>General Acute Care</t>
        </is>
      </c>
      <c r="G374" t="inlineStr">
        <is>
          <t>444 Bruce St</t>
        </is>
      </c>
      <c r="H374" t="inlineStr">
        <is>
          <t>Yreka</t>
        </is>
      </c>
      <c r="I374" t="inlineStr">
        <is>
          <t>Siskiyou</t>
        </is>
      </c>
      <c r="J374" t="inlineStr">
        <is>
          <t>Fairchild Medical Center</t>
        </is>
      </c>
    </row>
    <row r="375">
      <c r="A375">
        <f>--ISNUMBER(IFERROR(SEARCH($C$5,Inputs!$D375,1),""))</f>
        <v/>
      </c>
      <c r="B375">
        <f>IF(A375=1,COUNTIF($A$6:A375,1),"")</f>
        <v/>
      </c>
      <c r="C375">
        <f>IFERROR(INDEX($D$6:$D$1750,MATCH(ROWS($B$6:B375),$B$6:$B$1750,0)),"")</f>
        <v/>
      </c>
      <c r="D375">
        <f>J375&amp;" ("&amp;E375&amp;")"</f>
        <v/>
      </c>
      <c r="E375" t="n">
        <v>15007</v>
      </c>
      <c r="F375" t="inlineStr">
        <is>
          <t>General Acute Care</t>
        </is>
      </c>
      <c r="G375" t="inlineStr">
        <is>
          <t>26520 Cactus Avenue</t>
        </is>
      </c>
      <c r="H375" t="inlineStr">
        <is>
          <t>Moreno Valley</t>
        </is>
      </c>
      <c r="I375" t="inlineStr">
        <is>
          <t>Riverside</t>
        </is>
      </c>
      <c r="J375" t="inlineStr">
        <is>
          <t>Riverside University Health System - Medical Center</t>
        </is>
      </c>
    </row>
    <row r="376">
      <c r="A376">
        <f>--ISNUMBER(IFERROR(SEARCH($C$5,Inputs!$D376,1),""))</f>
        <v/>
      </c>
      <c r="B376">
        <f>IF(A376=1,COUNTIF($A$6:A376,1),"")</f>
        <v/>
      </c>
      <c r="C376">
        <f>IFERROR(INDEX($D$6:$D$1750,MATCH(ROWS($B$6:B376),$B$6:$B$1750,0)),"")</f>
        <v/>
      </c>
      <c r="D376">
        <f>J376&amp;" ("&amp;E376&amp;")"</f>
        <v/>
      </c>
      <c r="E376" t="n">
        <v>15019</v>
      </c>
      <c r="F376" t="inlineStr">
        <is>
          <t>General Acute Care</t>
        </is>
      </c>
      <c r="G376" t="inlineStr">
        <is>
          <t>75 Nielson Street</t>
        </is>
      </c>
      <c r="H376" t="inlineStr">
        <is>
          <t>Watsonville</t>
        </is>
      </c>
      <c r="I376" t="inlineStr">
        <is>
          <t>Santa Cruz</t>
        </is>
      </c>
      <c r="J376" t="inlineStr">
        <is>
          <t>Watsonville Community Hospital</t>
        </is>
      </c>
    </row>
    <row r="377">
      <c r="A377">
        <f>--ISNUMBER(IFERROR(SEARCH($C$5,Inputs!$D377,1),""))</f>
        <v/>
      </c>
      <c r="B377">
        <f>IF(A377=1,COUNTIF($A$6:A377,1),"")</f>
        <v/>
      </c>
      <c r="C377">
        <f>IFERROR(INDEX($D$6:$D$1750,MATCH(ROWS($B$6:B377),$B$6:$B$1750,0)),"")</f>
        <v/>
      </c>
      <c r="D377">
        <f>J377&amp;" ("&amp;E377&amp;")"</f>
        <v/>
      </c>
      <c r="E377" t="n">
        <v>15179</v>
      </c>
      <c r="F377" t="inlineStr">
        <is>
          <t>General Acute Care</t>
        </is>
      </c>
      <c r="G377" t="inlineStr">
        <is>
          <t>1441 Eastlake Ave.</t>
        </is>
      </c>
      <c r="H377" t="inlineStr">
        <is>
          <t>Los Angeles</t>
        </is>
      </c>
      <c r="I377" t="inlineStr">
        <is>
          <t>Los Angeles</t>
        </is>
      </c>
      <c r="J377" t="inlineStr">
        <is>
          <t>USC Kenneth Norris Jr. Cancer Hospital</t>
        </is>
      </c>
    </row>
    <row r="378">
      <c r="A378">
        <f>--ISNUMBER(IFERROR(SEARCH($C$5,Inputs!$D378,1),""))</f>
        <v/>
      </c>
      <c r="B378">
        <f>IF(A378=1,COUNTIF($A$6:A378,1),"")</f>
        <v/>
      </c>
      <c r="C378">
        <f>IFERROR(INDEX($D$6:$D$1750,MATCH(ROWS($B$6:B378),$B$6:$B$1750,0)),"")</f>
        <v/>
      </c>
      <c r="D378">
        <f>J378&amp;" ("&amp;E378&amp;")"</f>
        <v/>
      </c>
      <c r="E378" t="n">
        <v>15405</v>
      </c>
      <c r="F378" t="inlineStr">
        <is>
          <t>Acute Psychiatric Hospital</t>
        </is>
      </c>
      <c r="G378" t="inlineStr">
        <is>
          <t>801 Seneca St</t>
        </is>
      </c>
      <c r="H378" t="inlineStr">
        <is>
          <t>Ventura</t>
        </is>
      </c>
      <c r="I378" t="inlineStr">
        <is>
          <t>Ventura</t>
        </is>
      </c>
      <c r="J378" t="inlineStr">
        <is>
          <t>Aurora Vista Del Mar Hospital</t>
        </is>
      </c>
    </row>
    <row r="379">
      <c r="A379">
        <f>--ISNUMBER(IFERROR(SEARCH($C$5,Inputs!$D379,1),""))</f>
        <v/>
      </c>
      <c r="B379">
        <f>IF(A379=1,COUNTIF($A$6:A379,1),"")</f>
        <v/>
      </c>
      <c r="C379">
        <f>IFERROR(INDEX($D$6:$D$1750,MATCH(ROWS($B$6:B379),$B$6:$B$1750,0)),"")</f>
        <v/>
      </c>
      <c r="D379">
        <f>J379&amp;" ("&amp;E379&amp;")"</f>
        <v/>
      </c>
      <c r="E379" t="n">
        <v>15454</v>
      </c>
      <c r="F379" t="inlineStr">
        <is>
          <t>General Acute Care</t>
        </is>
      </c>
      <c r="G379" t="inlineStr">
        <is>
          <t>3003 Health Center Dr</t>
        </is>
      </c>
      <c r="H379" t="inlineStr">
        <is>
          <t>San Diego</t>
        </is>
      </c>
      <c r="I379" t="inlineStr">
        <is>
          <t>San Diego</t>
        </is>
      </c>
      <c r="J379" t="inlineStr">
        <is>
          <t>Sharp Mary Birch Hospital For Women And Newborns</t>
        </is>
      </c>
    </row>
    <row r="380">
      <c r="A380">
        <f>--ISNUMBER(IFERROR(SEARCH($C$5,Inputs!$D380,1),""))</f>
        <v/>
      </c>
      <c r="B380">
        <f>IF(A380=1,COUNTIF($A$6:A380,1),"")</f>
        <v/>
      </c>
      <c r="C380">
        <f>IFERROR(INDEX($D$6:$D$1750,MATCH(ROWS($B$6:B380),$B$6:$B$1750,0)),"")</f>
        <v/>
      </c>
      <c r="D380">
        <f>J380&amp;" ("&amp;E380&amp;")"</f>
        <v/>
      </c>
      <c r="E380" t="n">
        <v>15570</v>
      </c>
      <c r="F380" t="inlineStr">
        <is>
          <t>General Acute Care</t>
        </is>
      </c>
      <c r="G380" t="inlineStr">
        <is>
          <t>6600 Bruceville Rd.</t>
        </is>
      </c>
      <c r="H380" t="inlineStr">
        <is>
          <t>Sacramento</t>
        </is>
      </c>
      <c r="I380" t="inlineStr">
        <is>
          <t>Sacramento</t>
        </is>
      </c>
      <c r="J380" t="inlineStr">
        <is>
          <t>Kaiser Foundation Hospital - South Sacramento</t>
        </is>
      </c>
    </row>
    <row r="381">
      <c r="A381">
        <f>--ISNUMBER(IFERROR(SEARCH($C$5,Inputs!$D381,1),""))</f>
        <v/>
      </c>
      <c r="B381">
        <f>IF(A381=1,COUNTIF($A$6:A381,1),"")</f>
        <v/>
      </c>
      <c r="C381">
        <f>IFERROR(INDEX($D$6:$D$1750,MATCH(ROWS($B$6:B381),$B$6:$B$1750,0)),"")</f>
        <v/>
      </c>
      <c r="D381">
        <f>J381&amp;" ("&amp;E381&amp;")"</f>
        <v/>
      </c>
      <c r="E381" t="n">
        <v>15630</v>
      </c>
      <c r="F381" t="inlineStr">
        <is>
          <t>General Acute Care</t>
        </is>
      </c>
      <c r="G381" t="inlineStr">
        <is>
          <t>9920 Talbert Ave.</t>
        </is>
      </c>
      <c r="H381" t="inlineStr">
        <is>
          <t>Fountain Valley</t>
        </is>
      </c>
      <c r="I381" t="inlineStr">
        <is>
          <t>Orange</t>
        </is>
      </c>
      <c r="J381" t="inlineStr">
        <is>
          <t>Memorialcare Orange Coast Medical Center</t>
        </is>
      </c>
    </row>
    <row r="382">
      <c r="A382">
        <f>--ISNUMBER(IFERROR(SEARCH($C$5,Inputs!$D382,1),""))</f>
        <v/>
      </c>
      <c r="B382">
        <f>IF(A382=1,COUNTIF($A$6:A382,1),"")</f>
        <v/>
      </c>
      <c r="C382">
        <f>IFERROR(INDEX($D$6:$D$1750,MATCH(ROWS($B$6:B382),$B$6:$B$1750,0)),"")</f>
        <v/>
      </c>
      <c r="D382">
        <f>J382&amp;" ("&amp;E382&amp;")"</f>
        <v/>
      </c>
      <c r="E382" t="n">
        <v>15666</v>
      </c>
      <c r="F382" t="inlineStr">
        <is>
          <t>General Acute Care</t>
        </is>
      </c>
      <c r="G382" t="inlineStr">
        <is>
          <t>5601 De Soto Ave</t>
        </is>
      </c>
      <c r="H382" t="inlineStr">
        <is>
          <t>Woodland Hills</t>
        </is>
      </c>
      <c r="I382" t="inlineStr">
        <is>
          <t>Los Angeles</t>
        </is>
      </c>
      <c r="J382" t="inlineStr">
        <is>
          <t>Kaiser Foundation Hospital - Woodland Hills</t>
        </is>
      </c>
    </row>
    <row r="383">
      <c r="A383">
        <f>--ISNUMBER(IFERROR(SEARCH($C$5,Inputs!$D383,1),""))</f>
        <v/>
      </c>
      <c r="B383">
        <f>IF(A383=1,COUNTIF($A$6:A383,1),"")</f>
        <v/>
      </c>
      <c r="C383">
        <f>IFERROR(INDEX($D$6:$D$1750,MATCH(ROWS($B$6:B383),$B$6:$B$1750,0)),"")</f>
        <v/>
      </c>
      <c r="D383">
        <f>J383&amp;" ("&amp;E383&amp;")"</f>
        <v/>
      </c>
      <c r="E383" t="n">
        <v>15719</v>
      </c>
      <c r="F383" t="inlineStr">
        <is>
          <t>Acute Psychiatric Hospital</t>
        </is>
      </c>
      <c r="G383" t="inlineStr">
        <is>
          <t>8001 Bruceville Road</t>
        </is>
      </c>
      <c r="H383" t="inlineStr">
        <is>
          <t>Sacramento</t>
        </is>
      </c>
      <c r="I383" t="inlineStr">
        <is>
          <t>Sacramento</t>
        </is>
      </c>
      <c r="J383" t="inlineStr">
        <is>
          <t>Sierra Vista Hospital, Inc.</t>
        </is>
      </c>
    </row>
    <row r="384">
      <c r="A384">
        <f>--ISNUMBER(IFERROR(SEARCH($C$5,Inputs!$D384,1),""))</f>
        <v/>
      </c>
      <c r="B384">
        <f>IF(A384=1,COUNTIF($A$6:A384,1),"")</f>
        <v/>
      </c>
      <c r="C384">
        <f>IFERROR(INDEX($D$6:$D$1750,MATCH(ROWS($B$6:B384),$B$6:$B$1750,0)),"")</f>
        <v/>
      </c>
      <c r="D384">
        <f>J384&amp;" ("&amp;E384&amp;")"</f>
        <v/>
      </c>
      <c r="E384" t="n">
        <v>15745</v>
      </c>
      <c r="F384" t="inlineStr">
        <is>
          <t>Acute Psychiatric Hospital</t>
        </is>
      </c>
      <c r="G384" t="inlineStr">
        <is>
          <t>1501 Claus Road</t>
        </is>
      </c>
      <c r="H384" t="inlineStr">
        <is>
          <t>Modesto</t>
        </is>
      </c>
      <c r="I384" t="inlineStr">
        <is>
          <t>Stanislaus</t>
        </is>
      </c>
      <c r="J384" t="inlineStr">
        <is>
          <t>Doctors Medical Center - Behavioral Health Department</t>
        </is>
      </c>
    </row>
    <row r="385">
      <c r="A385">
        <f>--ISNUMBER(IFERROR(SEARCH($C$5,Inputs!$D385,1),""))</f>
        <v/>
      </c>
      <c r="B385">
        <f>IF(A385=1,COUNTIF($A$6:A385,1),"")</f>
        <v/>
      </c>
      <c r="C385">
        <f>IFERROR(INDEX($D$6:$D$1750,MATCH(ROWS($B$6:B385),$B$6:$B$1750,0)),"")</f>
        <v/>
      </c>
      <c r="D385">
        <f>J385&amp;" ("&amp;E385&amp;")"</f>
        <v/>
      </c>
      <c r="E385" t="n">
        <v>15749</v>
      </c>
      <c r="F385" t="inlineStr">
        <is>
          <t>General Acute Care</t>
        </is>
      </c>
      <c r="G385" t="inlineStr">
        <is>
          <t>36485 Inland Valley Dr.</t>
        </is>
      </c>
      <c r="H385" t="inlineStr">
        <is>
          <t>Wildomar</t>
        </is>
      </c>
      <c r="I385" t="inlineStr">
        <is>
          <t>Riverside</t>
        </is>
      </c>
      <c r="J385" t="inlineStr">
        <is>
          <t>Southwest Healthcare System</t>
        </is>
      </c>
    </row>
    <row r="386">
      <c r="A386">
        <f>--ISNUMBER(IFERROR(SEARCH($C$5,Inputs!$D386,1),""))</f>
        <v/>
      </c>
      <c r="B386">
        <f>IF(A386=1,COUNTIF($A$6:A386,1),"")</f>
        <v/>
      </c>
      <c r="C386">
        <f>IFERROR(INDEX($D$6:$D$1750,MATCH(ROWS($B$6:B386),$B$6:$B$1750,0)),"")</f>
        <v/>
      </c>
      <c r="D386">
        <f>J386&amp;" ("&amp;E386&amp;")"</f>
        <v/>
      </c>
      <c r="E386" t="n">
        <v>15801</v>
      </c>
      <c r="F386" t="inlineStr">
        <is>
          <t>General Acute Care</t>
        </is>
      </c>
      <c r="G386" t="inlineStr">
        <is>
          <t>14445 Olive View Dr.</t>
        </is>
      </c>
      <c r="H386" t="inlineStr">
        <is>
          <t>Sylmar</t>
        </is>
      </c>
      <c r="I386" t="inlineStr">
        <is>
          <t>Los Angeles</t>
        </is>
      </c>
      <c r="J386" t="inlineStr">
        <is>
          <t>LAC/Olive View-UCLA Medical Center</t>
        </is>
      </c>
    </row>
    <row r="387">
      <c r="A387">
        <f>--ISNUMBER(IFERROR(SEARCH($C$5,Inputs!$D387,1),""))</f>
        <v/>
      </c>
      <c r="B387">
        <f>IF(A387=1,COUNTIF($A$6:A387,1),"")</f>
        <v/>
      </c>
      <c r="C387">
        <f>IFERROR(INDEX($D$6:$D$1750,MATCH(ROWS($B$6:B387),$B$6:$B$1750,0)),"")</f>
        <v/>
      </c>
      <c r="D387">
        <f>J387&amp;" ("&amp;E387&amp;")"</f>
        <v/>
      </c>
      <c r="E387" t="n">
        <v>15807</v>
      </c>
      <c r="F387" t="inlineStr">
        <is>
          <t>General Acute Care</t>
        </is>
      </c>
      <c r="G387" t="inlineStr">
        <is>
          <t>1000 Nut Tree Road</t>
        </is>
      </c>
      <c r="H387" t="inlineStr">
        <is>
          <t>Vacaville</t>
        </is>
      </c>
      <c r="I387" t="inlineStr">
        <is>
          <t>Solano</t>
        </is>
      </c>
      <c r="J387" t="inlineStr">
        <is>
          <t>NorthBay VacaValley Hospital</t>
        </is>
      </c>
    </row>
    <row r="388">
      <c r="A388">
        <f>--ISNUMBER(IFERROR(SEARCH($C$5,Inputs!$D388,1),""))</f>
        <v/>
      </c>
      <c r="B388">
        <f>IF(A388=1,COUNTIF($A$6:A388,1),"")</f>
        <v/>
      </c>
      <c r="C388">
        <f>IFERROR(INDEX($D$6:$D$1750,MATCH(ROWS($B$6:B388),$B$6:$B$1750,0)),"")</f>
        <v/>
      </c>
      <c r="D388">
        <f>J388&amp;" ("&amp;E388&amp;")"</f>
        <v/>
      </c>
      <c r="E388" t="n">
        <v>15868</v>
      </c>
      <c r="F388" t="inlineStr">
        <is>
          <t>Acute Psychiatric Hospital</t>
        </is>
      </c>
      <c r="G388" t="inlineStr">
        <is>
          <t>7171 North Cedar Avenue</t>
        </is>
      </c>
      <c r="H388" t="inlineStr">
        <is>
          <t>Fresno</t>
        </is>
      </c>
      <c r="I388" t="inlineStr">
        <is>
          <t>Fresno</t>
        </is>
      </c>
      <c r="J388" t="inlineStr">
        <is>
          <t>Community Behavioral Health Center</t>
        </is>
      </c>
    </row>
    <row r="389">
      <c r="A389">
        <f>--ISNUMBER(IFERROR(SEARCH($C$5,Inputs!$D389,1),""))</f>
        <v/>
      </c>
      <c r="B389">
        <f>IF(A389=1,COUNTIF($A$6:A389,1),"")</f>
        <v/>
      </c>
      <c r="C389">
        <f>IFERROR(INDEX($D$6:$D$1750,MATCH(ROWS($B$6:B389),$B$6:$B$1750,0)),"")</f>
        <v/>
      </c>
      <c r="D389">
        <f>J389&amp;" ("&amp;E389&amp;")"</f>
        <v/>
      </c>
      <c r="E389" t="n">
        <v>15911</v>
      </c>
      <c r="F389" t="inlineStr">
        <is>
          <t>Acute Psychiatric Hospital</t>
        </is>
      </c>
      <c r="G389" t="inlineStr">
        <is>
          <t>1710 Barton Road</t>
        </is>
      </c>
      <c r="H389" t="inlineStr">
        <is>
          <t>Redlands</t>
        </is>
      </c>
      <c r="I389" t="inlineStr">
        <is>
          <t>San Bernardino</t>
        </is>
      </c>
      <c r="J389" t="inlineStr">
        <is>
          <t>Loma Linda University Behavioral Medicine Center</t>
        </is>
      </c>
    </row>
    <row r="390">
      <c r="A390">
        <f>--ISNUMBER(IFERROR(SEARCH($C$5,Inputs!$D390,1),""))</f>
        <v/>
      </c>
      <c r="B390">
        <f>IF(A390=1,COUNTIF($A$6:A390,1),"")</f>
        <v/>
      </c>
      <c r="C390">
        <f>IFERROR(INDEX($D$6:$D$1750,MATCH(ROWS($B$6:B390),$B$6:$B$1750,0)),"")</f>
        <v/>
      </c>
      <c r="D390">
        <f>J390&amp;" ("&amp;E390&amp;")"</f>
        <v/>
      </c>
      <c r="E390" t="n">
        <v>15944</v>
      </c>
      <c r="F390" t="inlineStr">
        <is>
          <t>Acute Psychiatric Hospital</t>
        </is>
      </c>
      <c r="G390" t="inlineStr">
        <is>
          <t>7700 Folsom Blvd.</t>
        </is>
      </c>
      <c r="H390" t="inlineStr">
        <is>
          <t>Sacramento</t>
        </is>
      </c>
      <c r="I390" t="inlineStr">
        <is>
          <t>Sacramento</t>
        </is>
      </c>
      <c r="J390" t="inlineStr">
        <is>
          <t>Sutter Center for Psychiatry</t>
        </is>
      </c>
    </row>
    <row r="391">
      <c r="A391">
        <f>--ISNUMBER(IFERROR(SEARCH($C$5,Inputs!$D391,1),""))</f>
        <v/>
      </c>
      <c r="B391">
        <f>IF(A391=1,COUNTIF($A$6:A391,1),"")</f>
        <v/>
      </c>
      <c r="C391">
        <f>IFERROR(INDEX($D$6:$D$1750,MATCH(ROWS($B$6:B391),$B$6:$B$1750,0)),"")</f>
        <v/>
      </c>
      <c r="D391">
        <f>J391&amp;" ("&amp;E391&amp;")"</f>
        <v/>
      </c>
      <c r="E391" t="n">
        <v>15946</v>
      </c>
      <c r="F391" t="inlineStr">
        <is>
          <t>Acute Psychiatric Hospital</t>
        </is>
      </c>
      <c r="G391" t="inlineStr">
        <is>
          <t>11878 Avenue of Industry</t>
        </is>
      </c>
      <c r="H391" t="inlineStr">
        <is>
          <t>San Diego</t>
        </is>
      </c>
      <c r="I391" t="inlineStr">
        <is>
          <t>San Diego</t>
        </is>
      </c>
      <c r="J391" t="inlineStr">
        <is>
          <t>Aurora San Diego</t>
        </is>
      </c>
    </row>
    <row r="392">
      <c r="A392">
        <f>--ISNUMBER(IFERROR(SEARCH($C$5,Inputs!$D392,1),""))</f>
        <v/>
      </c>
      <c r="B392">
        <f>IF(A392=1,COUNTIF($A$6:A392,1),"")</f>
        <v/>
      </c>
      <c r="C392">
        <f>IFERROR(INDEX($D$6:$D$1750,MATCH(ROWS($B$6:B392),$B$6:$B$1750,0)),"")</f>
        <v/>
      </c>
      <c r="D392">
        <f>J392&amp;" ("&amp;E392&amp;")"</f>
        <v/>
      </c>
      <c r="E392" t="n">
        <v>16069</v>
      </c>
      <c r="F392" t="inlineStr">
        <is>
          <t>Acute Psychiatric Hospital</t>
        </is>
      </c>
      <c r="G392" t="inlineStr">
        <is>
          <t>4250 Auburn Blvd.</t>
        </is>
      </c>
      <c r="H392" t="inlineStr">
        <is>
          <t>Sacramento</t>
        </is>
      </c>
      <c r="I392" t="inlineStr">
        <is>
          <t>Sacramento</t>
        </is>
      </c>
      <c r="J392" t="inlineStr">
        <is>
          <t>Heritage Oaks Hospital</t>
        </is>
      </c>
    </row>
    <row r="393">
      <c r="A393">
        <f>--ISNUMBER(IFERROR(SEARCH($C$5,Inputs!$D393,1),""))</f>
        <v/>
      </c>
      <c r="B393">
        <f>IF(A393=1,COUNTIF($A$6:A393,1),"")</f>
        <v/>
      </c>
      <c r="C393">
        <f>IFERROR(INDEX($D$6:$D$1750,MATCH(ROWS($B$6:B393),$B$6:$B$1750,0)),"")</f>
        <v/>
      </c>
      <c r="D393">
        <f>J393&amp;" ("&amp;E393&amp;")"</f>
        <v/>
      </c>
      <c r="E393" t="n">
        <v>16116</v>
      </c>
      <c r="F393" t="inlineStr">
        <is>
          <t>General Acute Care</t>
        </is>
      </c>
      <c r="G393" t="inlineStr">
        <is>
          <t>2755 Herndon Ave</t>
        </is>
      </c>
      <c r="H393" t="inlineStr">
        <is>
          <t>Clovis</t>
        </is>
      </c>
      <c r="I393" t="inlineStr">
        <is>
          <t>Fresno</t>
        </is>
      </c>
      <c r="J393" t="inlineStr">
        <is>
          <t>Clovis Community Medical Center</t>
        </is>
      </c>
    </row>
    <row r="394">
      <c r="A394">
        <f>--ISNUMBER(IFERROR(SEARCH($C$5,Inputs!$D394,1),""))</f>
        <v/>
      </c>
      <c r="B394">
        <f>IF(A394=1,COUNTIF($A$6:A394,1),"")</f>
        <v/>
      </c>
      <c r="C394">
        <f>IFERROR(INDEX($D$6:$D$1750,MATCH(ROWS($B$6:B394),$B$6:$B$1750,0)),"")</f>
        <v/>
      </c>
      <c r="D394">
        <f>J394&amp;" ("&amp;E394&amp;")"</f>
        <v/>
      </c>
      <c r="E394" t="n">
        <v>16148</v>
      </c>
      <c r="F394" t="inlineStr">
        <is>
          <t>General Acute Care</t>
        </is>
      </c>
      <c r="G394" t="inlineStr">
        <is>
          <t>28400 McCall Blvd.</t>
        </is>
      </c>
      <c r="H394" t="inlineStr">
        <is>
          <t>Sun City</t>
        </is>
      </c>
      <c r="I394" t="inlineStr">
        <is>
          <t>Riverside</t>
        </is>
      </c>
      <c r="J394" t="inlineStr">
        <is>
          <t>Menifee Global Medical Center</t>
        </is>
      </c>
    </row>
    <row r="395">
      <c r="A395">
        <f>--ISNUMBER(IFERROR(SEARCH($C$5,Inputs!$D395,1),""))</f>
        <v/>
      </c>
      <c r="B395">
        <f>IF(A395=1,COUNTIF($A$6:A395,1),"")</f>
        <v/>
      </c>
      <c r="C395">
        <f>IFERROR(INDEX($D$6:$D$1750,MATCH(ROWS($B$6:B395),$B$6:$B$1750,0)),"")</f>
        <v/>
      </c>
      <c r="D395">
        <f>J395&amp;" ("&amp;E395&amp;")"</f>
        <v/>
      </c>
      <c r="E395" t="n">
        <v>16150</v>
      </c>
      <c r="F395" t="inlineStr">
        <is>
          <t>General Acute Care</t>
        </is>
      </c>
      <c r="G395" t="inlineStr">
        <is>
          <t>1650 Creekside Drive</t>
        </is>
      </c>
      <c r="H395" t="inlineStr">
        <is>
          <t>Folsom</t>
        </is>
      </c>
      <c r="I395" t="inlineStr">
        <is>
          <t>Sacramento</t>
        </is>
      </c>
      <c r="J395" t="inlineStr">
        <is>
          <t>Mercy Hospital Of Folsom</t>
        </is>
      </c>
    </row>
    <row r="396">
      <c r="A396">
        <f>--ISNUMBER(IFERROR(SEARCH($C$5,Inputs!$D396,1),""))</f>
        <v/>
      </c>
      <c r="B396">
        <f>IF(A396=1,COUNTIF($A$6:A396,1),"")</f>
        <v/>
      </c>
      <c r="C396">
        <f>IFERROR(INDEX($D$6:$D$1750,MATCH(ROWS($B$6:B396),$B$6:$B$1750,0)),"")</f>
        <v/>
      </c>
      <c r="D396">
        <f>J396&amp;" ("&amp;E396&amp;")"</f>
        <v/>
      </c>
      <c r="E396" t="n">
        <v>16164</v>
      </c>
      <c r="F396" t="inlineStr">
        <is>
          <t>General Acute Care</t>
        </is>
      </c>
      <c r="G396" t="inlineStr">
        <is>
          <t>10800 Magnolia Avenue</t>
        </is>
      </c>
      <c r="H396" t="inlineStr">
        <is>
          <t>Riverside</t>
        </is>
      </c>
      <c r="I396" t="inlineStr">
        <is>
          <t>Riverside</t>
        </is>
      </c>
      <c r="J396" t="inlineStr">
        <is>
          <t>Kaiser Foundation Hospital - Riverside</t>
        </is>
      </c>
    </row>
    <row r="397">
      <c r="A397">
        <f>--ISNUMBER(IFERROR(SEARCH($C$5,Inputs!$D397,1),""))</f>
        <v/>
      </c>
      <c r="B397">
        <f>IF(A397=1,COUNTIF($A$6:A397,1),"")</f>
        <v/>
      </c>
      <c r="C397">
        <f>IFERROR(INDEX($D$6:$D$1750,MATCH(ROWS($B$6:B397),$B$6:$B$1750,0)),"")</f>
        <v/>
      </c>
      <c r="D397">
        <f>J397&amp;" ("&amp;E397&amp;")"</f>
        <v/>
      </c>
      <c r="E397" t="n">
        <v>16166</v>
      </c>
      <c r="F397" t="inlineStr">
        <is>
          <t>General Acute Care</t>
        </is>
      </c>
      <c r="G397" t="inlineStr">
        <is>
          <t>7777 Norris Canyon Road</t>
        </is>
      </c>
      <c r="H397" t="inlineStr">
        <is>
          <t>San Ramon</t>
        </is>
      </c>
      <c r="I397" t="inlineStr">
        <is>
          <t>Contra Costa</t>
        </is>
      </c>
      <c r="J397" t="inlineStr">
        <is>
          <t>San Ramon Regional Medical Center South Building</t>
        </is>
      </c>
    </row>
    <row r="398">
      <c r="A398">
        <f>--ISNUMBER(IFERROR(SEARCH($C$5,Inputs!$D398,1),""))</f>
        <v/>
      </c>
      <c r="B398">
        <f>IF(A398=1,COUNTIF($A$6:A398,1),"")</f>
        <v/>
      </c>
      <c r="C398">
        <f>IFERROR(INDEX($D$6:$D$1750,MATCH(ROWS($B$6:B398),$B$6:$B$1750,0)),"")</f>
        <v/>
      </c>
      <c r="D398">
        <f>J398&amp;" ("&amp;E398&amp;")"</f>
        <v/>
      </c>
      <c r="E398" t="n">
        <v>16186</v>
      </c>
      <c r="F398" t="inlineStr">
        <is>
          <t>Acute Psychiatric Hospital</t>
        </is>
      </c>
      <c r="G398" t="inlineStr">
        <is>
          <t>3853 Rosecrans St</t>
        </is>
      </c>
      <c r="H398" t="inlineStr">
        <is>
          <t>San Diego</t>
        </is>
      </c>
      <c r="I398" t="inlineStr">
        <is>
          <t>San Diego</t>
        </is>
      </c>
      <c r="J398" t="inlineStr">
        <is>
          <t>San Diego County Psychiatric Hospital</t>
        </is>
      </c>
    </row>
    <row r="399">
      <c r="A399">
        <f>--ISNUMBER(IFERROR(SEARCH($C$5,Inputs!$D399,1),""))</f>
        <v/>
      </c>
      <c r="B399">
        <f>IF(A399=1,COUNTIF($A$6:A399,1),"")</f>
        <v/>
      </c>
      <c r="C399">
        <f>IFERROR(INDEX($D$6:$D$1750,MATCH(ROWS($B$6:B399),$B$6:$B$1750,0)),"")</f>
        <v/>
      </c>
      <c r="D399">
        <f>J399&amp;" ("&amp;E399&amp;")"</f>
        <v/>
      </c>
      <c r="E399" t="n">
        <v>16222</v>
      </c>
      <c r="F399" t="inlineStr">
        <is>
          <t>Acute Psychiatric Hospital</t>
        </is>
      </c>
      <c r="G399" t="inlineStr">
        <is>
          <t>5353 G Street</t>
        </is>
      </c>
      <c r="H399" t="inlineStr">
        <is>
          <t>Chino</t>
        </is>
      </c>
      <c r="I399" t="inlineStr">
        <is>
          <t>San Bernardino</t>
        </is>
      </c>
      <c r="J399" t="inlineStr">
        <is>
          <t>Canyon Ridge Hospital</t>
        </is>
      </c>
    </row>
    <row r="400">
      <c r="A400">
        <f>--ISNUMBER(IFERROR(SEARCH($C$5,Inputs!$D400,1),""))</f>
        <v/>
      </c>
      <c r="B400">
        <f>IF(A400=1,COUNTIF($A$6:A400,1),"")</f>
        <v/>
      </c>
      <c r="C400">
        <f>IFERROR(INDEX($D$6:$D$1750,MATCH(ROWS($B$6:B400),$B$6:$B$1750,0)),"")</f>
        <v/>
      </c>
      <c r="D400">
        <f>J400&amp;" ("&amp;E400&amp;")"</f>
        <v/>
      </c>
      <c r="E400" t="n">
        <v>16227</v>
      </c>
      <c r="F400" t="inlineStr">
        <is>
          <t>Acute Psychiatric Hospital</t>
        </is>
      </c>
      <c r="G400" t="inlineStr">
        <is>
          <t>39001 Sundale Drive</t>
        </is>
      </c>
      <c r="H400" t="inlineStr">
        <is>
          <t>Fremont</t>
        </is>
      </c>
      <c r="I400" t="inlineStr">
        <is>
          <t>Alameda</t>
        </is>
      </c>
      <c r="J400" t="inlineStr">
        <is>
          <t>Fremont Hospital</t>
        </is>
      </c>
    </row>
    <row r="401">
      <c r="A401">
        <f>--ISNUMBER(IFERROR(SEARCH($C$5,Inputs!$D401,1),""))</f>
        <v/>
      </c>
      <c r="B401">
        <f>IF(A401=1,COUNTIF($A$6:A401,1),"")</f>
        <v/>
      </c>
      <c r="C401">
        <f>IFERROR(INDEX($D$6:$D$1750,MATCH(ROWS($B$6:B401),$B$6:$B$1750,0)),"")</f>
        <v/>
      </c>
      <c r="D401">
        <f>J401&amp;" ("&amp;E401&amp;")"</f>
        <v/>
      </c>
      <c r="E401" t="n">
        <v>16228</v>
      </c>
      <c r="F401" t="inlineStr">
        <is>
          <t>General Acute Care</t>
        </is>
      </c>
      <c r="G401" t="inlineStr">
        <is>
          <t>6001 Norris Canyon Road</t>
        </is>
      </c>
      <c r="H401" t="inlineStr">
        <is>
          <t>San Ramon</t>
        </is>
      </c>
      <c r="I401" t="inlineStr">
        <is>
          <t>Contra Costa</t>
        </is>
      </c>
      <c r="J401" t="inlineStr">
        <is>
          <t>San Ramon Regional Medical Center</t>
        </is>
      </c>
    </row>
    <row r="402">
      <c r="A402">
        <f>--ISNUMBER(IFERROR(SEARCH($C$5,Inputs!$D402,1),""))</f>
        <v/>
      </c>
      <c r="B402">
        <f>IF(A402=1,COUNTIF($A$6:A402,1),"")</f>
        <v/>
      </c>
      <c r="C402">
        <f>IFERROR(INDEX($D$6:$D$1750,MATCH(ROWS($B$6:B402),$B$6:$B$1750,0)),"")</f>
        <v/>
      </c>
      <c r="D402">
        <f>J402&amp;" ("&amp;E402&amp;")"</f>
        <v/>
      </c>
      <c r="E402" t="n">
        <v>16234</v>
      </c>
      <c r="F402" t="inlineStr">
        <is>
          <t>General Acute Care</t>
        </is>
      </c>
      <c r="G402" t="inlineStr">
        <is>
          <t>11250 Warner Ave.</t>
        </is>
      </c>
      <c r="H402" t="inlineStr">
        <is>
          <t>Fountain Valley</t>
        </is>
      </c>
      <c r="I402" t="inlineStr">
        <is>
          <t>Orange</t>
        </is>
      </c>
      <c r="J402" t="inlineStr">
        <is>
          <t>Fountain Valley Regional Hospital And Medical Center</t>
        </is>
      </c>
    </row>
    <row r="403">
      <c r="A403">
        <f>--ISNUMBER(IFERROR(SEARCH($C$5,Inputs!$D403,1),""))</f>
        <v/>
      </c>
      <c r="B403">
        <f>IF(A403=1,COUNTIF($A$6:A403,1),"")</f>
        <v/>
      </c>
      <c r="C403">
        <f>IFERROR(INDEX($D$6:$D$1750,MATCH(ROWS($B$6:B403),$B$6:$B$1750,0)),"")</f>
        <v/>
      </c>
      <c r="D403">
        <f>J403&amp;" ("&amp;E403&amp;")"</f>
        <v/>
      </c>
      <c r="E403" t="n">
        <v>16242</v>
      </c>
      <c r="F403" t="inlineStr">
        <is>
          <t>General Acute Care</t>
        </is>
      </c>
      <c r="G403" t="inlineStr">
        <is>
          <t>401 Bicentennial Way</t>
        </is>
      </c>
      <c r="H403" t="inlineStr">
        <is>
          <t>Santa Rosa</t>
        </is>
      </c>
      <c r="I403" t="inlineStr">
        <is>
          <t>Sonoma</t>
        </is>
      </c>
      <c r="J403" t="inlineStr">
        <is>
          <t>Kaiser Foundation Hospital - Santa Rosa</t>
        </is>
      </c>
    </row>
    <row r="404">
      <c r="A404">
        <f>--ISNUMBER(IFERROR(SEARCH($C$5,Inputs!$D404,1),""))</f>
        <v/>
      </c>
      <c r="B404">
        <f>IF(A404=1,COUNTIF($A$6:A404,1),"")</f>
        <v/>
      </c>
      <c r="C404">
        <f>IFERROR(INDEX($D$6:$D$1750,MATCH(ROWS($B$6:B404),$B$6:$B$1750,0)),"")</f>
        <v/>
      </c>
      <c r="D404">
        <f>J404&amp;" ("&amp;E404&amp;")"</f>
        <v/>
      </c>
      <c r="E404" t="n">
        <v>16244</v>
      </c>
      <c r="F404" t="inlineStr">
        <is>
          <t>General Acute Care</t>
        </is>
      </c>
      <c r="G404" t="inlineStr">
        <is>
          <t>150 Via Merida</t>
        </is>
      </c>
      <c r="H404" t="inlineStr">
        <is>
          <t>Westlake Village</t>
        </is>
      </c>
      <c r="I404" t="inlineStr">
        <is>
          <t>Ventura</t>
        </is>
      </c>
      <c r="J404" t="inlineStr">
        <is>
          <t>Los Robles Hospital &amp; Medical Center - East Campus</t>
        </is>
      </c>
    </row>
    <row r="405">
      <c r="A405">
        <f>--ISNUMBER(IFERROR(SEARCH($C$5,Inputs!$D405,1),""))</f>
        <v/>
      </c>
      <c r="B405">
        <f>IF(A405=1,COUNTIF($A$6:A405,1),"")</f>
        <v/>
      </c>
      <c r="C405">
        <f>IFERROR(INDEX($D$6:$D$1750,MATCH(ROWS($B$6:B405),$B$6:$B$1750,0)),"")</f>
        <v/>
      </c>
      <c r="D405">
        <f>J405&amp;" ("&amp;E405&amp;")"</f>
        <v/>
      </c>
      <c r="E405" t="n">
        <v>16245</v>
      </c>
      <c r="F405" t="inlineStr">
        <is>
          <t>General Acute Care</t>
        </is>
      </c>
      <c r="G405" t="inlineStr">
        <is>
          <t>5001 Commerce Drive</t>
        </is>
      </c>
      <c r="H405" t="inlineStr">
        <is>
          <t>Bakersfield</t>
        </is>
      </c>
      <c r="I405" t="inlineStr">
        <is>
          <t>Kern</t>
        </is>
      </c>
      <c r="J405" t="inlineStr">
        <is>
          <t>Encompass Health Rehabilitation Hospital of Bakersfield</t>
        </is>
      </c>
    </row>
    <row r="406">
      <c r="A406">
        <f>--ISNUMBER(IFERROR(SEARCH($C$5,Inputs!$D406,1),""))</f>
        <v/>
      </c>
      <c r="B406">
        <f>IF(A406=1,COUNTIF($A$6:A406,1),"")</f>
        <v/>
      </c>
      <c r="C406">
        <f>IFERROR(INDEX($D$6:$D$1750,MATCH(ROWS($B$6:B406),$B$6:$B$1750,0)),"")</f>
        <v/>
      </c>
      <c r="D406">
        <f>J406&amp;" ("&amp;E406&amp;")"</f>
        <v/>
      </c>
      <c r="E406" t="n">
        <v>16263</v>
      </c>
      <c r="F406" t="inlineStr">
        <is>
          <t>General Acute Care</t>
        </is>
      </c>
      <c r="G406" t="inlineStr">
        <is>
          <t>6645 Alvarado Road</t>
        </is>
      </c>
      <c r="H406" t="inlineStr">
        <is>
          <t>San Diego</t>
        </is>
      </c>
      <c r="I406" t="inlineStr">
        <is>
          <t>San Diego</t>
        </is>
      </c>
      <c r="J406" t="inlineStr">
        <is>
          <t>Alvarado Hospital Medical Center</t>
        </is>
      </c>
    </row>
    <row r="407">
      <c r="A407">
        <f>--ISNUMBER(IFERROR(SEARCH($C$5,Inputs!$D407,1),""))</f>
        <v/>
      </c>
      <c r="B407">
        <f>IF(A407=1,COUNTIF($A$6:A407,1),"")</f>
        <v/>
      </c>
      <c r="C407">
        <f>IFERROR(INDEX($D$6:$D$1750,MATCH(ROWS($B$6:B407),$B$6:$B$1750,0)),"")</f>
        <v/>
      </c>
      <c r="D407">
        <f>J407&amp;" ("&amp;E407&amp;")"</f>
        <v/>
      </c>
      <c r="E407" t="n">
        <v>16319</v>
      </c>
      <c r="F407" t="inlineStr">
        <is>
          <t>General Acute Care</t>
        </is>
      </c>
      <c r="G407" t="inlineStr">
        <is>
          <t>16200 Sand Canyon Ave.</t>
        </is>
      </c>
      <c r="H407" t="inlineStr">
        <is>
          <t>Irvine</t>
        </is>
      </c>
      <c r="I407" t="inlineStr">
        <is>
          <t>Orange</t>
        </is>
      </c>
      <c r="J407" t="inlineStr">
        <is>
          <t>Hoag Hospital Irvine</t>
        </is>
      </c>
    </row>
    <row r="408">
      <c r="A408">
        <f>--ISNUMBER(IFERROR(SEARCH($C$5,Inputs!$D408,1),""))</f>
        <v/>
      </c>
      <c r="B408">
        <f>IF(A408=1,COUNTIF($A$6:A408,1),"")</f>
        <v/>
      </c>
      <c r="C408">
        <f>IFERROR(INDEX($D$6:$D$1750,MATCH(ROWS($B$6:B408),$B$6:$B$1750,0)),"")</f>
        <v/>
      </c>
      <c r="D408">
        <f>J408&amp;" ("&amp;E408&amp;")"</f>
        <v/>
      </c>
      <c r="E408" t="n">
        <v>16324</v>
      </c>
      <c r="F408" t="inlineStr">
        <is>
          <t>General Acute Care</t>
        </is>
      </c>
      <c r="G408" t="inlineStr">
        <is>
          <t>1777 W Yosemite Ave</t>
        </is>
      </c>
      <c r="H408" t="inlineStr">
        <is>
          <t>Manteca</t>
        </is>
      </c>
      <c r="I408" t="inlineStr">
        <is>
          <t>San Joaquin</t>
        </is>
      </c>
      <c r="J408" t="inlineStr">
        <is>
          <t>Kaiser Foundation Hospital - Manteca</t>
        </is>
      </c>
    </row>
    <row r="409">
      <c r="A409">
        <f>--ISNUMBER(IFERROR(SEARCH($C$5,Inputs!$D409,1),""))</f>
        <v/>
      </c>
      <c r="B409">
        <f>IF(A409=1,COUNTIF($A$6:A409,1),"")</f>
        <v/>
      </c>
      <c r="C409">
        <f>IFERROR(INDEX($D$6:$D$1750,MATCH(ROWS($B$6:B409),$B$6:$B$1750,0)),"")</f>
        <v/>
      </c>
      <c r="D409">
        <f>J409&amp;" ("&amp;E409&amp;")"</f>
        <v/>
      </c>
      <c r="E409" t="n">
        <v>16325</v>
      </c>
      <c r="F409" t="inlineStr">
        <is>
          <t>General Acute Care</t>
        </is>
      </c>
      <c r="G409" t="inlineStr">
        <is>
          <t>27300 Iris Avenue</t>
        </is>
      </c>
      <c r="H409" t="inlineStr">
        <is>
          <t>Moreno Valley</t>
        </is>
      </c>
      <c r="I409" t="inlineStr">
        <is>
          <t>Riverside</t>
        </is>
      </c>
      <c r="J409" t="inlineStr">
        <is>
          <t>Kaiser Foundation Hospital - Moreno Valley</t>
        </is>
      </c>
    </row>
    <row r="410">
      <c r="A410">
        <f>--ISNUMBER(IFERROR(SEARCH($C$5,Inputs!$D410,1),""))</f>
        <v/>
      </c>
      <c r="B410">
        <f>IF(A410=1,COUNTIF($A$6:A410,1),"")</f>
        <v/>
      </c>
      <c r="C410">
        <f>IFERROR(INDEX($D$6:$D$1750,MATCH(ROWS($B$6:B410),$B$6:$B$1750,0)),"")</f>
        <v/>
      </c>
      <c r="D410">
        <f>J410&amp;" ("&amp;E410&amp;")"</f>
        <v/>
      </c>
      <c r="E410" t="n">
        <v>16346</v>
      </c>
      <c r="F410" t="inlineStr">
        <is>
          <t>Acute Psychiatric Hospital</t>
        </is>
      </c>
      <c r="G410" t="inlineStr">
        <is>
          <t>1100 S Akers St</t>
        </is>
      </c>
      <c r="H410" t="inlineStr">
        <is>
          <t>Visalia</t>
        </is>
      </c>
      <c r="I410" t="inlineStr">
        <is>
          <t>Tulare</t>
        </is>
      </c>
      <c r="J410" t="inlineStr">
        <is>
          <t>Kaweah Health Mental Health Hospital</t>
        </is>
      </c>
    </row>
    <row r="411">
      <c r="A411">
        <f>--ISNUMBER(IFERROR(SEARCH($C$5,Inputs!$D411,1),""))</f>
        <v/>
      </c>
      <c r="B411">
        <f>IF(A411=1,COUNTIF($A$6:A411,1),"")</f>
        <v/>
      </c>
      <c r="C411">
        <f>IFERROR(INDEX($D$6:$D$1750,MATCH(ROWS($B$6:B411),$B$6:$B$1750,0)),"")</f>
        <v/>
      </c>
      <c r="D411">
        <f>J411&amp;" ("&amp;E411&amp;")"</f>
        <v/>
      </c>
      <c r="E411" t="n">
        <v>16385</v>
      </c>
      <c r="F411" t="inlineStr">
        <is>
          <t>Acute Psychiatric Hospital</t>
        </is>
      </c>
      <c r="G411" t="inlineStr">
        <is>
          <t>455 Silicon Valley Boulevard</t>
        </is>
      </c>
      <c r="H411" t="inlineStr">
        <is>
          <t>San Jose</t>
        </is>
      </c>
      <c r="I411" t="inlineStr">
        <is>
          <t>Santa Clara</t>
        </is>
      </c>
      <c r="J411" t="inlineStr">
        <is>
          <t>San Jose Behavioral Health</t>
        </is>
      </c>
    </row>
    <row r="412">
      <c r="A412">
        <f>--ISNUMBER(IFERROR(SEARCH($C$5,Inputs!$D412,1),""))</f>
        <v/>
      </c>
      <c r="B412">
        <f>IF(A412=1,COUNTIF($A$6:A412,1),"")</f>
        <v/>
      </c>
      <c r="C412">
        <f>IFERROR(INDEX($D$6:$D$1750,MATCH(ROWS($B$6:B412),$B$6:$B$1750,0)),"")</f>
        <v/>
      </c>
      <c r="D412">
        <f>J412&amp;" ("&amp;E412&amp;")"</f>
        <v/>
      </c>
      <c r="E412" t="n">
        <v>16404</v>
      </c>
      <c r="F412" t="inlineStr">
        <is>
          <t>General Acute Care</t>
        </is>
      </c>
      <c r="G412" t="inlineStr">
        <is>
          <t>7173 N. Sharon Ave.</t>
        </is>
      </c>
      <c r="H412" t="inlineStr">
        <is>
          <t>Fresno</t>
        </is>
      </c>
      <c r="I412" t="inlineStr">
        <is>
          <t>Fresno</t>
        </is>
      </c>
      <c r="J412" t="inlineStr">
        <is>
          <t>San Joaquin Valley Rehabilitation Hospital</t>
        </is>
      </c>
    </row>
    <row r="413">
      <c r="A413">
        <f>--ISNUMBER(IFERROR(SEARCH($C$5,Inputs!$D413,1),""))</f>
        <v/>
      </c>
      <c r="B413">
        <f>IF(A413=1,COUNTIF($A$6:A413,1),"")</f>
        <v/>
      </c>
      <c r="C413">
        <f>IFERROR(INDEX($D$6:$D$1750,MATCH(ROWS($B$6:B413),$B$6:$B$1750,0)),"")</f>
        <v/>
      </c>
      <c r="D413">
        <f>J413&amp;" ("&amp;E413&amp;")"</f>
        <v/>
      </c>
      <c r="E413" t="n">
        <v>16464</v>
      </c>
      <c r="F413" t="inlineStr">
        <is>
          <t>General Acute Care</t>
        </is>
      </c>
      <c r="G413" t="inlineStr">
        <is>
          <t>340 West East Avenue</t>
        </is>
      </c>
      <c r="H413" t="inlineStr">
        <is>
          <t>Chico</t>
        </is>
      </c>
      <c r="I413" t="inlineStr">
        <is>
          <t>Butte</t>
        </is>
      </c>
      <c r="J413" t="inlineStr">
        <is>
          <t>Enloe Rehabilitation Center</t>
        </is>
      </c>
    </row>
    <row r="414">
      <c r="A414">
        <f>--ISNUMBER(IFERROR(SEARCH($C$5,Inputs!$D414,1),""))</f>
        <v/>
      </c>
      <c r="B414">
        <f>IF(A414=1,COUNTIF($A$6:A414,1),"")</f>
        <v/>
      </c>
      <c r="C414">
        <f>IFERROR(INDEX($D$6:$D$1750,MATCH(ROWS($B$6:B414),$B$6:$B$1750,0)),"")</f>
        <v/>
      </c>
      <c r="D414">
        <f>J414&amp;" ("&amp;E414&amp;")"</f>
        <v/>
      </c>
      <c r="E414" t="n">
        <v>16477</v>
      </c>
      <c r="F414" t="inlineStr">
        <is>
          <t>General Acute Care</t>
        </is>
      </c>
      <c r="G414" t="inlineStr">
        <is>
          <t>725 Welch Road</t>
        </is>
      </c>
      <c r="H414" t="inlineStr">
        <is>
          <t>Palo Alto</t>
        </is>
      </c>
      <c r="I414" t="inlineStr">
        <is>
          <t>Santa Clara</t>
        </is>
      </c>
      <c r="J414" t="inlineStr">
        <is>
          <t>Lucile Packard Children's Hospital Stanford</t>
        </is>
      </c>
    </row>
    <row r="415">
      <c r="A415">
        <f>--ISNUMBER(IFERROR(SEARCH($C$5,Inputs!$D415,1),""))</f>
        <v/>
      </c>
      <c r="B415">
        <f>IF(A415=1,COUNTIF($A$6:A415,1),"")</f>
        <v/>
      </c>
      <c r="C415">
        <f>IFERROR(INDEX($D$6:$D$1750,MATCH(ROWS($B$6:B415),$B$6:$B$1750,0)),"")</f>
        <v/>
      </c>
      <c r="D415">
        <f>J415&amp;" ("&amp;E415&amp;")"</f>
        <v/>
      </c>
      <c r="E415" t="n">
        <v>16483</v>
      </c>
      <c r="F415" t="inlineStr">
        <is>
          <t>General Acute Care</t>
        </is>
      </c>
      <c r="G415" t="inlineStr">
        <is>
          <t>1500 San Pablo St</t>
        </is>
      </c>
      <c r="H415" t="inlineStr">
        <is>
          <t>Los Angeles</t>
        </is>
      </c>
      <c r="I415" t="inlineStr">
        <is>
          <t>Los Angeles</t>
        </is>
      </c>
      <c r="J415" t="inlineStr">
        <is>
          <t>Keck Hospital of USC</t>
        </is>
      </c>
    </row>
    <row r="416">
      <c r="A416">
        <f>--ISNUMBER(IFERROR(SEARCH($C$5,Inputs!$D416,1),""))</f>
        <v/>
      </c>
      <c r="B416">
        <f>IF(A416=1,COUNTIF($A$6:A416,1),"")</f>
        <v/>
      </c>
      <c r="C416">
        <f>IFERROR(INDEX($D$6:$D$1750,MATCH(ROWS($B$6:B416),$B$6:$B$1750,0)),"")</f>
        <v/>
      </c>
      <c r="D416">
        <f>J416&amp;" ("&amp;E416&amp;")"</f>
        <v/>
      </c>
      <c r="E416" t="n">
        <v>16536</v>
      </c>
      <c r="F416" t="inlineStr">
        <is>
          <t>General Acute Care</t>
        </is>
      </c>
      <c r="G416" t="inlineStr">
        <is>
          <t>14851 Yorba St</t>
        </is>
      </c>
      <c r="H416" t="inlineStr">
        <is>
          <t>Tustin</t>
        </is>
      </c>
      <c r="I416" t="inlineStr">
        <is>
          <t>Orange</t>
        </is>
      </c>
      <c r="J416" t="inlineStr">
        <is>
          <t>Encompass Health Rehabilitation Hospital Of Tustin</t>
        </is>
      </c>
    </row>
    <row r="417">
      <c r="A417">
        <f>--ISNUMBER(IFERROR(SEARCH($C$5,Inputs!$D417,1),""))</f>
        <v/>
      </c>
      <c r="B417">
        <f>IF(A417=1,COUNTIF($A$6:A417,1),"")</f>
        <v/>
      </c>
      <c r="C417">
        <f>IFERROR(INDEX($D$6:$D$1750,MATCH(ROWS($B$6:B417),$B$6:$B$1750,0)),"")</f>
        <v/>
      </c>
      <c r="D417">
        <f>J417&amp;" ("&amp;E417&amp;")"</f>
        <v/>
      </c>
      <c r="E417" t="n">
        <v>16620</v>
      </c>
      <c r="F417" t="inlineStr">
        <is>
          <t>General Acute Care</t>
        </is>
      </c>
      <c r="G417" t="inlineStr">
        <is>
          <t>2801 Eureka Way</t>
        </is>
      </c>
      <c r="H417" t="inlineStr">
        <is>
          <t>Redding</t>
        </is>
      </c>
      <c r="I417" t="inlineStr">
        <is>
          <t>Shasta</t>
        </is>
      </c>
      <c r="J417" t="inlineStr">
        <is>
          <t>Vibra Hospital Of Northern California</t>
        </is>
      </c>
    </row>
    <row r="418">
      <c r="A418">
        <f>--ISNUMBER(IFERROR(SEARCH($C$5,Inputs!$D418,1),""))</f>
        <v/>
      </c>
      <c r="B418">
        <f>IF(A418=1,COUNTIF($A$6:A418,1),"")</f>
        <v/>
      </c>
      <c r="C418">
        <f>IFERROR(INDEX($D$6:$D$1750,MATCH(ROWS($B$6:B418),$B$6:$B$1750,0)),"")</f>
        <v/>
      </c>
      <c r="D418">
        <f>J418&amp;" ("&amp;E418&amp;")"</f>
        <v/>
      </c>
      <c r="E418" t="n">
        <v>16632</v>
      </c>
      <c r="F418" t="inlineStr">
        <is>
          <t>General Acute Care</t>
        </is>
      </c>
      <c r="G418" t="inlineStr">
        <is>
          <t>5555 W Las Positas Blvd</t>
        </is>
      </c>
      <c r="H418" t="inlineStr">
        <is>
          <t>Pleasanton</t>
        </is>
      </c>
      <c r="I418" t="inlineStr">
        <is>
          <t>Alameda</t>
        </is>
      </c>
      <c r="J418" t="inlineStr">
        <is>
          <t>Stanford Health Care - Valleycare</t>
        </is>
      </c>
    </row>
    <row r="419">
      <c r="A419">
        <f>--ISNUMBER(IFERROR(SEARCH($C$5,Inputs!$D419,1),""))</f>
        <v/>
      </c>
      <c r="B419">
        <f>IF(A419=1,COUNTIF($A$6:A419,1),"")</f>
        <v/>
      </c>
      <c r="C419">
        <f>IFERROR(INDEX($D$6:$D$1750,MATCH(ROWS($B$6:B419),$B$6:$B$1750,0)),"")</f>
        <v/>
      </c>
      <c r="D419">
        <f>J419&amp;" ("&amp;E419&amp;")"</f>
        <v/>
      </c>
      <c r="E419" t="n">
        <v>16679</v>
      </c>
      <c r="F419" t="inlineStr">
        <is>
          <t>General Acute Care</t>
        </is>
      </c>
      <c r="G419" t="inlineStr">
        <is>
          <t>2900 Eureka Way</t>
        </is>
      </c>
      <c r="H419" t="inlineStr">
        <is>
          <t>Redding</t>
        </is>
      </c>
      <c r="I419" t="inlineStr">
        <is>
          <t>Shasta</t>
        </is>
      </c>
      <c r="J419" t="inlineStr">
        <is>
          <t>Patients' Hospital of Redding</t>
        </is>
      </c>
    </row>
    <row r="420">
      <c r="A420">
        <f>--ISNUMBER(IFERROR(SEARCH($C$5,Inputs!$D420,1),""))</f>
        <v/>
      </c>
      <c r="B420">
        <f>IF(A420=1,COUNTIF($A$6:A420,1),"")</f>
        <v/>
      </c>
      <c r="C420">
        <f>IFERROR(INDEX($D$6:$D$1750,MATCH(ROWS($B$6:B420),$B$6:$B$1750,0)),"")</f>
        <v/>
      </c>
      <c r="D420">
        <f>J420&amp;" ("&amp;E420&amp;")"</f>
        <v/>
      </c>
      <c r="E420" t="n">
        <v>16681</v>
      </c>
      <c r="F420" t="inlineStr">
        <is>
          <t>General Acute Care</t>
        </is>
      </c>
      <c r="G420" t="inlineStr">
        <is>
          <t>25500 Medical Center Dr</t>
        </is>
      </c>
      <c r="H420" t="inlineStr">
        <is>
          <t>Murrieta</t>
        </is>
      </c>
      <c r="I420" t="inlineStr">
        <is>
          <t>Riverside</t>
        </is>
      </c>
      <c r="J420" t="inlineStr">
        <is>
          <t>Southwest Healthcare System</t>
        </is>
      </c>
    </row>
    <row r="421">
      <c r="A421">
        <f>--ISNUMBER(IFERROR(SEARCH($C$5,Inputs!$D421,1),""))</f>
        <v/>
      </c>
      <c r="B421">
        <f>IF(A421=1,COUNTIF($A$6:A421,1),"")</f>
        <v/>
      </c>
      <c r="C421">
        <f>IFERROR(INDEX($D$6:$D$1750,MATCH(ROWS($B$6:B421),$B$6:$B$1750,0)),"")</f>
        <v/>
      </c>
      <c r="D421">
        <f>J421&amp;" ("&amp;E421&amp;")"</f>
        <v/>
      </c>
      <c r="E421" t="n">
        <v>16703</v>
      </c>
      <c r="F421" t="inlineStr">
        <is>
          <t>General Acute Care</t>
        </is>
      </c>
      <c r="G421" t="inlineStr">
        <is>
          <t>555 Washington Street</t>
        </is>
      </c>
      <c r="H421" t="inlineStr">
        <is>
          <t>San Diego</t>
        </is>
      </c>
      <c r="I421" t="inlineStr">
        <is>
          <t>San Diego</t>
        </is>
      </c>
      <c r="J421" t="inlineStr">
        <is>
          <t>Select Specialty Hospital - San Diego</t>
        </is>
      </c>
    </row>
    <row r="422">
      <c r="A422">
        <f>--ISNUMBER(IFERROR(SEARCH($C$5,Inputs!$D422,1),""))</f>
        <v/>
      </c>
      <c r="B422">
        <f>IF(A422=1,COUNTIF($A$6:A422,1),"")</f>
        <v/>
      </c>
      <c r="C422">
        <f>IFERROR(INDEX($D$6:$D$1750,MATCH(ROWS($B$6:B422),$B$6:$B$1750,0)),"")</f>
        <v/>
      </c>
      <c r="D422">
        <f>J422&amp;" ("&amp;E422&amp;")"</f>
        <v/>
      </c>
      <c r="E422" t="n">
        <v>16713</v>
      </c>
      <c r="F422" t="inlineStr">
        <is>
          <t>General Acute Care</t>
        </is>
      </c>
      <c r="G422" t="inlineStr">
        <is>
          <t>3777 South Bascom Avenue</t>
        </is>
      </c>
      <c r="H422" t="inlineStr">
        <is>
          <t>Campbell</t>
        </is>
      </c>
      <c r="I422" t="inlineStr">
        <is>
          <t>Santa Clara</t>
        </is>
      </c>
      <c r="J422" t="inlineStr">
        <is>
          <t>Children's Healthcare Organization of Northern California - Pediatric Hospital</t>
        </is>
      </c>
    </row>
    <row r="423">
      <c r="A423">
        <f>--ISNUMBER(IFERROR(SEARCH($C$5,Inputs!$D423,1),""))</f>
        <v/>
      </c>
      <c r="B423">
        <f>IF(A423=1,COUNTIF($A$6:A423,1),"")</f>
        <v/>
      </c>
      <c r="C423">
        <f>IFERROR(INDEX($D$6:$D$1750,MATCH(ROWS($B$6:B423),$B$6:$B$1750,0)),"")</f>
        <v/>
      </c>
      <c r="D423">
        <f>J423&amp;" ("&amp;E423&amp;")"</f>
        <v/>
      </c>
      <c r="E423" t="n">
        <v>16877</v>
      </c>
      <c r="F423" t="inlineStr">
        <is>
          <t>General Acute Care</t>
        </is>
      </c>
      <c r="G423" t="inlineStr">
        <is>
          <t>1760 West 16th Street</t>
        </is>
      </c>
      <c r="H423" t="inlineStr">
        <is>
          <t>San Bernardino</t>
        </is>
      </c>
      <c r="I423" t="inlineStr">
        <is>
          <t>San Bernardino</t>
        </is>
      </c>
      <c r="J423" t="inlineStr">
        <is>
          <t>Ballard Rehabilitation Hospital</t>
        </is>
      </c>
    </row>
    <row r="424">
      <c r="A424">
        <f>--ISNUMBER(IFERROR(SEARCH($C$5,Inputs!$D424,1),""))</f>
        <v/>
      </c>
      <c r="B424">
        <f>IF(A424=1,COUNTIF($A$6:A424,1),"")</f>
        <v/>
      </c>
      <c r="C424">
        <f>IFERROR(INDEX($D$6:$D$1750,MATCH(ROWS($B$6:B424),$B$6:$B$1750,0)),"")</f>
        <v/>
      </c>
      <c r="D424">
        <f>J424&amp;" ("&amp;E424&amp;")"</f>
        <v/>
      </c>
      <c r="E424" t="n">
        <v>16878</v>
      </c>
      <c r="F424" t="inlineStr">
        <is>
          <t>General Acute Care</t>
        </is>
      </c>
      <c r="G424" t="inlineStr">
        <is>
          <t>6125 North Fresno St.</t>
        </is>
      </c>
      <c r="H424" t="inlineStr">
        <is>
          <t>Fresno</t>
        </is>
      </c>
      <c r="I424" t="inlineStr">
        <is>
          <t>Fresno</t>
        </is>
      </c>
      <c r="J424" t="inlineStr">
        <is>
          <t>Fresno Surgical Hospital</t>
        </is>
      </c>
    </row>
    <row r="425">
      <c r="A425">
        <f>--ISNUMBER(IFERROR(SEARCH($C$5,Inputs!$D425,1),""))</f>
        <v/>
      </c>
      <c r="B425">
        <f>IF(A425=1,COUNTIF($A$6:A425,1),"")</f>
        <v/>
      </c>
      <c r="C425">
        <f>IFERROR(INDEX($D$6:$D$1750,MATCH(ROWS($B$6:B425),$B$6:$B$1750,0)),"")</f>
        <v/>
      </c>
      <c r="D425">
        <f>J425&amp;" ("&amp;E425&amp;")"</f>
        <v/>
      </c>
      <c r="E425" t="n">
        <v>16891</v>
      </c>
      <c r="F425" t="inlineStr">
        <is>
          <t>Acute Psychiatric Hospital</t>
        </is>
      </c>
      <c r="G425" t="inlineStr">
        <is>
          <t>2740 Grant Street</t>
        </is>
      </c>
      <c r="H425" t="inlineStr">
        <is>
          <t>Concord</t>
        </is>
      </c>
      <c r="I425" t="inlineStr">
        <is>
          <t>Contra Costa</t>
        </is>
      </c>
      <c r="J425" t="inlineStr">
        <is>
          <t>John Muir Behavioral Health Center</t>
        </is>
      </c>
    </row>
    <row r="426">
      <c r="A426">
        <f>--ISNUMBER(IFERROR(SEARCH($C$5,Inputs!$D426,1),""))</f>
        <v/>
      </c>
      <c r="B426">
        <f>IF(A426=1,COUNTIF($A$6:A426,1),"")</f>
        <v/>
      </c>
      <c r="C426">
        <f>IFERROR(INDEX($D$6:$D$1750,MATCH(ROWS($B$6:B426),$B$6:$B$1750,0)),"")</f>
        <v/>
      </c>
      <c r="D426">
        <f>J426&amp;" ("&amp;E426&amp;")"</f>
        <v/>
      </c>
      <c r="E426" t="n">
        <v>17063</v>
      </c>
      <c r="F426" t="inlineStr">
        <is>
          <t>Acute Psychiatric Hospital</t>
        </is>
      </c>
      <c r="G426" t="inlineStr">
        <is>
          <t>4211 S. Avalon Blvd.</t>
        </is>
      </c>
      <c r="H426" t="inlineStr">
        <is>
          <t>Los Angeles</t>
        </is>
      </c>
      <c r="I426" t="inlineStr">
        <is>
          <t>Los Angeles</t>
        </is>
      </c>
      <c r="J426" t="inlineStr">
        <is>
          <t>Kedren Community Mental Health Center</t>
        </is>
      </c>
    </row>
    <row r="427">
      <c r="A427">
        <f>--ISNUMBER(IFERROR(SEARCH($C$5,Inputs!$D427,1),""))</f>
        <v/>
      </c>
      <c r="B427">
        <f>IF(A427=1,COUNTIF($A$6:A427,1),"")</f>
        <v/>
      </c>
      <c r="C427">
        <f>IFERROR(INDEX($D$6:$D$1750,MATCH(ROWS($B$6:B427),$B$6:$B$1750,0)),"")</f>
        <v/>
      </c>
      <c r="D427">
        <f>J427&amp;" ("&amp;E427&amp;")"</f>
        <v/>
      </c>
      <c r="E427" t="n">
        <v>17124</v>
      </c>
      <c r="F427" t="inlineStr">
        <is>
          <t>General Acute Care</t>
        </is>
      </c>
      <c r="G427" t="inlineStr">
        <is>
          <t>9300 Valley Childrens Pl</t>
        </is>
      </c>
      <c r="H427" t="inlineStr">
        <is>
          <t>Madera</t>
        </is>
      </c>
      <c r="I427" t="inlineStr">
        <is>
          <t>Madera</t>
        </is>
      </c>
      <c r="J427" t="inlineStr">
        <is>
          <t>Valley Children's Hospital</t>
        </is>
      </c>
    </row>
    <row r="428">
      <c r="A428">
        <f>--ISNUMBER(IFERROR(SEARCH($C$5,Inputs!$D428,1),""))</f>
        <v/>
      </c>
      <c r="B428">
        <f>IF(A428=1,COUNTIF($A$6:A428,1),"")</f>
        <v/>
      </c>
      <c r="C428">
        <f>IFERROR(INDEX($D$6:$D$1750,MATCH(ROWS($B$6:B428),$B$6:$B$1750,0)),"")</f>
        <v/>
      </c>
      <c r="D428">
        <f>J428&amp;" ("&amp;E428&amp;")"</f>
        <v/>
      </c>
      <c r="E428" t="n">
        <v>17207</v>
      </c>
      <c r="F428" t="inlineStr">
        <is>
          <t>General Acute Care</t>
        </is>
      </c>
      <c r="G428" t="inlineStr">
        <is>
          <t>1011 Baldwin Park Blvd.</t>
        </is>
      </c>
      <c r="H428" t="inlineStr">
        <is>
          <t>Baldwin Park</t>
        </is>
      </c>
      <c r="I428" t="inlineStr">
        <is>
          <t>Los Angeles</t>
        </is>
      </c>
      <c r="J428" t="inlineStr">
        <is>
          <t>Kaiser Foundation Hospital - Baldwin Park</t>
        </is>
      </c>
    </row>
    <row r="429">
      <c r="A429">
        <f>--ISNUMBER(IFERROR(SEARCH($C$5,Inputs!$D429,1),""))</f>
        <v/>
      </c>
      <c r="B429">
        <f>IF(A429=1,COUNTIF($A$6:A429,1),"")</f>
        <v/>
      </c>
      <c r="C429">
        <f>IFERROR(INDEX($D$6:$D$1750,MATCH(ROWS($B$6:B429),$B$6:$B$1750,0)),"")</f>
        <v/>
      </c>
      <c r="D429">
        <f>J429&amp;" ("&amp;E429&amp;")"</f>
        <v/>
      </c>
      <c r="E429" t="n">
        <v>17282</v>
      </c>
      <c r="F429" t="inlineStr">
        <is>
          <t>General Acute Care</t>
        </is>
      </c>
      <c r="G429" t="inlineStr">
        <is>
          <t>400 N. Pepper Ave.</t>
        </is>
      </c>
      <c r="H429" t="inlineStr">
        <is>
          <t>Colton</t>
        </is>
      </c>
      <c r="I429" t="inlineStr">
        <is>
          <t>San Bernardino</t>
        </is>
      </c>
      <c r="J429" t="inlineStr">
        <is>
          <t>Arrowhead Regional Medical Center</t>
        </is>
      </c>
    </row>
    <row r="430">
      <c r="A430">
        <f>--ISNUMBER(IFERROR(SEARCH($C$5,Inputs!$D430,1),""))</f>
        <v/>
      </c>
      <c r="B430">
        <f>IF(A430=1,COUNTIF($A$6:A430,1),"")</f>
        <v/>
      </c>
      <c r="C430">
        <f>IFERROR(INDEX($D$6:$D$1750,MATCH(ROWS($B$6:B430),$B$6:$B$1750,0)),"")</f>
        <v/>
      </c>
      <c r="D430">
        <f>J430&amp;" ("&amp;E430&amp;")"</f>
        <v/>
      </c>
      <c r="E430" t="n">
        <v>17353</v>
      </c>
      <c r="F430" t="inlineStr">
        <is>
          <t>General Acute Care</t>
        </is>
      </c>
      <c r="G430" t="inlineStr">
        <is>
          <t>1441 Constitution Blvd</t>
        </is>
      </c>
      <c r="H430" t="inlineStr">
        <is>
          <t>Salinas</t>
        </is>
      </c>
      <c r="I430" t="inlineStr">
        <is>
          <t>Monterey</t>
        </is>
      </c>
      <c r="J430" t="inlineStr">
        <is>
          <t>Natividad Medical Center</t>
        </is>
      </c>
    </row>
    <row r="431">
      <c r="A431">
        <f>--ISNUMBER(IFERROR(SEARCH($C$5,Inputs!$D431,1),""))</f>
        <v/>
      </c>
      <c r="B431">
        <f>IF(A431=1,COUNTIF($A$6:A431,1),"")</f>
        <v/>
      </c>
      <c r="C431">
        <f>IFERROR(INDEX($D$6:$D$1750,MATCH(ROWS($B$6:B431),$B$6:$B$1750,0)),"")</f>
        <v/>
      </c>
      <c r="D431">
        <f>J431&amp;" ("&amp;E431&amp;")"</f>
        <v/>
      </c>
      <c r="E431" t="n">
        <v>17358</v>
      </c>
      <c r="F431" t="inlineStr">
        <is>
          <t>General Acute Care</t>
        </is>
      </c>
      <c r="G431" t="inlineStr">
        <is>
          <t>3001 Sillect Ave</t>
        </is>
      </c>
      <c r="H431" t="inlineStr">
        <is>
          <t>Bakersfield</t>
        </is>
      </c>
      <c r="I431" t="inlineStr">
        <is>
          <t>Kern</t>
        </is>
      </c>
      <c r="J431" t="inlineStr">
        <is>
          <t>Bakersfield Heart Hospital</t>
        </is>
      </c>
    </row>
    <row r="432">
      <c r="A432">
        <f>--ISNUMBER(IFERROR(SEARCH($C$5,Inputs!$D432,1),""))</f>
        <v/>
      </c>
      <c r="B432">
        <f>IF(A432=1,COUNTIF($A$6:A432,1),"")</f>
        <v/>
      </c>
      <c r="C432">
        <f>IFERROR(INDEX($D$6:$D$1750,MATCH(ROWS($B$6:B432),$B$6:$B$1750,0)),"")</f>
        <v/>
      </c>
      <c r="D432">
        <f>J432&amp;" ("&amp;E432&amp;")"</f>
        <v/>
      </c>
      <c r="E432" t="n">
        <v>17438</v>
      </c>
      <c r="F432" t="inlineStr">
        <is>
          <t>General Acute Care</t>
        </is>
      </c>
      <c r="G432" t="inlineStr">
        <is>
          <t>393 S Tustin St</t>
        </is>
      </c>
      <c r="H432" t="inlineStr">
        <is>
          <t>Orange</t>
        </is>
      </c>
      <c r="I432" t="inlineStr">
        <is>
          <t>Orange</t>
        </is>
      </c>
      <c r="J432" t="inlineStr">
        <is>
          <t>Healthbridge Children's Hospital-Orange</t>
        </is>
      </c>
    </row>
    <row r="433">
      <c r="A433">
        <f>--ISNUMBER(IFERROR(SEARCH($C$5,Inputs!$D433,1),""))</f>
        <v/>
      </c>
      <c r="B433">
        <f>IF(A433=1,COUNTIF($A$6:A433,1),"")</f>
        <v/>
      </c>
      <c r="C433">
        <f>IFERROR(INDEX($D$6:$D$1750,MATCH(ROWS($B$6:B433),$B$6:$B$1750,0)),"")</f>
        <v/>
      </c>
      <c r="D433">
        <f>J433&amp;" ("&amp;E433&amp;")"</f>
        <v/>
      </c>
      <c r="E433" t="n">
        <v>17461</v>
      </c>
      <c r="F433" t="inlineStr">
        <is>
          <t>General Acute Care</t>
        </is>
      </c>
      <c r="G433" t="inlineStr">
        <is>
          <t>1421 Oakdale Rd</t>
        </is>
      </c>
      <c r="H433" t="inlineStr">
        <is>
          <t>Modesto</t>
        </is>
      </c>
      <c r="I433" t="inlineStr">
        <is>
          <t>Stanislaus</t>
        </is>
      </c>
      <c r="J433" t="inlineStr">
        <is>
          <t>Stanislaus Surgical Hospital</t>
        </is>
      </c>
    </row>
    <row r="434">
      <c r="A434">
        <f>--ISNUMBER(IFERROR(SEARCH($C$5,Inputs!$D434,1),""))</f>
        <v/>
      </c>
      <c r="B434">
        <f>IF(A434=1,COUNTIF($A$6:A434,1),"")</f>
        <v/>
      </c>
      <c r="C434">
        <f>IFERROR(INDEX($D$6:$D$1750,MATCH(ROWS($B$6:B434),$B$6:$B$1750,0)),"")</f>
        <v/>
      </c>
      <c r="D434">
        <f>J434&amp;" ("&amp;E434&amp;")"</f>
        <v/>
      </c>
      <c r="E434" t="n">
        <v>17487</v>
      </c>
      <c r="F434" t="inlineStr">
        <is>
          <t>General Acute Care</t>
        </is>
      </c>
      <c r="G434" t="inlineStr">
        <is>
          <t>9400 No Name Uno</t>
        </is>
      </c>
      <c r="H434" t="inlineStr">
        <is>
          <t>Gilroy</t>
        </is>
      </c>
      <c r="I434" t="inlineStr">
        <is>
          <t>Santa Clara</t>
        </is>
      </c>
      <c r="J434" t="inlineStr">
        <is>
          <t>St. Louise Regional Hospital</t>
        </is>
      </c>
    </row>
    <row r="435">
      <c r="A435">
        <f>--ISNUMBER(IFERROR(SEARCH($C$5,Inputs!$D435,1),""))</f>
        <v/>
      </c>
      <c r="B435">
        <f>IF(A435=1,COUNTIF($A$6:A435,1),"")</f>
        <v/>
      </c>
      <c r="C435">
        <f>IFERROR(INDEX($D$6:$D$1750,MATCH(ROWS($B$6:B435),$B$6:$B$1750,0)),"")</f>
        <v/>
      </c>
      <c r="D435">
        <f>J435&amp;" ("&amp;E435&amp;")"</f>
        <v/>
      </c>
      <c r="E435" t="n">
        <v>17490</v>
      </c>
      <c r="F435" t="inlineStr">
        <is>
          <t>General Acute Care</t>
        </is>
      </c>
      <c r="G435" t="inlineStr">
        <is>
          <t>200 Mission Blvd</t>
        </is>
      </c>
      <c r="H435" t="inlineStr">
        <is>
          <t>Jackson</t>
        </is>
      </c>
      <c r="I435" t="inlineStr">
        <is>
          <t>Amador</t>
        </is>
      </c>
      <c r="J435" t="inlineStr">
        <is>
          <t>Sutter Amador Hospital</t>
        </is>
      </c>
    </row>
    <row r="436">
      <c r="A436">
        <f>--ISNUMBER(IFERROR(SEARCH($C$5,Inputs!$D436,1),""))</f>
        <v/>
      </c>
      <c r="B436">
        <f>IF(A436=1,COUNTIF($A$6:A436,1),"")</f>
        <v/>
      </c>
      <c r="C436">
        <f>IFERROR(INDEX($D$6:$D$1750,MATCH(ROWS($B$6:B436),$B$6:$B$1750,0)),"")</f>
        <v/>
      </c>
      <c r="D436">
        <f>J436&amp;" ("&amp;E436&amp;")"</f>
        <v/>
      </c>
      <c r="E436" t="n">
        <v>17572</v>
      </c>
      <c r="F436" t="inlineStr">
        <is>
          <t>General Acute Care</t>
        </is>
      </c>
      <c r="G436" t="inlineStr">
        <is>
          <t>2801 Atlantic Avenue</t>
        </is>
      </c>
      <c r="H436" t="inlineStr">
        <is>
          <t>Long Beach</t>
        </is>
      </c>
      <c r="I436" t="inlineStr">
        <is>
          <t>Los Angeles</t>
        </is>
      </c>
      <c r="J436" t="inlineStr">
        <is>
          <t>Memorialcare Miller Children's &amp; Women's Hospital Long Beach</t>
        </is>
      </c>
    </row>
    <row r="437">
      <c r="A437">
        <f>--ISNUMBER(IFERROR(SEARCH($C$5,Inputs!$D437,1),""))</f>
        <v/>
      </c>
      <c r="B437">
        <f>IF(A437=1,COUNTIF($A$6:A437,1),"")</f>
        <v/>
      </c>
      <c r="C437">
        <f>IFERROR(INDEX($D$6:$D$1750,MATCH(ROWS($B$6:B437),$B$6:$B$1750,0)),"")</f>
        <v/>
      </c>
      <c r="D437">
        <f>J437&amp;" ("&amp;E437&amp;")"</f>
        <v/>
      </c>
      <c r="E437" t="n">
        <v>17632</v>
      </c>
      <c r="F437" t="inlineStr">
        <is>
          <t>General Acute Care</t>
        </is>
      </c>
      <c r="G437" t="inlineStr">
        <is>
          <t>400 Old River Road</t>
        </is>
      </c>
      <c r="H437" t="inlineStr">
        <is>
          <t>Bakersfield</t>
        </is>
      </c>
      <c r="I437" t="inlineStr">
        <is>
          <t>Kern</t>
        </is>
      </c>
      <c r="J437" t="inlineStr">
        <is>
          <t>Mercy Southwest Hospital</t>
        </is>
      </c>
    </row>
    <row r="438">
      <c r="A438">
        <f>--ISNUMBER(IFERROR(SEARCH($C$5,Inputs!$D438,1),""))</f>
        <v/>
      </c>
      <c r="B438">
        <f>IF(A438=1,COUNTIF($A$6:A438,1),"")</f>
        <v/>
      </c>
      <c r="C438">
        <f>IFERROR(INDEX($D$6:$D$1750,MATCH(ROWS($B$6:B438),$B$6:$B$1750,0)),"")</f>
        <v/>
      </c>
      <c r="D438">
        <f>J438&amp;" ("&amp;E438&amp;")"</f>
        <v/>
      </c>
      <c r="E438" t="n">
        <v>17662</v>
      </c>
      <c r="F438" t="inlineStr">
        <is>
          <t>General Acute Care</t>
        </is>
      </c>
      <c r="G438" t="inlineStr">
        <is>
          <t>2415 De La Vina St.</t>
        </is>
      </c>
      <c r="H438" t="inlineStr">
        <is>
          <t>Santa Barbara</t>
        </is>
      </c>
      <c r="I438" t="inlineStr">
        <is>
          <t>Santa Barbara</t>
        </is>
      </c>
      <c r="J438" t="inlineStr">
        <is>
          <t>Cottage Rehabilitation Hospital</t>
        </is>
      </c>
    </row>
    <row r="439">
      <c r="A439">
        <f>--ISNUMBER(IFERROR(SEARCH($C$5,Inputs!$D439,1),""))</f>
        <v/>
      </c>
      <c r="B439">
        <f>IF(A439=1,COUNTIF($A$6:A439,1),"")</f>
        <v/>
      </c>
      <c r="C439">
        <f>IFERROR(INDEX($D$6:$D$1750,MATCH(ROWS($B$6:B439),$B$6:$B$1750,0)),"")</f>
        <v/>
      </c>
      <c r="D439">
        <f>J439&amp;" ("&amp;E439&amp;")"</f>
        <v/>
      </c>
      <c r="E439" t="n">
        <v>17668</v>
      </c>
      <c r="F439" t="inlineStr">
        <is>
          <t>General Acute Care</t>
        </is>
      </c>
      <c r="G439" t="inlineStr">
        <is>
          <t>700 Lawrence Expy</t>
        </is>
      </c>
      <c r="H439" t="inlineStr">
        <is>
          <t>Santa Clara</t>
        </is>
      </c>
      <c r="I439" t="inlineStr">
        <is>
          <t>Santa Clara</t>
        </is>
      </c>
      <c r="J439" t="inlineStr">
        <is>
          <t>Kaiser Foundation Hospital-Santa Clara</t>
        </is>
      </c>
    </row>
    <row r="440">
      <c r="A440">
        <f>--ISNUMBER(IFERROR(SEARCH($C$5,Inputs!$D440,1),""))</f>
        <v/>
      </c>
      <c r="B440">
        <f>IF(A440=1,COUNTIF($A$6:A440,1),"")</f>
        <v/>
      </c>
      <c r="C440">
        <f>IFERROR(INDEX($D$6:$D$1750,MATCH(ROWS($B$6:B440),$B$6:$B$1750,0)),"")</f>
        <v/>
      </c>
      <c r="D440">
        <f>J440&amp;" ("&amp;E440&amp;")"</f>
        <v/>
      </c>
      <c r="E440" t="n">
        <v>17669</v>
      </c>
      <c r="F440" t="inlineStr">
        <is>
          <t>General Acute Care</t>
        </is>
      </c>
      <c r="G440" t="inlineStr">
        <is>
          <t>401 Rolling Oaks Dr</t>
        </is>
      </c>
      <c r="H440" t="inlineStr">
        <is>
          <t>Thousand Oaks</t>
        </is>
      </c>
      <c r="I440" t="inlineStr">
        <is>
          <t>Ventura</t>
        </is>
      </c>
      <c r="J440" t="inlineStr">
        <is>
          <t>Thousand Oaks Surgical Hosp., A Campus Of Los Robles Hosp. &amp; Medical Ctr.</t>
        </is>
      </c>
    </row>
    <row r="441">
      <c r="A441">
        <f>--ISNUMBER(IFERROR(SEARCH($C$5,Inputs!$D441,1),""))</f>
        <v/>
      </c>
      <c r="B441">
        <f>IF(A441=1,COUNTIF($A$6:A441,1),"")</f>
        <v/>
      </c>
      <c r="C441">
        <f>IFERROR(INDEX($D$6:$D$1750,MATCH(ROWS($B$6:B441),$B$6:$B$1750,0)),"")</f>
        <v/>
      </c>
      <c r="D441">
        <f>J441&amp;" ("&amp;E441&amp;")"</f>
        <v/>
      </c>
      <c r="E441" t="n">
        <v>17672</v>
      </c>
      <c r="F441" t="inlineStr">
        <is>
          <t>General Acute Care</t>
        </is>
      </c>
      <c r="G441" t="inlineStr">
        <is>
          <t>180 Rowland Way</t>
        </is>
      </c>
      <c r="H441" t="inlineStr">
        <is>
          <t>Novato</t>
        </is>
      </c>
      <c r="I441" t="inlineStr">
        <is>
          <t>Marin</t>
        </is>
      </c>
      <c r="J441" t="inlineStr">
        <is>
          <t>Novato Community Hospital</t>
        </is>
      </c>
    </row>
    <row r="442">
      <c r="A442">
        <f>--ISNUMBER(IFERROR(SEARCH($C$5,Inputs!$D442,1),""))</f>
        <v/>
      </c>
      <c r="B442">
        <f>IF(A442=1,COUNTIF($A$6:A442,1),"")</f>
        <v/>
      </c>
      <c r="C442">
        <f>IFERROR(INDEX($D$6:$D$1750,MATCH(ROWS($B$6:B442),$B$6:$B$1750,0)),"")</f>
        <v/>
      </c>
      <c r="D442">
        <f>J442&amp;" ("&amp;E442&amp;")"</f>
        <v/>
      </c>
      <c r="E442" t="n">
        <v>17700</v>
      </c>
      <c r="F442" t="inlineStr">
        <is>
          <t>General Acute Care</t>
        </is>
      </c>
      <c r="G442" t="inlineStr">
        <is>
          <t>1 Medical Plaza Dr</t>
        </is>
      </c>
      <c r="H442" t="inlineStr">
        <is>
          <t>Roseville</t>
        </is>
      </c>
      <c r="I442" t="inlineStr">
        <is>
          <t>Placer</t>
        </is>
      </c>
      <c r="J442" t="inlineStr">
        <is>
          <t>Sutter Roseville Medical Center</t>
        </is>
      </c>
    </row>
    <row r="443">
      <c r="A443">
        <f>--ISNUMBER(IFERROR(SEARCH($C$5,Inputs!$D443,1),""))</f>
        <v/>
      </c>
      <c r="B443">
        <f>IF(A443=1,COUNTIF($A$6:A443,1),"")</f>
        <v/>
      </c>
      <c r="C443">
        <f>IFERROR(INDEX($D$6:$D$1750,MATCH(ROWS($B$6:B443),$B$6:$B$1750,0)),"")</f>
        <v/>
      </c>
      <c r="D443">
        <f>J443&amp;" ("&amp;E443&amp;")"</f>
        <v/>
      </c>
      <c r="E443" t="n">
        <v>17724</v>
      </c>
      <c r="F443" t="inlineStr">
        <is>
          <t>General Acute Care</t>
        </is>
      </c>
      <c r="G443" t="inlineStr">
        <is>
          <t>455 Plumas Boulevard</t>
        </is>
      </c>
      <c r="H443" t="inlineStr">
        <is>
          <t>Yuba City</t>
        </is>
      </c>
      <c r="I443" t="inlineStr">
        <is>
          <t>Sutter</t>
        </is>
      </c>
      <c r="J443" t="inlineStr">
        <is>
          <t>Sutter Surgical Hospital - North Valley</t>
        </is>
      </c>
    </row>
    <row r="444">
      <c r="A444">
        <f>--ISNUMBER(IFERROR(SEARCH($C$5,Inputs!$D444,1),""))</f>
        <v/>
      </c>
      <c r="B444">
        <f>IF(A444=1,COUNTIF($A$6:A444,1),"")</f>
        <v/>
      </c>
      <c r="C444">
        <f>IFERROR(INDEX($D$6:$D$1750,MATCH(ROWS($B$6:B444),$B$6:$B$1750,0)),"")</f>
        <v/>
      </c>
      <c r="D444">
        <f>J444&amp;" ("&amp;E444&amp;")"</f>
        <v/>
      </c>
      <c r="E444" t="n">
        <v>17725</v>
      </c>
      <c r="F444" t="inlineStr">
        <is>
          <t>General Acute Care</t>
        </is>
      </c>
      <c r="G444" t="inlineStr">
        <is>
          <t>2000 Sutter Pl</t>
        </is>
      </c>
      <c r="H444" t="inlineStr">
        <is>
          <t>Davis</t>
        </is>
      </c>
      <c r="I444" t="inlineStr">
        <is>
          <t>Yolo</t>
        </is>
      </c>
      <c r="J444" t="inlineStr">
        <is>
          <t>Sutter Davis Hospital</t>
        </is>
      </c>
    </row>
    <row r="445">
      <c r="A445">
        <f>--ISNUMBER(IFERROR(SEARCH($C$5,Inputs!$D445,1),""))</f>
        <v/>
      </c>
      <c r="B445">
        <f>IF(A445=1,COUNTIF($A$6:A445,1),"")</f>
        <v/>
      </c>
      <c r="C445">
        <f>IFERROR(INDEX($D$6:$D$1750,MATCH(ROWS($B$6:B445),$B$6:$B$1750,0)),"")</f>
        <v/>
      </c>
      <c r="D445">
        <f>J445&amp;" ("&amp;E445&amp;")"</f>
        <v/>
      </c>
      <c r="E445" t="n">
        <v>17749</v>
      </c>
      <c r="F445" t="inlineStr">
        <is>
          <t>General Acute Care</t>
        </is>
      </c>
      <c r="G445" t="inlineStr">
        <is>
          <t>901 Nevin Avenue</t>
        </is>
      </c>
      <c r="H445" t="inlineStr">
        <is>
          <t>Richmond</t>
        </is>
      </c>
      <c r="I445" t="inlineStr">
        <is>
          <t>Contra Costa</t>
        </is>
      </c>
      <c r="J445" t="inlineStr">
        <is>
          <t>Kaiser Foundation Hospital - Richmond Campus</t>
        </is>
      </c>
    </row>
    <row r="446">
      <c r="A446">
        <f>--ISNUMBER(IFERROR(SEARCH($C$5,Inputs!$D446,1),""))</f>
        <v/>
      </c>
      <c r="B446">
        <f>IF(A446=1,COUNTIF($A$6:A446,1),"")</f>
        <v/>
      </c>
      <c r="C446">
        <f>IFERROR(INDEX($D$6:$D$1750,MATCH(ROWS($B$6:B446),$B$6:$B$1750,0)),"")</f>
        <v/>
      </c>
      <c r="D446">
        <f>J446&amp;" ("&amp;E446&amp;")"</f>
        <v/>
      </c>
      <c r="E446" t="n">
        <v>17905</v>
      </c>
      <c r="F446" t="inlineStr">
        <is>
          <t>General Acute Care</t>
        </is>
      </c>
      <c r="G446" t="inlineStr">
        <is>
          <t>2295 S. Vineyard Avenue</t>
        </is>
      </c>
      <c r="H446" t="inlineStr">
        <is>
          <t>Ontario</t>
        </is>
      </c>
      <c r="I446" t="inlineStr">
        <is>
          <t>San Bernardino</t>
        </is>
      </c>
      <c r="J446" t="inlineStr">
        <is>
          <t>Kaiser Foundation Hospital - Ontario</t>
        </is>
      </c>
    </row>
    <row r="447">
      <c r="A447">
        <f>--ISNUMBER(IFERROR(SEARCH($C$5,Inputs!$D447,1),""))</f>
        <v/>
      </c>
      <c r="B447">
        <f>IF(A447=1,COUNTIF($A$6:A447,1),"")</f>
        <v/>
      </c>
      <c r="C447">
        <f>IFERROR(INDEX($D$6:$D$1750,MATCH(ROWS($B$6:B447),$B$6:$B$1750,0)),"")</f>
        <v/>
      </c>
      <c r="D447">
        <f>J447&amp;" ("&amp;E447&amp;")"</f>
        <v/>
      </c>
      <c r="E447" t="n">
        <v>17919</v>
      </c>
      <c r="F447" t="inlineStr">
        <is>
          <t>General Acute Care</t>
        </is>
      </c>
      <c r="G447" t="inlineStr">
        <is>
          <t>9333 Imperial Highway</t>
        </is>
      </c>
      <c r="H447" t="inlineStr">
        <is>
          <t>Downey</t>
        </is>
      </c>
      <c r="I447" t="inlineStr">
        <is>
          <t>Los Angeles</t>
        </is>
      </c>
      <c r="J447" t="inlineStr">
        <is>
          <t>Kaiser Foundation Hospital - Downey</t>
        </is>
      </c>
    </row>
    <row r="448">
      <c r="A448">
        <f>--ISNUMBER(IFERROR(SEARCH($C$5,Inputs!$D448,1),""))</f>
        <v/>
      </c>
      <c r="B448">
        <f>IF(A448=1,COUNTIF($A$6:A448,1),"")</f>
        <v/>
      </c>
      <c r="C448">
        <f>IFERROR(INDEX($D$6:$D$1750,MATCH(ROWS($B$6:B448),$B$6:$B$1750,0)),"")</f>
        <v/>
      </c>
      <c r="D448">
        <f>J448&amp;" ("&amp;E448&amp;")"</f>
        <v/>
      </c>
      <c r="E448" t="n">
        <v>17922</v>
      </c>
      <c r="F448" t="inlineStr">
        <is>
          <t>Acute Psychiatric Hospital</t>
        </is>
      </c>
      <c r="G448" t="inlineStr">
        <is>
          <t>9990 County Farm Rd</t>
        </is>
      </c>
      <c r="H448" t="inlineStr">
        <is>
          <t>Riverside</t>
        </is>
      </c>
      <c r="I448" t="inlineStr">
        <is>
          <t>Riverside</t>
        </is>
      </c>
      <c r="J448" t="inlineStr">
        <is>
          <t>Riverside University Health System - Medical Center D/P APH</t>
        </is>
      </c>
    </row>
    <row r="449">
      <c r="A449">
        <f>--ISNUMBER(IFERROR(SEARCH($C$5,Inputs!$D449,1),""))</f>
        <v/>
      </c>
      <c r="B449">
        <f>IF(A449=1,COUNTIF($A$6:A449,1),"")</f>
        <v/>
      </c>
      <c r="C449">
        <f>IFERROR(INDEX($D$6:$D$1750,MATCH(ROWS($B$6:B449),$B$6:$B$1750,0)),"")</f>
        <v/>
      </c>
      <c r="D449">
        <f>J449&amp;" ("&amp;E449&amp;")"</f>
        <v/>
      </c>
      <c r="E449" t="n">
        <v>17938</v>
      </c>
      <c r="F449" t="inlineStr">
        <is>
          <t>General Acute Care</t>
        </is>
      </c>
      <c r="G449" t="inlineStr">
        <is>
          <t>15 E Audubon Dr</t>
        </is>
      </c>
      <c r="H449" t="inlineStr">
        <is>
          <t>Fresno</t>
        </is>
      </c>
      <c r="I449" t="inlineStr">
        <is>
          <t>Fresno</t>
        </is>
      </c>
      <c r="J449" t="inlineStr">
        <is>
          <t>Fresno Heart And Surgical Hospital</t>
        </is>
      </c>
    </row>
    <row r="450">
      <c r="A450">
        <f>--ISNUMBER(IFERROR(SEARCH($C$5,Inputs!$D450,1),""))</f>
        <v/>
      </c>
      <c r="B450">
        <f>IF(A450=1,COUNTIF($A$6:A450,1),"")</f>
        <v/>
      </c>
      <c r="C450">
        <f>IFERROR(INDEX($D$6:$D$1750,MATCH(ROWS($B$6:B450),$B$6:$B$1750,0)),"")</f>
        <v/>
      </c>
      <c r="D450">
        <f>J450&amp;" ("&amp;E450&amp;")"</f>
        <v/>
      </c>
      <c r="E450" t="n">
        <v>17940</v>
      </c>
      <c r="F450" t="inlineStr">
        <is>
          <t>General Acute Care</t>
        </is>
      </c>
      <c r="G450" t="inlineStr">
        <is>
          <t>1800 Spring Ridge Dr.</t>
        </is>
      </c>
      <c r="H450" t="inlineStr">
        <is>
          <t>Susanville</t>
        </is>
      </c>
      <c r="I450" t="inlineStr">
        <is>
          <t>Lassen</t>
        </is>
      </c>
      <c r="J450" t="inlineStr">
        <is>
          <t>Banner Lassen Medical Center</t>
        </is>
      </c>
    </row>
    <row r="451">
      <c r="A451">
        <f>--ISNUMBER(IFERROR(SEARCH($C$5,Inputs!$D451,1),""))</f>
        <v/>
      </c>
      <c r="B451">
        <f>IF(A451=1,COUNTIF($A$6:A451,1),"")</f>
        <v/>
      </c>
      <c r="C451">
        <f>IFERROR(INDEX($D$6:$D$1750,MATCH(ROWS($B$6:B451),$B$6:$B$1750,0)),"")</f>
        <v/>
      </c>
      <c r="D451">
        <f>J451&amp;" ("&amp;E451&amp;")"</f>
        <v/>
      </c>
      <c r="E451" t="n">
        <v>18007</v>
      </c>
      <c r="F451" t="inlineStr">
        <is>
          <t>General Acute Care</t>
        </is>
      </c>
      <c r="G451" t="inlineStr">
        <is>
          <t>1001 N Tustin Ave</t>
        </is>
      </c>
      <c r="H451" t="inlineStr">
        <is>
          <t>Santa Ana</t>
        </is>
      </c>
      <c r="I451" t="inlineStr">
        <is>
          <t>Orange</t>
        </is>
      </c>
      <c r="J451" t="inlineStr">
        <is>
          <t>Orange County Global Medical Center</t>
        </is>
      </c>
    </row>
    <row r="452">
      <c r="A452">
        <f>--ISNUMBER(IFERROR(SEARCH($C$5,Inputs!$D452,1),""))</f>
        <v/>
      </c>
      <c r="B452">
        <f>IF(A452=1,COUNTIF($A$6:A452,1),"")</f>
        <v/>
      </c>
      <c r="C452">
        <f>IFERROR(INDEX($D$6:$D$1750,MATCH(ROWS($B$6:B452),$B$6:$B$1750,0)),"")</f>
        <v/>
      </c>
      <c r="D452">
        <f>J452&amp;" ("&amp;E452&amp;")"</f>
        <v/>
      </c>
      <c r="E452" t="n">
        <v>18126</v>
      </c>
      <c r="F452" t="inlineStr">
        <is>
          <t>Acute Psychiatric Hospital</t>
        </is>
      </c>
      <c r="G452" t="inlineStr">
        <is>
          <t>7150 Tampa Avenue</t>
        </is>
      </c>
      <c r="H452" t="inlineStr">
        <is>
          <t>Reseda</t>
        </is>
      </c>
      <c r="I452" t="inlineStr">
        <is>
          <t>Los Angeles</t>
        </is>
      </c>
      <c r="J452" t="inlineStr">
        <is>
          <t>Joyce Eisenberg Keefer Medical Center</t>
        </is>
      </c>
    </row>
    <row r="453">
      <c r="A453">
        <f>--ISNUMBER(IFERROR(SEARCH($C$5,Inputs!$D453,1),""))</f>
        <v/>
      </c>
      <c r="B453">
        <f>IF(A453=1,COUNTIF($A$6:A453,1),"")</f>
        <v/>
      </c>
      <c r="C453">
        <f>IFERROR(INDEX($D$6:$D$1750,MATCH(ROWS($B$6:B453),$B$6:$B$1750,0)),"")</f>
        <v/>
      </c>
      <c r="D453">
        <f>J453&amp;" ("&amp;E453&amp;")"</f>
        <v/>
      </c>
      <c r="E453" t="n">
        <v>18141</v>
      </c>
      <c r="F453" t="inlineStr">
        <is>
          <t>General Acute Care</t>
        </is>
      </c>
      <c r="G453" t="inlineStr">
        <is>
          <t>38600 Medical Center Drive</t>
        </is>
      </c>
      <c r="H453" t="inlineStr">
        <is>
          <t>Palmdale</t>
        </is>
      </c>
      <c r="I453" t="inlineStr">
        <is>
          <t>Los Angeles</t>
        </is>
      </c>
      <c r="J453" t="inlineStr">
        <is>
          <t>Palmdale Regional Medical Center</t>
        </is>
      </c>
    </row>
    <row r="454">
      <c r="A454">
        <f>--ISNUMBER(IFERROR(SEARCH($C$5,Inputs!$D454,1),""))</f>
        <v/>
      </c>
      <c r="B454">
        <f>IF(A454=1,COUNTIF($A$6:A454,1),"")</f>
        <v/>
      </c>
      <c r="C454">
        <f>IFERROR(INDEX($D$6:$D$1750,MATCH(ROWS($B$6:B454),$B$6:$B$1750,0)),"")</f>
        <v/>
      </c>
      <c r="D454">
        <f>J454&amp;" ("&amp;E454&amp;")"</f>
        <v/>
      </c>
      <c r="E454" t="n">
        <v>18151</v>
      </c>
      <c r="F454" t="inlineStr">
        <is>
          <t>General Acute Care</t>
        </is>
      </c>
      <c r="G454" t="inlineStr">
        <is>
          <t>4601 Dale Rd.</t>
        </is>
      </c>
      <c r="H454" t="inlineStr">
        <is>
          <t>Modesto</t>
        </is>
      </c>
      <c r="I454" t="inlineStr">
        <is>
          <t>Stanislaus</t>
        </is>
      </c>
      <c r="J454" t="inlineStr">
        <is>
          <t>Kaiser Foundation Hospital Modesto</t>
        </is>
      </c>
    </row>
    <row r="455">
      <c r="A455">
        <f>--ISNUMBER(IFERROR(SEARCH($C$5,Inputs!$D455,1),""))</f>
        <v/>
      </c>
      <c r="B455">
        <f>IF(A455=1,COUNTIF($A$6:A455,1),"")</f>
        <v/>
      </c>
      <c r="C455">
        <f>IFERROR(INDEX($D$6:$D$1750,MATCH(ROWS($B$6:B455),$B$6:$B$1750,0)),"")</f>
        <v/>
      </c>
      <c r="D455">
        <f>J455&amp;" ("&amp;E455&amp;")"</f>
        <v/>
      </c>
      <c r="E455" t="n">
        <v>18152</v>
      </c>
      <c r="F455" t="inlineStr">
        <is>
          <t>General Acute Care</t>
        </is>
      </c>
      <c r="G455" t="inlineStr">
        <is>
          <t>6670 Alton Parkway</t>
        </is>
      </c>
      <c r="H455" t="inlineStr">
        <is>
          <t>Irvine</t>
        </is>
      </c>
      <c r="I455" t="inlineStr">
        <is>
          <t>Orange</t>
        </is>
      </c>
      <c r="J455" t="inlineStr">
        <is>
          <t>Kaiser Foundation Hospital - Orange County - Irvine</t>
        </is>
      </c>
    </row>
    <row r="456">
      <c r="A456">
        <f>--ISNUMBER(IFERROR(SEARCH($C$5,Inputs!$D456,1),""))</f>
        <v/>
      </c>
      <c r="B456">
        <f>IF(A456=1,COUNTIF($A$6:A456,1),"")</f>
        <v/>
      </c>
      <c r="C456">
        <f>IFERROR(INDEX($D$6:$D$1750,MATCH(ROWS($B$6:B456),$B$6:$B$1750,0)),"")</f>
        <v/>
      </c>
      <c r="D456">
        <f>J456&amp;" ("&amp;E456&amp;")"</f>
        <v/>
      </c>
      <c r="E456" t="n">
        <v>18153</v>
      </c>
      <c r="F456" t="inlineStr">
        <is>
          <t>General Acute Care</t>
        </is>
      </c>
      <c r="G456" t="inlineStr">
        <is>
          <t>4501 Sand Creek Road</t>
        </is>
      </c>
      <c r="H456" t="inlineStr">
        <is>
          <t>Antioch</t>
        </is>
      </c>
      <c r="I456" t="inlineStr">
        <is>
          <t>Contra Costa</t>
        </is>
      </c>
      <c r="J456" t="inlineStr">
        <is>
          <t>Kaiser Foundation Hospital - Antioch</t>
        </is>
      </c>
    </row>
    <row r="457">
      <c r="A457">
        <f>--ISNUMBER(IFERROR(SEARCH($C$5,Inputs!$D457,1),""))</f>
        <v/>
      </c>
      <c r="B457">
        <f>IF(A457=1,COUNTIF($A$6:A457,1),"")</f>
        <v/>
      </c>
      <c r="C457">
        <f>IFERROR(INDEX($D$6:$D$1750,MATCH(ROWS($B$6:B457),$B$6:$B$1750,0)),"")</f>
        <v/>
      </c>
      <c r="D457">
        <f>J457&amp;" ("&amp;E457&amp;")"</f>
        <v/>
      </c>
      <c r="E457" t="n">
        <v>18161</v>
      </c>
      <c r="F457" t="inlineStr">
        <is>
          <t>General Acute Care</t>
        </is>
      </c>
      <c r="G457" t="inlineStr">
        <is>
          <t>26780 Barton Rd</t>
        </is>
      </c>
      <c r="H457" t="inlineStr">
        <is>
          <t>Redlands</t>
        </is>
      </c>
      <c r="I457" t="inlineStr">
        <is>
          <t>San Bernardino</t>
        </is>
      </c>
      <c r="J457" t="inlineStr">
        <is>
          <t>Loma Linda University Surgical Hospital</t>
        </is>
      </c>
    </row>
    <row r="458">
      <c r="A458">
        <f>--ISNUMBER(IFERROR(SEARCH($C$5,Inputs!$D458,1),""))</f>
        <v/>
      </c>
      <c r="B458">
        <f>IF(A458=1,COUNTIF($A$6:A458,1),"")</f>
        <v/>
      </c>
      <c r="C458">
        <f>IFERROR(INDEX($D$6:$D$1750,MATCH(ROWS($B$6:B458),$B$6:$B$1750,0)),"")</f>
        <v/>
      </c>
      <c r="D458">
        <f>J458&amp;" ("&amp;E458&amp;")"</f>
        <v/>
      </c>
      <c r="E458" t="n">
        <v>18162</v>
      </c>
      <c r="F458" t="inlineStr">
        <is>
          <t>General Acute Care</t>
        </is>
      </c>
      <c r="G458" t="inlineStr">
        <is>
          <t>70077 Ramon Road</t>
        </is>
      </c>
      <c r="H458" t="inlineStr">
        <is>
          <t>Rancho Mirage</t>
        </is>
      </c>
      <c r="I458" t="inlineStr">
        <is>
          <t>Riverside</t>
        </is>
      </c>
      <c r="J458" t="inlineStr">
        <is>
          <t>Vibra Rehabilitation Hospital Of Rancho Mirage</t>
        </is>
      </c>
    </row>
    <row r="459">
      <c r="A459">
        <f>--ISNUMBER(IFERROR(SEARCH($C$5,Inputs!$D459,1),""))</f>
        <v/>
      </c>
      <c r="B459">
        <f>IF(A459=1,COUNTIF($A$6:A459,1),"")</f>
        <v/>
      </c>
      <c r="C459">
        <f>IFERROR(INDEX($D$6:$D$1750,MATCH(ROWS($B$6:B459),$B$6:$B$1750,0)),"")</f>
        <v/>
      </c>
      <c r="D459">
        <f>J459&amp;" ("&amp;E459&amp;")"</f>
        <v/>
      </c>
      <c r="E459" t="n">
        <v>18163</v>
      </c>
      <c r="F459" t="inlineStr">
        <is>
          <t>General Acute Care</t>
        </is>
      </c>
      <c r="G459" t="inlineStr">
        <is>
          <t>1000 Greenley Road</t>
        </is>
      </c>
      <c r="H459" t="inlineStr">
        <is>
          <t>Sonora</t>
        </is>
      </c>
      <c r="I459" t="inlineStr">
        <is>
          <t>Tuolumne</t>
        </is>
      </c>
      <c r="J459" t="inlineStr">
        <is>
          <t>Adventist Health Sonora</t>
        </is>
      </c>
    </row>
    <row r="460">
      <c r="A460">
        <f>--ISNUMBER(IFERROR(SEARCH($C$5,Inputs!$D460,1),""))</f>
        <v/>
      </c>
      <c r="B460">
        <f>IF(A460=1,COUNTIF($A$6:A460,1),"")</f>
        <v/>
      </c>
      <c r="C460">
        <f>IFERROR(INDEX($D$6:$D$1750,MATCH(ROWS($B$6:B460),$B$6:$B$1750,0)),"")</f>
        <v/>
      </c>
      <c r="D460">
        <f>J460&amp;" ("&amp;E460&amp;")"</f>
        <v/>
      </c>
      <c r="E460" t="n">
        <v>18164</v>
      </c>
      <c r="F460" t="inlineStr">
        <is>
          <t>General Acute Care</t>
        </is>
      </c>
      <c r="G460" t="inlineStr">
        <is>
          <t>1 Quality Dr</t>
        </is>
      </c>
      <c r="H460" t="inlineStr">
        <is>
          <t>Vacaville</t>
        </is>
      </c>
      <c r="I460" t="inlineStr">
        <is>
          <t>Solano</t>
        </is>
      </c>
      <c r="J460" t="inlineStr">
        <is>
          <t>Kaiser Foundation Hospital - Vacaville</t>
        </is>
      </c>
    </row>
    <row r="461">
      <c r="A461">
        <f>--ISNUMBER(IFERROR(SEARCH($C$5,Inputs!$D461,1),""))</f>
        <v/>
      </c>
      <c r="B461">
        <f>IF(A461=1,COUNTIF($A$6:A461,1),"")</f>
        <v/>
      </c>
      <c r="C461">
        <f>IFERROR(INDEX($D$6:$D$1750,MATCH(ROWS($B$6:B461),$B$6:$B$1750,0)),"")</f>
        <v/>
      </c>
      <c r="D461">
        <f>J461&amp;" ("&amp;E461&amp;")"</f>
        <v/>
      </c>
      <c r="E461" t="n">
        <v>18165</v>
      </c>
      <c r="F461" t="inlineStr">
        <is>
          <t>General Acute Care</t>
        </is>
      </c>
      <c r="G461" t="inlineStr">
        <is>
          <t>1101 Van Ness Avenue</t>
        </is>
      </c>
      <c r="H461" t="inlineStr">
        <is>
          <t>San Francisco</t>
        </is>
      </c>
      <c r="I461" t="inlineStr">
        <is>
          <t>San Francisco</t>
        </is>
      </c>
      <c r="J461" t="inlineStr">
        <is>
          <t>California Pacific Medical Center - Van Ness Campus</t>
        </is>
      </c>
    </row>
    <row r="462">
      <c r="A462">
        <f>--ISNUMBER(IFERROR(SEARCH($C$5,Inputs!$D462,1),""))</f>
        <v/>
      </c>
      <c r="B462">
        <f>IF(A462=1,COUNTIF($A$6:A462,1),"")</f>
        <v/>
      </c>
      <c r="C462">
        <f>IFERROR(INDEX($D$6:$D$1750,MATCH(ROWS($B$6:B462),$B$6:$B$1750,0)),"")</f>
        <v/>
      </c>
      <c r="D462">
        <f>J462&amp;" ("&amp;E462&amp;")"</f>
        <v/>
      </c>
      <c r="E462" t="n">
        <v>18167</v>
      </c>
      <c r="F462" t="inlineStr">
        <is>
          <t>General Acute Care</t>
        </is>
      </c>
      <c r="G462" t="inlineStr">
        <is>
          <t>31700 Temecula Pkwy</t>
        </is>
      </c>
      <c r="H462" t="inlineStr">
        <is>
          <t>Temecula</t>
        </is>
      </c>
      <c r="I462" t="inlineStr">
        <is>
          <t>Riverside</t>
        </is>
      </c>
      <c r="J462" t="inlineStr">
        <is>
          <t>Temecula Valley Hospital</t>
        </is>
      </c>
    </row>
    <row r="463">
      <c r="A463">
        <f>--ISNUMBER(IFERROR(SEARCH($C$5,Inputs!$D463,1),""))</f>
        <v/>
      </c>
      <c r="B463">
        <f>IF(A463=1,COUNTIF($A$6:A463,1),"")</f>
        <v/>
      </c>
      <c r="C463">
        <f>IFERROR(INDEX($D$6:$D$1750,MATCH(ROWS($B$6:B463),$B$6:$B$1750,0)),"")</f>
        <v/>
      </c>
      <c r="D463">
        <f>J463&amp;" ("&amp;E463&amp;")"</f>
        <v/>
      </c>
      <c r="E463" t="n">
        <v>18173</v>
      </c>
      <c r="F463" t="inlineStr">
        <is>
          <t>General Acute Care</t>
        </is>
      </c>
      <c r="G463" t="inlineStr">
        <is>
          <t>2185 Citracado Parkway</t>
        </is>
      </c>
      <c r="H463" t="inlineStr">
        <is>
          <t>Escondido</t>
        </is>
      </c>
      <c r="I463" t="inlineStr">
        <is>
          <t>San Diego</t>
        </is>
      </c>
      <c r="J463" t="inlineStr">
        <is>
          <t>Palomar Medical Center</t>
        </is>
      </c>
    </row>
    <row r="464">
      <c r="A464">
        <f>--ISNUMBER(IFERROR(SEARCH($C$5,Inputs!$D464,1),""))</f>
        <v/>
      </c>
      <c r="B464">
        <f>IF(A464=1,COUNTIF($A$6:A464,1),"")</f>
        <v/>
      </c>
      <c r="C464">
        <f>IFERROR(INDEX($D$6:$D$1750,MATCH(ROWS($B$6:B464),$B$6:$B$1750,0)),"")</f>
        <v/>
      </c>
      <c r="D464">
        <f>J464&amp;" ("&amp;E464&amp;")"</f>
        <v/>
      </c>
      <c r="E464" t="n">
        <v>18175</v>
      </c>
      <c r="F464" t="inlineStr">
        <is>
          <t>General Acute Care</t>
        </is>
      </c>
      <c r="G464" t="inlineStr">
        <is>
          <t>28062 Baxter Road</t>
        </is>
      </c>
      <c r="H464" t="inlineStr">
        <is>
          <t>Murrieta</t>
        </is>
      </c>
      <c r="I464" t="inlineStr">
        <is>
          <t>Riverside</t>
        </is>
      </c>
      <c r="J464" t="inlineStr">
        <is>
          <t>Loma Linda University Medical Center - Murrieta</t>
        </is>
      </c>
    </row>
    <row r="465">
      <c r="A465">
        <f>--ISNUMBER(IFERROR(SEARCH($C$5,Inputs!$D465,1),""))</f>
        <v/>
      </c>
      <c r="B465">
        <f>IF(A465=1,COUNTIF($A$6:A465,1),"")</f>
        <v/>
      </c>
      <c r="C465">
        <f>IFERROR(INDEX($D$6:$D$1750,MATCH(ROWS($B$6:B465),$B$6:$B$1750,0)),"")</f>
        <v/>
      </c>
      <c r="D465">
        <f>J465&amp;" ("&amp;E465&amp;")"</f>
        <v/>
      </c>
      <c r="E465" t="n">
        <v>18178</v>
      </c>
      <c r="F465" t="inlineStr">
        <is>
          <t>General Acute Care</t>
        </is>
      </c>
      <c r="G465" t="inlineStr">
        <is>
          <t>3440 E La Palma Ave</t>
        </is>
      </c>
      <c r="H465" t="inlineStr">
        <is>
          <t>Anaheim</t>
        </is>
      </c>
      <c r="I465" t="inlineStr">
        <is>
          <t>Orange</t>
        </is>
      </c>
      <c r="J465" t="inlineStr">
        <is>
          <t>Kaiser Foundation Hospital - Orange County - Anaheim</t>
        </is>
      </c>
    </row>
    <row r="466">
      <c r="A466">
        <f>--ISNUMBER(IFERROR(SEARCH($C$5,Inputs!$D466,1),""))</f>
        <v/>
      </c>
      <c r="B466">
        <f>IF(A466=1,COUNTIF($A$6:A466,1),"")</f>
        <v/>
      </c>
      <c r="C466">
        <f>IFERROR(INDEX($D$6:$D$1750,MATCH(ROWS($B$6:B466),$B$6:$B$1750,0)),"")</f>
        <v/>
      </c>
      <c r="D466">
        <f>J466&amp;" ("&amp;E466&amp;")"</f>
        <v/>
      </c>
      <c r="E466" t="n">
        <v>18179</v>
      </c>
      <c r="F466" t="inlineStr">
        <is>
          <t>General Acute Care</t>
        </is>
      </c>
      <c r="G466" t="inlineStr">
        <is>
          <t>840 S Akers St</t>
        </is>
      </c>
      <c r="H466" t="inlineStr">
        <is>
          <t>Visalia</t>
        </is>
      </c>
      <c r="I466" t="inlineStr">
        <is>
          <t>Tulare</t>
        </is>
      </c>
      <c r="J466" t="inlineStr">
        <is>
          <t>Kaweah Health Rehabilitation Hospital</t>
        </is>
      </c>
    </row>
    <row r="467">
      <c r="A467">
        <f>--ISNUMBER(IFERROR(SEARCH($C$5,Inputs!$D467,1),""))</f>
        <v/>
      </c>
      <c r="B467">
        <f>IF(A467=1,COUNTIF($A$6:A467,1),"")</f>
        <v/>
      </c>
      <c r="C467">
        <f>IFERROR(INDEX($D$6:$D$1750,MATCH(ROWS($B$6:B467),$B$6:$B$1750,0)),"")</f>
        <v/>
      </c>
      <c r="D467">
        <f>J467&amp;" ("&amp;E467&amp;")"</f>
        <v/>
      </c>
      <c r="E467" t="n">
        <v>18180</v>
      </c>
      <c r="F467" t="inlineStr">
        <is>
          <t>General Acute Care</t>
        </is>
      </c>
      <c r="G467" t="inlineStr">
        <is>
          <t>20103 Lake Chabot Rd.</t>
        </is>
      </c>
      <c r="H467" t="inlineStr">
        <is>
          <t>Castro Valley</t>
        </is>
      </c>
      <c r="I467" t="inlineStr">
        <is>
          <t>Alameda</t>
        </is>
      </c>
      <c r="J467" t="inlineStr">
        <is>
          <t>Eden Medical Center</t>
        </is>
      </c>
    </row>
    <row r="468">
      <c r="A468">
        <f>--ISNUMBER(IFERROR(SEARCH($C$5,Inputs!$D468,1),""))</f>
        <v/>
      </c>
      <c r="B468">
        <f>IF(A468=1,COUNTIF($A$6:A468,1),"")</f>
        <v/>
      </c>
      <c r="C468">
        <f>IFERROR(INDEX($D$6:$D$1750,MATCH(ROWS($B$6:B468),$B$6:$B$1750,0)),"")</f>
        <v/>
      </c>
      <c r="D468">
        <f>J468&amp;" ("&amp;E468&amp;")"</f>
        <v/>
      </c>
      <c r="E468" t="n">
        <v>18181</v>
      </c>
      <c r="F468" t="inlineStr">
        <is>
          <t>General Acute Care</t>
        </is>
      </c>
      <c r="G468" t="inlineStr">
        <is>
          <t>1975 4th St.</t>
        </is>
      </c>
      <c r="H468" t="inlineStr">
        <is>
          <t>San Francisco</t>
        </is>
      </c>
      <c r="I468" t="inlineStr">
        <is>
          <t>San Francisco</t>
        </is>
      </c>
      <c r="J468" t="inlineStr">
        <is>
          <t>UCSF Medical Center At Mission Bay</t>
        </is>
      </c>
    </row>
    <row r="469">
      <c r="A469">
        <f>--ISNUMBER(IFERROR(SEARCH($C$5,Inputs!$D469,1),""))</f>
        <v/>
      </c>
      <c r="B469">
        <f>IF(A469=1,COUNTIF($A$6:A469,1),"")</f>
        <v/>
      </c>
      <c r="C469">
        <f>IFERROR(INDEX($D$6:$D$1750,MATCH(ROWS($B$6:B469),$B$6:$B$1750,0)),"")</f>
        <v/>
      </c>
      <c r="D469">
        <f>J469&amp;" ("&amp;E469&amp;")"</f>
        <v/>
      </c>
      <c r="E469" t="n">
        <v>18186</v>
      </c>
      <c r="F469" t="inlineStr">
        <is>
          <t>General Acute Care</t>
        </is>
      </c>
      <c r="G469" t="inlineStr">
        <is>
          <t>2500 Merced Street</t>
        </is>
      </c>
      <c r="H469" t="inlineStr">
        <is>
          <t>San Leandro</t>
        </is>
      </c>
      <c r="I469" t="inlineStr">
        <is>
          <t>Alameda</t>
        </is>
      </c>
      <c r="J469" t="inlineStr">
        <is>
          <t>Kaiser Foundation Hospital - San Leandro</t>
        </is>
      </c>
    </row>
    <row r="470">
      <c r="A470">
        <f>--ISNUMBER(IFERROR(SEARCH($C$5,Inputs!$D470,1),""))</f>
        <v/>
      </c>
      <c r="B470">
        <f>IF(A470=1,COUNTIF($A$6:A470,1),"")</f>
        <v/>
      </c>
      <c r="C470">
        <f>IFERROR(INDEX($D$6:$D$1750,MATCH(ROWS($B$6:B470),$B$6:$B$1750,0)),"")</f>
        <v/>
      </c>
      <c r="D470">
        <f>J470&amp;" ("&amp;E470&amp;")"</f>
        <v/>
      </c>
      <c r="E470" t="n">
        <v>18187</v>
      </c>
      <c r="F470" t="inlineStr">
        <is>
          <t>General Acute Care</t>
        </is>
      </c>
      <c r="G470" t="inlineStr">
        <is>
          <t>30 Mark West Spring Rd.</t>
        </is>
      </c>
      <c r="H470" t="inlineStr">
        <is>
          <t>Santa Rosa</t>
        </is>
      </c>
      <c r="I470" t="inlineStr">
        <is>
          <t>Sonoma</t>
        </is>
      </c>
      <c r="J470" t="inlineStr">
        <is>
          <t>Sutter Santa Rosa Regional Hospital</t>
        </is>
      </c>
    </row>
    <row r="471">
      <c r="A471">
        <f>--ISNUMBER(IFERROR(SEARCH($C$5,Inputs!$D471,1),""))</f>
        <v/>
      </c>
      <c r="B471">
        <f>IF(A471=1,COUNTIF($A$6:A471,1),"")</f>
        <v/>
      </c>
      <c r="C471">
        <f>IFERROR(INDEX($D$6:$D$1750,MATCH(ROWS($B$6:B471),$B$6:$B$1750,0)),"")</f>
        <v/>
      </c>
      <c r="D471">
        <f>J471&amp;" ("&amp;E471&amp;")"</f>
        <v/>
      </c>
      <c r="E471" t="n">
        <v>18188</v>
      </c>
      <c r="F471" t="inlineStr">
        <is>
          <t>General Acute Care</t>
        </is>
      </c>
      <c r="G471" t="inlineStr">
        <is>
          <t>3555 Cesar Chavez St</t>
        </is>
      </c>
      <c r="H471" t="inlineStr">
        <is>
          <t>San Francisco</t>
        </is>
      </c>
      <c r="I471" t="inlineStr">
        <is>
          <t>San Francisco</t>
        </is>
      </c>
      <c r="J471" t="inlineStr">
        <is>
          <t>California Pacific Medical Center - Mission Bernal Campus</t>
        </is>
      </c>
    </row>
    <row r="472">
      <c r="A472">
        <f>--ISNUMBER(IFERROR(SEARCH($C$5,Inputs!$D472,1),""))</f>
        <v/>
      </c>
      <c r="B472">
        <f>IF(A472=1,COUNTIF($A$6:A472,1),"")</f>
        <v/>
      </c>
      <c r="C472">
        <f>IFERROR(INDEX($D$6:$D$1750,MATCH(ROWS($B$6:B472),$B$6:$B$1750,0)),"")</f>
        <v/>
      </c>
      <c r="D472">
        <f>J472&amp;" ("&amp;E472&amp;")"</f>
        <v/>
      </c>
      <c r="E472" t="n">
        <v>18193</v>
      </c>
      <c r="F472" t="inlineStr">
        <is>
          <t>General Acute Care</t>
        </is>
      </c>
      <c r="G472" t="inlineStr">
        <is>
          <t>16250 Sand Canyon Ave.</t>
        </is>
      </c>
      <c r="H472" t="inlineStr">
        <is>
          <t>Irvine</t>
        </is>
      </c>
      <c r="I472" t="inlineStr">
        <is>
          <t>Orange</t>
        </is>
      </c>
      <c r="J472" t="inlineStr">
        <is>
          <t>Hoag Orthopedic Institute</t>
        </is>
      </c>
    </row>
    <row r="473">
      <c r="A473">
        <f>--ISNUMBER(IFERROR(SEARCH($C$5,Inputs!$D473,1),""))</f>
        <v/>
      </c>
      <c r="B473">
        <f>IF(A473=1,COUNTIF($A$6:A473,1),"")</f>
        <v/>
      </c>
      <c r="C473">
        <f>IFERROR(INDEX($D$6:$D$1750,MATCH(ROWS($B$6:B473),$B$6:$B$1750,0)),"")</f>
        <v/>
      </c>
      <c r="D473">
        <f>J473&amp;" ("&amp;E473&amp;")"</f>
        <v/>
      </c>
      <c r="E473" t="n">
        <v>18194</v>
      </c>
      <c r="F473" t="inlineStr">
        <is>
          <t>General Acute Care</t>
        </is>
      </c>
      <c r="G473" t="inlineStr">
        <is>
          <t>115 Mall Drive</t>
        </is>
      </c>
      <c r="H473" t="inlineStr">
        <is>
          <t>Hanford</t>
        </is>
      </c>
      <c r="I473" t="inlineStr">
        <is>
          <t>Kings</t>
        </is>
      </c>
      <c r="J473" t="inlineStr">
        <is>
          <t>Adventist Health Hanford</t>
        </is>
      </c>
    </row>
    <row r="474">
      <c r="A474">
        <f>--ISNUMBER(IFERROR(SEARCH($C$5,Inputs!$D474,1),""))</f>
        <v/>
      </c>
      <c r="B474">
        <f>IF(A474=1,COUNTIF($A$6:A474,1),"")</f>
        <v/>
      </c>
      <c r="C474">
        <f>IFERROR(INDEX($D$6:$D$1750,MATCH(ROWS($B$6:B474),$B$6:$B$1750,0)),"")</f>
        <v/>
      </c>
      <c r="D474">
        <f>J474&amp;" ("&amp;E474&amp;")"</f>
        <v/>
      </c>
      <c r="E474" t="n">
        <v>18197</v>
      </c>
      <c r="F474" t="inlineStr">
        <is>
          <t>General Acute Care</t>
        </is>
      </c>
      <c r="G474" t="inlineStr">
        <is>
          <t>820 E. Mountain View St.</t>
        </is>
      </c>
      <c r="H474" t="inlineStr">
        <is>
          <t>Barstow</t>
        </is>
      </c>
      <c r="I474" t="inlineStr">
        <is>
          <t>San Bernardino</t>
        </is>
      </c>
      <c r="J474" t="inlineStr">
        <is>
          <t>Barstow Community Hospital</t>
        </is>
      </c>
    </row>
    <row r="475">
      <c r="A475">
        <f>--ISNUMBER(IFERROR(SEARCH($C$5,Inputs!$D475,1),""))</f>
        <v/>
      </c>
      <c r="B475">
        <f>IF(A475=1,COUNTIF($A$6:A475,1),"")</f>
        <v/>
      </c>
      <c r="C475">
        <f>IFERROR(INDEX($D$6:$D$1750,MATCH(ROWS($B$6:B475),$B$6:$B$1750,0)),"")</f>
        <v/>
      </c>
      <c r="D475">
        <f>J475&amp;" ("&amp;E475&amp;")"</f>
        <v/>
      </c>
      <c r="E475" t="n">
        <v>18198</v>
      </c>
      <c r="F475" t="inlineStr">
        <is>
          <t>General Acute Care</t>
        </is>
      </c>
      <c r="G475" t="inlineStr">
        <is>
          <t>1 Marcela Drive</t>
        </is>
      </c>
      <c r="H475" t="inlineStr">
        <is>
          <t>Willits</t>
        </is>
      </c>
      <c r="I475" t="inlineStr">
        <is>
          <t>Mendocino</t>
        </is>
      </c>
      <c r="J475" t="inlineStr">
        <is>
          <t>Adventist Health Howard Memorial</t>
        </is>
      </c>
    </row>
    <row r="476">
      <c r="A476">
        <f>--ISNUMBER(IFERROR(SEARCH($C$5,Inputs!$D476,1),""))</f>
        <v/>
      </c>
      <c r="B476">
        <f>IF(A476=1,COUNTIF($A$6:A476,1),"")</f>
        <v/>
      </c>
      <c r="C476">
        <f>IFERROR(INDEX($D$6:$D$1750,MATCH(ROWS($B$6:B476),$B$6:$B$1750,0)),"")</f>
        <v/>
      </c>
      <c r="D476">
        <f>J476&amp;" ("&amp;E476&amp;")"</f>
        <v/>
      </c>
      <c r="E476" t="n">
        <v>18199</v>
      </c>
      <c r="F476" t="inlineStr">
        <is>
          <t>General Acute Care</t>
        </is>
      </c>
      <c r="G476" t="inlineStr">
        <is>
          <t>9455 Clairemont Mesa Blvd</t>
        </is>
      </c>
      <c r="H476" t="inlineStr">
        <is>
          <t>San Diego</t>
        </is>
      </c>
      <c r="I476" t="inlineStr">
        <is>
          <t>San Diego</t>
        </is>
      </c>
      <c r="J476" t="inlineStr">
        <is>
          <t>Kaiser Foundation Hospital - San Diego</t>
        </is>
      </c>
    </row>
    <row r="477">
      <c r="A477">
        <f>--ISNUMBER(IFERROR(SEARCH($C$5,Inputs!$D477,1),""))</f>
        <v/>
      </c>
      <c r="B477">
        <f>IF(A477=1,COUNTIF($A$6:A477,1),"")</f>
        <v/>
      </c>
      <c r="C477">
        <f>IFERROR(INDEX($D$6:$D$1750,MATCH(ROWS($B$6:B477),$B$6:$B$1750,0)),"")</f>
        <v/>
      </c>
      <c r="D477">
        <f>J477&amp;" ("&amp;E477&amp;")"</f>
        <v/>
      </c>
      <c r="E477" t="n">
        <v>18201</v>
      </c>
      <c r="F477" t="inlineStr">
        <is>
          <t>General Acute Care</t>
        </is>
      </c>
      <c r="G477" t="inlineStr">
        <is>
          <t>1720 Mountain View Ave.</t>
        </is>
      </c>
      <c r="H477" t="inlineStr">
        <is>
          <t>Loma Linda</t>
        </is>
      </c>
      <c r="I477" t="inlineStr">
        <is>
          <t>San Bernardino</t>
        </is>
      </c>
      <c r="J477" t="inlineStr">
        <is>
          <t>Totally Kids Rehabilitation Hospital</t>
        </is>
      </c>
    </row>
    <row r="478">
      <c r="A478">
        <f>--ISNUMBER(IFERROR(SEARCH($C$5,Inputs!$D478,1),""))</f>
        <v/>
      </c>
      <c r="B478">
        <f>IF(A478=1,COUNTIF($A$6:A478,1),"")</f>
        <v/>
      </c>
      <c r="C478">
        <f>IFERROR(INDEX($D$6:$D$1750,MATCH(ROWS($B$6:B478),$B$6:$B$1750,0)),"")</f>
        <v/>
      </c>
      <c r="D478">
        <f>J478&amp;" ("&amp;E478&amp;")"</f>
        <v/>
      </c>
      <c r="E478" t="n">
        <v>18202</v>
      </c>
      <c r="F478" t="inlineStr">
        <is>
          <t>General Acute Care</t>
        </is>
      </c>
      <c r="G478" t="inlineStr">
        <is>
          <t>1100 Magellan Drive</t>
        </is>
      </c>
      <c r="H478" t="inlineStr">
        <is>
          <t>Tehachapi</t>
        </is>
      </c>
      <c r="I478" t="inlineStr">
        <is>
          <t>Kern</t>
        </is>
      </c>
      <c r="J478" t="inlineStr">
        <is>
          <t>Adventist Health Tehachapi Valley</t>
        </is>
      </c>
    </row>
    <row r="479">
      <c r="A479">
        <f>--ISNUMBER(IFERROR(SEARCH($C$5,Inputs!$D479,1),""))</f>
        <v/>
      </c>
      <c r="B479">
        <f>IF(A479=1,COUNTIF($A$6:A479,1),"")</f>
        <v/>
      </c>
      <c r="C479">
        <f>IFERROR(INDEX($D$6:$D$1750,MATCH(ROWS($B$6:B479),$B$6:$B$1750,0)),"")</f>
        <v/>
      </c>
      <c r="D479">
        <f>J479&amp;" ("&amp;E479&amp;")"</f>
        <v/>
      </c>
      <c r="E479" t="n">
        <v>18204</v>
      </c>
      <c r="F479" t="inlineStr">
        <is>
          <t>General Acute Care</t>
        </is>
      </c>
      <c r="G479" t="inlineStr">
        <is>
          <t>1303 Mable Avenue</t>
        </is>
      </c>
      <c r="H479" t="inlineStr">
        <is>
          <t>Modesto</t>
        </is>
      </c>
      <c r="I479" t="inlineStr">
        <is>
          <t>Stanislaus</t>
        </is>
      </c>
      <c r="J479" t="inlineStr">
        <is>
          <t>Encompass Health Rehabilitation Hospital Of Modesto</t>
        </is>
      </c>
    </row>
    <row r="480">
      <c r="A480">
        <f>--ISNUMBER(IFERROR(SEARCH($C$5,Inputs!$D480,1),""))</f>
        <v/>
      </c>
      <c r="B480">
        <f>IF(A480=1,COUNTIF($A$6:A480,1),"")</f>
        <v/>
      </c>
      <c r="C480">
        <f>IFERROR(INDEX($D$6:$D$1750,MATCH(ROWS($B$6:B480),$B$6:$B$1750,0)),"")</f>
        <v/>
      </c>
      <c r="D480">
        <f>J480&amp;" ("&amp;E480&amp;")"</f>
        <v/>
      </c>
      <c r="E480" t="n">
        <v>18206</v>
      </c>
      <c r="F480" t="inlineStr">
        <is>
          <t>General Acute Care</t>
        </is>
      </c>
      <c r="G480" t="inlineStr">
        <is>
          <t>275 West MacArthur Boulevard</t>
        </is>
      </c>
      <c r="H480" t="inlineStr">
        <is>
          <t>Oakland</t>
        </is>
      </c>
      <c r="I480" t="inlineStr">
        <is>
          <t>Alameda</t>
        </is>
      </c>
      <c r="J480" t="inlineStr">
        <is>
          <t>Kaiser Foundation Hospital - Oakland/Richmond</t>
        </is>
      </c>
    </row>
    <row r="481">
      <c r="A481">
        <f>--ISNUMBER(IFERROR(SEARCH($C$5,Inputs!$D481,1),""))</f>
        <v/>
      </c>
      <c r="B481">
        <f>IF(A481=1,COUNTIF($A$6:A481,1),"")</f>
        <v/>
      </c>
      <c r="C481">
        <f>IFERROR(INDEX($D$6:$D$1750,MATCH(ROWS($B$6:B481),$B$6:$B$1750,0)),"")</f>
        <v/>
      </c>
      <c r="D481">
        <f>J481&amp;" ("&amp;E481&amp;")"</f>
        <v/>
      </c>
      <c r="E481" t="n">
        <v>18213</v>
      </c>
      <c r="F481" t="inlineStr">
        <is>
          <t>General Acute Care</t>
        </is>
      </c>
      <c r="G481" t="inlineStr">
        <is>
          <t>35470 Whitewood Rd.</t>
        </is>
      </c>
      <c r="H481" t="inlineStr">
        <is>
          <t>Murrieta</t>
        </is>
      </c>
      <c r="I481" t="inlineStr">
        <is>
          <t>Riverside</t>
        </is>
      </c>
      <c r="J481" t="inlineStr">
        <is>
          <t>Encompass Health Rehabilitation Hospital of Murrieta</t>
        </is>
      </c>
    </row>
    <row r="482">
      <c r="A482">
        <f>--ISNUMBER(IFERROR(SEARCH($C$5,Inputs!$D482,1),""))</f>
        <v/>
      </c>
      <c r="B482">
        <f>IF(A482=1,COUNTIF($A$6:A482,1),"")</f>
        <v/>
      </c>
      <c r="C482">
        <f>IFERROR(INDEX($D$6:$D$1750,MATCH(ROWS($B$6:B482),$B$6:$B$1750,0)),"")</f>
        <v/>
      </c>
      <c r="D482">
        <f>J482&amp;" ("&amp;E482&amp;")"</f>
        <v/>
      </c>
      <c r="E482" t="n">
        <v>18217</v>
      </c>
      <c r="F482" t="inlineStr">
        <is>
          <t>Acute Psychiatric Hospital</t>
        </is>
      </c>
      <c r="G482" t="inlineStr">
        <is>
          <t>1400 Expo Parkway</t>
        </is>
      </c>
      <c r="H482" t="inlineStr">
        <is>
          <t>Sacramento</t>
        </is>
      </c>
      <c r="I482" t="inlineStr">
        <is>
          <t>Sacramento</t>
        </is>
      </c>
      <c r="J482" t="inlineStr">
        <is>
          <t>Sacramento Behavioral Healthcare Hospital, LLC</t>
        </is>
      </c>
    </row>
    <row r="483">
      <c r="A483">
        <f>--ISNUMBER(IFERROR(SEARCH($C$5,Inputs!$D483,1),""))</f>
        <v/>
      </c>
      <c r="B483">
        <f>IF(A483=1,COUNTIF($A$6:A483,1),"")</f>
        <v/>
      </c>
      <c r="C483">
        <f>IFERROR(INDEX($D$6:$D$1750,MATCH(ROWS($B$6:B483),$B$6:$B$1750,0)),"")</f>
        <v/>
      </c>
      <c r="D483">
        <f>J483&amp;" ("&amp;E483&amp;")"</f>
        <v/>
      </c>
      <c r="E483" t="n">
        <v>18219</v>
      </c>
      <c r="F483" t="inlineStr">
        <is>
          <t>General Acute Care</t>
        </is>
      </c>
      <c r="G483" t="inlineStr">
        <is>
          <t>1100 Veterans Blvd.</t>
        </is>
      </c>
      <c r="H483" t="inlineStr">
        <is>
          <t>Redwood City</t>
        </is>
      </c>
      <c r="I483" t="inlineStr">
        <is>
          <t>San Mateo</t>
        </is>
      </c>
      <c r="J483" t="inlineStr">
        <is>
          <t>Kaiser Foundation Hospital - Redwood City</t>
        </is>
      </c>
    </row>
    <row r="484">
      <c r="A484">
        <f>--ISNUMBER(IFERROR(SEARCH($C$5,Inputs!$D484,1),""))</f>
        <v/>
      </c>
      <c r="B484">
        <f>IF(A484=1,COUNTIF($A$6:A484,1),"")</f>
        <v/>
      </c>
      <c r="C484">
        <f>IFERROR(INDEX($D$6:$D$1750,MATCH(ROWS($B$6:B484),$B$6:$B$1750,0)),"")</f>
        <v/>
      </c>
      <c r="D484">
        <f>J484&amp;" ("&amp;E484&amp;")"</f>
        <v/>
      </c>
      <c r="E484" t="n">
        <v>18220</v>
      </c>
      <c r="F484" t="inlineStr">
        <is>
          <t>General Acute Care</t>
        </is>
      </c>
      <c r="G484" t="inlineStr">
        <is>
          <t>11234 Anderson St, Suite A</t>
        </is>
      </c>
      <c r="H484" t="inlineStr">
        <is>
          <t>Loma Linda</t>
        </is>
      </c>
      <c r="I484" t="inlineStr">
        <is>
          <t>San Bernardino</t>
        </is>
      </c>
      <c r="J484" t="inlineStr">
        <is>
          <t>Loma Linda University Children's Hospital</t>
        </is>
      </c>
    </row>
    <row r="485">
      <c r="A485">
        <f>--ISNUMBER(IFERROR(SEARCH($C$5,Inputs!$D485,1),""))</f>
        <v/>
      </c>
      <c r="B485">
        <f>IF(A485=1,COUNTIF($A$6:A485,1),"")</f>
        <v/>
      </c>
      <c r="C485">
        <f>IFERROR(INDEX($D$6:$D$1750,MATCH(ROWS($B$6:B485),$B$6:$B$1750,0)),"")</f>
        <v/>
      </c>
      <c r="D485">
        <f>J485&amp;" ("&amp;E485&amp;")"</f>
        <v/>
      </c>
      <c r="E485" t="n">
        <v>18222</v>
      </c>
      <c r="F485" t="inlineStr">
        <is>
          <t>Acute Psychiatric Hospital</t>
        </is>
      </c>
      <c r="G485" t="inlineStr">
        <is>
          <t>100 S San Mateo Dr</t>
        </is>
      </c>
      <c r="H485" t="inlineStr">
        <is>
          <t>San Mateo</t>
        </is>
      </c>
      <c r="I485" t="inlineStr">
        <is>
          <t>San Mateo</t>
        </is>
      </c>
      <c r="J485" t="inlineStr">
        <is>
          <t>Mills Health Center D/P APH</t>
        </is>
      </c>
    </row>
    <row r="486">
      <c r="A486">
        <f>--ISNUMBER(IFERROR(SEARCH($C$5,Inputs!$D486,1),""))</f>
        <v/>
      </c>
      <c r="B486">
        <f>IF(A486=1,COUNTIF($A$6:A486,1),"")</f>
        <v/>
      </c>
      <c r="C486">
        <f>IFERROR(INDEX($D$6:$D$1750,MATCH(ROWS($B$6:B486),$B$6:$B$1750,0)),"")</f>
        <v/>
      </c>
      <c r="D486">
        <f>J486&amp;" ("&amp;E486&amp;")"</f>
        <v/>
      </c>
      <c r="E486" t="n">
        <v>18226</v>
      </c>
      <c r="F486" t="inlineStr">
        <is>
          <t>General Acute Care</t>
        </is>
      </c>
      <c r="G486" t="inlineStr">
        <is>
          <t>15120 Kensington Park Dr.</t>
        </is>
      </c>
      <c r="H486" t="inlineStr">
        <is>
          <t>Tustin</t>
        </is>
      </c>
      <c r="I486" t="inlineStr">
        <is>
          <t>Orange</t>
        </is>
      </c>
      <c r="J486" t="inlineStr">
        <is>
          <t>Encompass Health Rehabilitation Hospital of Tustin</t>
        </is>
      </c>
    </row>
    <row r="487">
      <c r="A487">
        <f>--ISNUMBER(IFERROR(SEARCH($C$5,Inputs!$D487,1),""))</f>
        <v/>
      </c>
      <c r="B487">
        <f>IF(A487=1,COUNTIF($A$6:A487,1),"")</f>
        <v/>
      </c>
      <c r="C487">
        <f>IFERROR(INDEX($D$6:$D$1750,MATCH(ROWS($B$6:B487),$B$6:$B$1750,0)),"")</f>
        <v/>
      </c>
      <c r="D487">
        <f>J487&amp;" ("&amp;E487&amp;")"</f>
        <v/>
      </c>
      <c r="E487" t="n">
        <v>18227</v>
      </c>
      <c r="F487" t="inlineStr">
        <is>
          <t>General Acute Care</t>
        </is>
      </c>
      <c r="G487" t="inlineStr">
        <is>
          <t>450 Stanyan Street</t>
        </is>
      </c>
      <c r="H487" t="inlineStr">
        <is>
          <t>San Francisco</t>
        </is>
      </c>
      <c r="I487" t="inlineStr">
        <is>
          <t>San Francisco</t>
        </is>
      </c>
      <c r="J487" t="inlineStr">
        <is>
          <t>Kentfield Hospital San Francisco</t>
        </is>
      </c>
    </row>
    <row r="488">
      <c r="A488">
        <f>--ISNUMBER(IFERROR(SEARCH($C$5,Inputs!$D488,1),""))</f>
        <v/>
      </c>
      <c r="B488">
        <f>IF(A488=1,COUNTIF($A$6:A488,1),"")</f>
        <v/>
      </c>
      <c r="C488">
        <f>IFERROR(INDEX($D$6:$D$1750,MATCH(ROWS($B$6:B488),$B$6:$B$1750,0)),"")</f>
        <v/>
      </c>
      <c r="D488">
        <f>J488&amp;" ("&amp;E488&amp;")"</f>
        <v/>
      </c>
      <c r="E488" t="n">
        <v>18228</v>
      </c>
      <c r="F488" t="inlineStr">
        <is>
          <t>Acute Psychiatric Hospital</t>
        </is>
      </c>
      <c r="G488" t="inlineStr">
        <is>
          <t>200 Freedom Lane</t>
        </is>
      </c>
      <c r="H488" t="inlineStr">
        <is>
          <t>Aliso Viejo</t>
        </is>
      </c>
      <c r="I488" t="inlineStr">
        <is>
          <t>Orange</t>
        </is>
      </c>
      <c r="J488" t="inlineStr">
        <is>
          <t>Aliso Ridge Behavioral Health, LLC</t>
        </is>
      </c>
    </row>
    <row r="489">
      <c r="A489">
        <f>--ISNUMBER(IFERROR(SEARCH($C$5,Inputs!$D489,1),""))</f>
        <v/>
      </c>
      <c r="B489">
        <f>IF(A489=1,COUNTIF($A$6:A489,1),"")</f>
        <v/>
      </c>
      <c r="C489">
        <f>IFERROR(INDEX($D$6:$D$1750,MATCH(ROWS($B$6:B489),$B$6:$B$1750,0)),"")</f>
        <v/>
      </c>
      <c r="D489">
        <f>J489&amp;" ("&amp;E489&amp;")"</f>
        <v/>
      </c>
      <c r="E489" t="n">
        <v>18230</v>
      </c>
      <c r="F489" t="inlineStr">
        <is>
          <t>General Acute Care</t>
        </is>
      </c>
      <c r="G489" t="inlineStr">
        <is>
          <t>2181 Citricado Pkwy</t>
        </is>
      </c>
      <c r="H489" t="inlineStr">
        <is>
          <t>Escondido</t>
        </is>
      </c>
      <c r="I489" t="inlineStr">
        <is>
          <t>San Diego</t>
        </is>
      </c>
      <c r="J489" t="inlineStr">
        <is>
          <t>Palomar Rehabilitation Institute</t>
        </is>
      </c>
    </row>
    <row r="490">
      <c r="A490">
        <f>--ISNUMBER(IFERROR(SEARCH($C$5,Inputs!$D490,1),""))</f>
        <v/>
      </c>
      <c r="B490">
        <f>IF(A490=1,COUNTIF($A$6:A490,1),"")</f>
        <v/>
      </c>
      <c r="C490">
        <f>IFERROR(INDEX($D$6:$D$1750,MATCH(ROWS($B$6:B490),$B$6:$B$1750,0)),"")</f>
        <v/>
      </c>
      <c r="D490">
        <f>J490&amp;" ("&amp;E490&amp;")"</f>
        <v/>
      </c>
      <c r="E490" t="n">
        <v>18231</v>
      </c>
      <c r="F490" t="inlineStr">
        <is>
          <t>General Acute Care</t>
        </is>
      </c>
      <c r="G490" t="inlineStr">
        <is>
          <t>1111 N Nagle St</t>
        </is>
      </c>
      <c r="H490" t="inlineStr">
        <is>
          <t>Alturas</t>
        </is>
      </c>
      <c r="I490" t="inlineStr">
        <is>
          <t>Modoc</t>
        </is>
      </c>
      <c r="J490" t="inlineStr">
        <is>
          <t>Modoc Medical Center</t>
        </is>
      </c>
    </row>
    <row r="491">
      <c r="A491">
        <f>--ISNUMBER(IFERROR(SEARCH($C$5,Inputs!$D491,1),""))</f>
        <v/>
      </c>
      <c r="B491">
        <f>IF(A491=1,COUNTIF($A$6:A491,1),"")</f>
        <v/>
      </c>
      <c r="C491">
        <f>IFERROR(INDEX($D$6:$D$1750,MATCH(ROWS($B$6:B491),$B$6:$B$1750,0)),"")</f>
        <v/>
      </c>
      <c r="D491">
        <f>J491&amp;" ("&amp;E491&amp;")"</f>
        <v/>
      </c>
      <c r="E491" t="n">
        <v>18232</v>
      </c>
      <c r="F491" t="inlineStr">
        <is>
          <t>General Acute Care</t>
        </is>
      </c>
      <c r="G491" t="inlineStr">
        <is>
          <t>607 E Magnolia St</t>
        </is>
      </c>
      <c r="H491" t="inlineStr">
        <is>
          <t>Stockton</t>
        </is>
      </c>
      <c r="I491" t="inlineStr">
        <is>
          <t>San Joaquin</t>
        </is>
      </c>
      <c r="J491" t="inlineStr">
        <is>
          <t>Stockton Rehabilitation Hospital</t>
        </is>
      </c>
    </row>
    <row r="492">
      <c r="A492">
        <f>--ISNUMBER(IFERROR(SEARCH($C$5,Inputs!$D492,1),""))</f>
        <v/>
      </c>
      <c r="B492">
        <f>IF(A492=1,COUNTIF($A$6:A492,1),"")</f>
        <v/>
      </c>
      <c r="C492">
        <f>IFERROR(INDEX($D$6:$D$1750,MATCH(ROWS($B$6:B492),$B$6:$B$1750,0)),"")</f>
        <v/>
      </c>
      <c r="D492">
        <f>J492&amp;" ("&amp;E492&amp;")"</f>
        <v/>
      </c>
      <c r="E492" t="n">
        <v>20001</v>
      </c>
      <c r="F492" t="inlineStr">
        <is>
          <t>Skilled Nursing and Interm. Care Facility</t>
        </is>
      </c>
      <c r="G492" t="inlineStr">
        <is>
          <t>114 Coffee Rd</t>
        </is>
      </c>
      <c r="H492" t="inlineStr">
        <is>
          <t>Bakersfield</t>
        </is>
      </c>
      <c r="I492" t="inlineStr">
        <is>
          <t>Kern</t>
        </is>
      </c>
      <c r="J492" t="inlineStr">
        <is>
          <t>Stockdale Transitional Care Center</t>
        </is>
      </c>
    </row>
    <row r="493">
      <c r="A493">
        <f>--ISNUMBER(IFERROR(SEARCH($C$5,Inputs!$D493,1),""))</f>
        <v/>
      </c>
      <c r="B493">
        <f>IF(A493=1,COUNTIF($A$6:A493,1),"")</f>
        <v/>
      </c>
      <c r="C493">
        <f>IFERROR(INDEX($D$6:$D$1750,MATCH(ROWS($B$6:B493),$B$6:$B$1750,0)),"")</f>
        <v/>
      </c>
      <c r="D493">
        <f>J493&amp;" ("&amp;E493&amp;")"</f>
        <v/>
      </c>
      <c r="E493" t="n">
        <v>20003</v>
      </c>
      <c r="F493" t="inlineStr">
        <is>
          <t>Skilled Nursing and Interm. Care Facility</t>
        </is>
      </c>
      <c r="G493" t="inlineStr">
        <is>
          <t>811 Court Street</t>
        </is>
      </c>
      <c r="H493" t="inlineStr">
        <is>
          <t>Jackson</t>
        </is>
      </c>
      <c r="I493" t="inlineStr">
        <is>
          <t>Amador</t>
        </is>
      </c>
      <c r="J493" t="inlineStr">
        <is>
          <t>Kit Carson Nursing &amp; Rehabilitation Center</t>
        </is>
      </c>
    </row>
    <row r="494">
      <c r="A494">
        <f>--ISNUMBER(IFERROR(SEARCH($C$5,Inputs!$D494,1),""))</f>
        <v/>
      </c>
      <c r="B494">
        <f>IF(A494=1,COUNTIF($A$6:A494,1),"")</f>
        <v/>
      </c>
      <c r="C494">
        <f>IFERROR(INDEX($D$6:$D$1750,MATCH(ROWS($B$6:B494),$B$6:$B$1750,0)),"")</f>
        <v/>
      </c>
      <c r="D494">
        <f>J494&amp;" ("&amp;E494&amp;")"</f>
        <v/>
      </c>
      <c r="E494" t="n">
        <v>20005</v>
      </c>
      <c r="F494" t="inlineStr">
        <is>
          <t>Skilled Nursing and Interm. Care Facility</t>
        </is>
      </c>
      <c r="G494" t="inlineStr">
        <is>
          <t>188 Cohasset Ln</t>
        </is>
      </c>
      <c r="H494" t="inlineStr">
        <is>
          <t>Chico</t>
        </is>
      </c>
      <c r="I494" t="inlineStr">
        <is>
          <t>Butte</t>
        </is>
      </c>
      <c r="J494" t="inlineStr">
        <is>
          <t>Windsor Chico Care Center</t>
        </is>
      </c>
    </row>
    <row r="495">
      <c r="A495">
        <f>--ISNUMBER(IFERROR(SEARCH($C$5,Inputs!$D495,1),""))</f>
        <v/>
      </c>
      <c r="B495">
        <f>IF(A495=1,COUNTIF($A$6:A495,1),"")</f>
        <v/>
      </c>
      <c r="C495">
        <f>IFERROR(INDEX($D$6:$D$1750,MATCH(ROWS($B$6:B495),$B$6:$B$1750,0)),"")</f>
        <v/>
      </c>
      <c r="D495">
        <f>J495&amp;" ("&amp;E495&amp;")"</f>
        <v/>
      </c>
      <c r="E495" t="n">
        <v>20015</v>
      </c>
      <c r="F495" t="inlineStr">
        <is>
          <t>Skilled Nursing and Interm. Care Facility</t>
        </is>
      </c>
      <c r="G495" t="inlineStr">
        <is>
          <t>1 Gilmore Ln</t>
        </is>
      </c>
      <c r="H495" t="inlineStr">
        <is>
          <t>Oroville</t>
        </is>
      </c>
      <c r="I495" t="inlineStr">
        <is>
          <t>Butte</t>
        </is>
      </c>
      <c r="J495" t="inlineStr">
        <is>
          <t>Shadowbrook Post Acute</t>
        </is>
      </c>
    </row>
    <row r="496">
      <c r="A496">
        <f>--ISNUMBER(IFERROR(SEARCH($C$5,Inputs!$D496,1),""))</f>
        <v/>
      </c>
      <c r="B496">
        <f>IF(A496=1,COUNTIF($A$6:A496,1),"")</f>
        <v/>
      </c>
      <c r="C496">
        <f>IFERROR(INDEX($D$6:$D$1750,MATCH(ROWS($B$6:B496),$B$6:$B$1750,0)),"")</f>
        <v/>
      </c>
      <c r="D496">
        <f>J496&amp;" ("&amp;E496&amp;")"</f>
        <v/>
      </c>
      <c r="E496" t="n">
        <v>20024</v>
      </c>
      <c r="F496" t="inlineStr">
        <is>
          <t>Skilled Nursing and Interm. Care Facility</t>
        </is>
      </c>
      <c r="G496" t="inlineStr">
        <is>
          <t>375 Cohasset Road</t>
        </is>
      </c>
      <c r="H496" t="inlineStr">
        <is>
          <t>Chico</t>
        </is>
      </c>
      <c r="I496" t="inlineStr">
        <is>
          <t>Butte</t>
        </is>
      </c>
      <c r="J496" t="inlineStr">
        <is>
          <t>Riverside Convalescent Hospital</t>
        </is>
      </c>
    </row>
    <row r="497">
      <c r="A497">
        <f>--ISNUMBER(IFERROR(SEARCH($C$5,Inputs!$D497,1),""))</f>
        <v/>
      </c>
      <c r="B497">
        <f>IF(A497=1,COUNTIF($A$6:A497,1),"")</f>
        <v/>
      </c>
      <c r="C497">
        <f>IFERROR(INDEX($D$6:$D$1750,MATCH(ROWS($B$6:B497),$B$6:$B$1750,0)),"")</f>
        <v/>
      </c>
      <c r="D497">
        <f>J497&amp;" ("&amp;E497&amp;")"</f>
        <v/>
      </c>
      <c r="E497" t="n">
        <v>20033</v>
      </c>
      <c r="F497" t="inlineStr">
        <is>
          <t>Skilled Nursing and Interm. Care Facility</t>
        </is>
      </c>
      <c r="G497" t="inlineStr">
        <is>
          <t>1224 E St</t>
        </is>
      </c>
      <c r="H497" t="inlineStr">
        <is>
          <t>Williams</t>
        </is>
      </c>
      <c r="I497" t="inlineStr">
        <is>
          <t>Colusa</t>
        </is>
      </c>
      <c r="J497" t="inlineStr">
        <is>
          <t>Valley West Post Acute</t>
        </is>
      </c>
    </row>
    <row r="498">
      <c r="A498">
        <f>--ISNUMBER(IFERROR(SEARCH($C$5,Inputs!$D498,1),""))</f>
        <v/>
      </c>
      <c r="B498">
        <f>IF(A498=1,COUNTIF($A$6:A498,1),"")</f>
        <v/>
      </c>
      <c r="C498">
        <f>IFERROR(INDEX($D$6:$D$1750,MATCH(ROWS($B$6:B498),$B$6:$B$1750,0)),"")</f>
        <v/>
      </c>
      <c r="D498">
        <f>J498&amp;" ("&amp;E498&amp;")"</f>
        <v/>
      </c>
      <c r="E498" t="n">
        <v>20034</v>
      </c>
      <c r="F498" t="inlineStr">
        <is>
          <t>Skilled Nursing and Interm. Care Facility</t>
        </is>
      </c>
      <c r="G498" t="inlineStr">
        <is>
          <t>331 Ilene Street</t>
        </is>
      </c>
      <c r="H498" t="inlineStr">
        <is>
          <t>Martinez</t>
        </is>
      </c>
      <c r="I498" t="inlineStr">
        <is>
          <t>Contra Costa</t>
        </is>
      </c>
      <c r="J498" t="inlineStr">
        <is>
          <t>Alhambra Convalescent Hospital</t>
        </is>
      </c>
    </row>
    <row r="499">
      <c r="A499">
        <f>--ISNUMBER(IFERROR(SEARCH($C$5,Inputs!$D499,1),""))</f>
        <v/>
      </c>
      <c r="B499">
        <f>IF(A499=1,COUNTIF($A$6:A499,1),"")</f>
        <v/>
      </c>
      <c r="C499">
        <f>IFERROR(INDEX($D$6:$D$1750,MATCH(ROWS($B$6:B499),$B$6:$B$1750,0)),"")</f>
        <v/>
      </c>
      <c r="D499">
        <f>J499&amp;" ("&amp;E499&amp;")"</f>
        <v/>
      </c>
      <c r="E499" t="n">
        <v>20035</v>
      </c>
      <c r="F499" t="inlineStr">
        <is>
          <t>Skilled Nursing and Interm. Care Facility</t>
        </is>
      </c>
      <c r="G499" t="inlineStr">
        <is>
          <t>1210 A Street</t>
        </is>
      </c>
      <c r="H499" t="inlineStr">
        <is>
          <t>Antioch</t>
        </is>
      </c>
      <c r="I499" t="inlineStr">
        <is>
          <t>Contra Costa</t>
        </is>
      </c>
      <c r="J499" t="inlineStr">
        <is>
          <t>Delta View Post Acute</t>
        </is>
      </c>
    </row>
    <row r="500">
      <c r="A500">
        <f>--ISNUMBER(IFERROR(SEARCH($C$5,Inputs!$D500,1),""))</f>
        <v/>
      </c>
      <c r="B500">
        <f>IF(A500=1,COUNTIF($A$6:A500,1),"")</f>
        <v/>
      </c>
      <c r="C500">
        <f>IFERROR(INDEX($D$6:$D$1750,MATCH(ROWS($B$6:B500),$B$6:$B$1750,0)),"")</f>
        <v/>
      </c>
      <c r="D500">
        <f>J500&amp;" ("&amp;E500&amp;")"</f>
        <v/>
      </c>
      <c r="E500" t="n">
        <v>20038</v>
      </c>
      <c r="F500" t="inlineStr">
        <is>
          <t>Skilled Nursing and Interm. Care Facility</t>
        </is>
      </c>
      <c r="G500" t="inlineStr">
        <is>
          <t>2850 Herndon Ave</t>
        </is>
      </c>
      <c r="H500" t="inlineStr">
        <is>
          <t>Clovis</t>
        </is>
      </c>
      <c r="I500" t="inlineStr">
        <is>
          <t>Fresno</t>
        </is>
      </c>
      <c r="J500" t="inlineStr">
        <is>
          <t>Clovis Community Skilled Nursing and Sub-Acute Facility</t>
        </is>
      </c>
    </row>
    <row r="501">
      <c r="A501">
        <f>--ISNUMBER(IFERROR(SEARCH($C$5,Inputs!$D501,1),""))</f>
        <v/>
      </c>
      <c r="B501">
        <f>IF(A501=1,COUNTIF($A$6:A501,1),"")</f>
        <v/>
      </c>
      <c r="C501">
        <f>IFERROR(INDEX($D$6:$D$1750,MATCH(ROWS($B$6:B501),$B$6:$B$1750,0)),"")</f>
        <v/>
      </c>
      <c r="D501">
        <f>J501&amp;" ("&amp;E501&amp;")"</f>
        <v/>
      </c>
      <c r="E501" t="n">
        <v>20039</v>
      </c>
      <c r="F501" t="inlineStr">
        <is>
          <t>Skilled Nursing and Interm. Care Facility</t>
        </is>
      </c>
      <c r="G501" t="inlineStr">
        <is>
          <t>13328 San Pablo Avenue</t>
        </is>
      </c>
      <c r="H501" t="inlineStr">
        <is>
          <t>San Pablo</t>
        </is>
      </c>
      <c r="I501" t="inlineStr">
        <is>
          <t>Contra Costa</t>
        </is>
      </c>
      <c r="J501" t="inlineStr">
        <is>
          <t>San Pablo Healthcare &amp; Wellness Center</t>
        </is>
      </c>
    </row>
    <row r="502">
      <c r="A502">
        <f>--ISNUMBER(IFERROR(SEARCH($C$5,Inputs!$D502,1),""))</f>
        <v/>
      </c>
      <c r="B502">
        <f>IF(A502=1,COUNTIF($A$6:A502,1),"")</f>
        <v/>
      </c>
      <c r="C502">
        <f>IFERROR(INDEX($D$6:$D$1750,MATCH(ROWS($B$6:B502),$B$6:$B$1750,0)),"")</f>
        <v/>
      </c>
      <c r="D502">
        <f>J502&amp;" ("&amp;E502&amp;")"</f>
        <v/>
      </c>
      <c r="E502" t="n">
        <v>20040</v>
      </c>
      <c r="F502" t="inlineStr">
        <is>
          <t>Skilled Nursing and Interm. Care Facility</t>
        </is>
      </c>
      <c r="G502" t="inlineStr">
        <is>
          <t>13484 San Pablo Avenue</t>
        </is>
      </c>
      <c r="H502" t="inlineStr">
        <is>
          <t>San Pablo</t>
        </is>
      </c>
      <c r="I502" t="inlineStr">
        <is>
          <t>Contra Costa</t>
        </is>
      </c>
      <c r="J502" t="inlineStr">
        <is>
          <t>Vale Healthcare Center</t>
        </is>
      </c>
    </row>
    <row r="503">
      <c r="A503">
        <f>--ISNUMBER(IFERROR(SEARCH($C$5,Inputs!$D503,1),""))</f>
        <v/>
      </c>
      <c r="B503">
        <f>IF(A503=1,COUNTIF($A$6:A503,1),"")</f>
        <v/>
      </c>
      <c r="C503">
        <f>IFERROR(INDEX($D$6:$D$1750,MATCH(ROWS($B$6:B503),$B$6:$B$1750,0)),"")</f>
        <v/>
      </c>
      <c r="D503">
        <f>J503&amp;" ("&amp;E503&amp;")"</f>
        <v/>
      </c>
      <c r="E503" t="n">
        <v>20043</v>
      </c>
      <c r="F503" t="inlineStr">
        <is>
          <t>Skilled Nursing and Interm. Care Facility</t>
        </is>
      </c>
      <c r="G503" t="inlineStr">
        <is>
          <t>3230 Carlson Boulevard</t>
        </is>
      </c>
      <c r="H503" t="inlineStr">
        <is>
          <t>El Cerrito</t>
        </is>
      </c>
      <c r="I503" t="inlineStr">
        <is>
          <t>Contra Costa</t>
        </is>
      </c>
      <c r="J503" t="inlineStr">
        <is>
          <t>Shields Nursing Center</t>
        </is>
      </c>
    </row>
    <row r="504">
      <c r="A504">
        <f>--ISNUMBER(IFERROR(SEARCH($C$5,Inputs!$D504,1),""))</f>
        <v/>
      </c>
      <c r="B504">
        <f>IF(A504=1,COUNTIF($A$6:A504,1),"")</f>
        <v/>
      </c>
      <c r="C504">
        <f>IFERROR(INDEX($D$6:$D$1750,MATCH(ROWS($B$6:B504),$B$6:$B$1750,0)),"")</f>
        <v/>
      </c>
      <c r="D504">
        <f>J504&amp;" ("&amp;E504&amp;")"</f>
        <v/>
      </c>
      <c r="E504" t="n">
        <v>20050</v>
      </c>
      <c r="F504" t="inlineStr">
        <is>
          <t>Skilled Nursing and Interm. Care Facility</t>
        </is>
      </c>
      <c r="G504" t="inlineStr">
        <is>
          <t>1900 Church Lane</t>
        </is>
      </c>
      <c r="H504" t="inlineStr">
        <is>
          <t>San Pablo</t>
        </is>
      </c>
      <c r="I504" t="inlineStr">
        <is>
          <t>Contra Costa</t>
        </is>
      </c>
      <c r="J504" t="inlineStr">
        <is>
          <t>Creekside Healthcare Center</t>
        </is>
      </c>
    </row>
    <row r="505">
      <c r="A505">
        <f>--ISNUMBER(IFERROR(SEARCH($C$5,Inputs!$D505,1),""))</f>
        <v/>
      </c>
      <c r="B505">
        <f>IF(A505=1,COUNTIF($A$6:A505,1),"")</f>
        <v/>
      </c>
      <c r="C505">
        <f>IFERROR(INDEX($D$6:$D$1750,MATCH(ROWS($B$6:B505),$B$6:$B$1750,0)),"")</f>
        <v/>
      </c>
      <c r="D505">
        <f>J505&amp;" ("&amp;E505&amp;")"</f>
        <v/>
      </c>
      <c r="E505" t="n">
        <v>20051</v>
      </c>
      <c r="F505" t="inlineStr">
        <is>
          <t>Skilled Nursing and Interm. Care Facility</t>
        </is>
      </c>
      <c r="G505" t="inlineStr">
        <is>
          <t>348 Rheem Boulevard</t>
        </is>
      </c>
      <c r="H505" t="inlineStr">
        <is>
          <t>Moraga</t>
        </is>
      </c>
      <c r="I505" t="inlineStr">
        <is>
          <t>Contra Costa</t>
        </is>
      </c>
      <c r="J505" t="inlineStr">
        <is>
          <t>Moraga Post Acute</t>
        </is>
      </c>
    </row>
    <row r="506">
      <c r="A506">
        <f>--ISNUMBER(IFERROR(SEARCH($C$5,Inputs!$D506,1),""))</f>
        <v/>
      </c>
      <c r="B506">
        <f>IF(A506=1,COUNTIF($A$6:A506,1),"")</f>
        <v/>
      </c>
      <c r="C506">
        <f>IFERROR(INDEX($D$6:$D$1750,MATCH(ROWS($B$6:B506),$B$6:$B$1750,0)),"")</f>
        <v/>
      </c>
      <c r="D506">
        <f>J506&amp;" ("&amp;E506&amp;")"</f>
        <v/>
      </c>
      <c r="E506" t="n">
        <v>20053</v>
      </c>
      <c r="F506" t="inlineStr">
        <is>
          <t>Skilled Nursing and Interm. Care Facility</t>
        </is>
      </c>
      <c r="G506" t="inlineStr">
        <is>
          <t>336 Diablo Road</t>
        </is>
      </c>
      <c r="H506" t="inlineStr">
        <is>
          <t>Danville</t>
        </is>
      </c>
      <c r="I506" t="inlineStr">
        <is>
          <t>Contra Costa</t>
        </is>
      </c>
      <c r="J506" t="inlineStr">
        <is>
          <t>Danville Post-Acute Rehab</t>
        </is>
      </c>
    </row>
    <row r="507">
      <c r="A507">
        <f>--ISNUMBER(IFERROR(SEARCH($C$5,Inputs!$D507,1),""))</f>
        <v/>
      </c>
      <c r="B507">
        <f>IF(A507=1,COUNTIF($A$6:A507,1),"")</f>
        <v/>
      </c>
      <c r="C507">
        <f>IFERROR(INDEX($D$6:$D$1750,MATCH(ROWS($B$6:B507),$B$6:$B$1750,0)),"")</f>
        <v/>
      </c>
      <c r="D507">
        <f>J507&amp;" ("&amp;E507&amp;")"</f>
        <v/>
      </c>
      <c r="E507" t="n">
        <v>20060</v>
      </c>
      <c r="F507" t="inlineStr">
        <is>
          <t>Skilled Nursing and Interm. Care Facility</t>
        </is>
      </c>
      <c r="G507" t="inlineStr">
        <is>
          <t>4001 Lone Tree Way</t>
        </is>
      </c>
      <c r="H507" t="inlineStr">
        <is>
          <t>Antioch</t>
        </is>
      </c>
      <c r="I507" t="inlineStr">
        <is>
          <t>Contra Costa</t>
        </is>
      </c>
      <c r="J507" t="inlineStr">
        <is>
          <t>Lone Tree Post Acute</t>
        </is>
      </c>
    </row>
    <row r="508">
      <c r="A508">
        <f>--ISNUMBER(IFERROR(SEARCH($C$5,Inputs!$D508,1),""))</f>
        <v/>
      </c>
      <c r="B508">
        <f>IF(A508=1,COUNTIF($A$6:A508,1),"")</f>
        <v/>
      </c>
      <c r="C508">
        <f>IFERROR(INDEX($D$6:$D$1750,MATCH(ROWS($B$6:B508),$B$6:$B$1750,0)),"")</f>
        <v/>
      </c>
      <c r="D508">
        <f>J508&amp;" ("&amp;E508&amp;")"</f>
        <v/>
      </c>
      <c r="E508" t="n">
        <v>20062</v>
      </c>
      <c r="F508" t="inlineStr">
        <is>
          <t>Skilled Nursing and Interm. Care Facility</t>
        </is>
      </c>
      <c r="G508" t="inlineStr">
        <is>
          <t>2150 Pyramid Drive</t>
        </is>
      </c>
      <c r="H508" t="inlineStr">
        <is>
          <t>El Sobrante</t>
        </is>
      </c>
      <c r="I508" t="inlineStr">
        <is>
          <t>Contra Costa</t>
        </is>
      </c>
      <c r="J508" t="inlineStr">
        <is>
          <t>Greenridge Post Acute</t>
        </is>
      </c>
    </row>
    <row r="509">
      <c r="A509">
        <f>--ISNUMBER(IFERROR(SEARCH($C$5,Inputs!$D509,1),""))</f>
        <v/>
      </c>
      <c r="B509">
        <f>IF(A509=1,COUNTIF($A$6:A509,1),"")</f>
        <v/>
      </c>
      <c r="C509">
        <f>IFERROR(INDEX($D$6:$D$1750,MATCH(ROWS($B$6:B509),$B$6:$B$1750,0)),"")</f>
        <v/>
      </c>
      <c r="D509">
        <f>J509&amp;" ("&amp;E509&amp;")"</f>
        <v/>
      </c>
      <c r="E509" t="n">
        <v>20064</v>
      </c>
      <c r="F509" t="inlineStr">
        <is>
          <t>Skilled Nursing and Interm. Care Facility</t>
        </is>
      </c>
      <c r="G509" t="inlineStr">
        <is>
          <t>3318 Willow Pass Road</t>
        </is>
      </c>
      <c r="H509" t="inlineStr">
        <is>
          <t>Concord</t>
        </is>
      </c>
      <c r="I509" t="inlineStr">
        <is>
          <t>Contra Costa</t>
        </is>
      </c>
      <c r="J509" t="inlineStr">
        <is>
          <t>Willow Pass Healthcare Center</t>
        </is>
      </c>
    </row>
    <row r="510">
      <c r="A510">
        <f>--ISNUMBER(IFERROR(SEARCH($C$5,Inputs!$D510,1),""))</f>
        <v/>
      </c>
      <c r="B510">
        <f>IF(A510=1,COUNTIF($A$6:A510,1),"")</f>
        <v/>
      </c>
      <c r="C510">
        <f>IFERROR(INDEX($D$6:$D$1750,MATCH(ROWS($B$6:B510),$B$6:$B$1750,0)),"")</f>
        <v/>
      </c>
      <c r="D510">
        <f>J510&amp;" ("&amp;E510&amp;")"</f>
        <v/>
      </c>
      <c r="E510" t="n">
        <v>20071</v>
      </c>
      <c r="F510" t="inlineStr">
        <is>
          <t>Skilled Nursing and Interm. Care Facility</t>
        </is>
      </c>
      <c r="G510" t="inlineStr">
        <is>
          <t>250 Conference Center Dr</t>
        </is>
      </c>
      <c r="H510" t="inlineStr">
        <is>
          <t>Roseville</t>
        </is>
      </c>
      <c r="I510" t="inlineStr">
        <is>
          <t>Placer</t>
        </is>
      </c>
      <c r="J510" t="inlineStr">
        <is>
          <t>Roseville Post Acute</t>
        </is>
      </c>
    </row>
    <row r="511">
      <c r="A511">
        <f>--ISNUMBER(IFERROR(SEARCH($C$5,Inputs!$D511,1),""))</f>
        <v/>
      </c>
      <c r="B511">
        <f>IF(A511=1,COUNTIF($A$6:A511,1),"")</f>
        <v/>
      </c>
      <c r="C511">
        <f>IFERROR(INDEX($D$6:$D$1750,MATCH(ROWS($B$6:B511),$B$6:$B$1750,0)),"")</f>
        <v/>
      </c>
      <c r="D511">
        <f>J511&amp;" ("&amp;E511&amp;")"</f>
        <v/>
      </c>
      <c r="E511" t="n">
        <v>20077</v>
      </c>
      <c r="F511" t="inlineStr">
        <is>
          <t>Skilled Nursing and Interm. Care Facility</t>
        </is>
      </c>
      <c r="G511" t="inlineStr">
        <is>
          <t>1790 Muir Road</t>
        </is>
      </c>
      <c r="H511" t="inlineStr">
        <is>
          <t>Martinez</t>
        </is>
      </c>
      <c r="I511" t="inlineStr">
        <is>
          <t>Contra Costa</t>
        </is>
      </c>
      <c r="J511" t="inlineStr">
        <is>
          <t>Legacy Post Acute Care</t>
        </is>
      </c>
    </row>
    <row r="512">
      <c r="A512">
        <f>--ISNUMBER(IFERROR(SEARCH($C$5,Inputs!$D512,1),""))</f>
        <v/>
      </c>
      <c r="B512">
        <f>IF(A512=1,COUNTIF($A$6:A512,1),"")</f>
        <v/>
      </c>
      <c r="C512">
        <f>IFERROR(INDEX($D$6:$D$1750,MATCH(ROWS($B$6:B512),$B$6:$B$1750,0)),"")</f>
        <v/>
      </c>
      <c r="D512">
        <f>J512&amp;" ("&amp;E512&amp;")"</f>
        <v/>
      </c>
      <c r="E512" t="n">
        <v>20083</v>
      </c>
      <c r="F512" t="inlineStr">
        <is>
          <t>Skilled Nursing and Interm. Care Facility</t>
        </is>
      </c>
      <c r="G512" t="inlineStr">
        <is>
          <t>1625 Oak Park Boulevard</t>
        </is>
      </c>
      <c r="H512" t="inlineStr">
        <is>
          <t>Pleasant Hill</t>
        </is>
      </c>
      <c r="I512" t="inlineStr">
        <is>
          <t>Contra Costa</t>
        </is>
      </c>
      <c r="J512" t="inlineStr">
        <is>
          <t>Pleasant Hill Post Acute</t>
        </is>
      </c>
    </row>
    <row r="513">
      <c r="A513">
        <f>--ISNUMBER(IFERROR(SEARCH($C$5,Inputs!$D513,1),""))</f>
        <v/>
      </c>
      <c r="B513">
        <f>IF(A513=1,COUNTIF($A$6:A513,1),"")</f>
        <v/>
      </c>
      <c r="C513">
        <f>IFERROR(INDEX($D$6:$D$1750,MATCH(ROWS($B$6:B513),$B$6:$B$1750,0)),"")</f>
        <v/>
      </c>
      <c r="D513">
        <f>J513&amp;" ("&amp;E513&amp;")"</f>
        <v/>
      </c>
      <c r="E513" t="n">
        <v>20084</v>
      </c>
      <c r="F513" t="inlineStr">
        <is>
          <t>Skilled Nursing and Interm. Care Facility</t>
        </is>
      </c>
      <c r="G513" t="inlineStr">
        <is>
          <t>11 Altarinda Road</t>
        </is>
      </c>
      <c r="H513" t="inlineStr">
        <is>
          <t>Orinda</t>
        </is>
      </c>
      <c r="I513" t="inlineStr">
        <is>
          <t>Contra Costa</t>
        </is>
      </c>
      <c r="J513" t="inlineStr">
        <is>
          <t>Orinda Care Center, LLC</t>
        </is>
      </c>
    </row>
    <row r="514">
      <c r="A514">
        <f>--ISNUMBER(IFERROR(SEARCH($C$5,Inputs!$D514,1),""))</f>
        <v/>
      </c>
      <c r="B514">
        <f>IF(A514=1,COUNTIF($A$6:A514,1),"")</f>
        <v/>
      </c>
      <c r="C514">
        <f>IFERROR(INDEX($D$6:$D$1750,MATCH(ROWS($B$6:B514),$B$6:$B$1750,0)),"")</f>
        <v/>
      </c>
      <c r="D514">
        <f>J514&amp;" ("&amp;E514&amp;")"</f>
        <v/>
      </c>
      <c r="E514" t="n">
        <v>20086</v>
      </c>
      <c r="F514" t="inlineStr">
        <is>
          <t>Skilled Nursing and Interm. Care Facility</t>
        </is>
      </c>
      <c r="G514" t="inlineStr">
        <is>
          <t>535 School Street</t>
        </is>
      </c>
      <c r="H514" t="inlineStr">
        <is>
          <t>Pittsburg</t>
        </is>
      </c>
      <c r="I514" t="inlineStr">
        <is>
          <t>Contra Costa</t>
        </is>
      </c>
      <c r="J514" t="inlineStr">
        <is>
          <t>Pittsburg Skilled Nursing Center</t>
        </is>
      </c>
    </row>
    <row r="515">
      <c r="A515">
        <f>--ISNUMBER(IFERROR(SEARCH($C$5,Inputs!$D515,1),""))</f>
        <v/>
      </c>
      <c r="B515">
        <f>IF(A515=1,COUNTIF($A$6:A515,1),"")</f>
        <v/>
      </c>
      <c r="C515">
        <f>IFERROR(INDEX($D$6:$D$1750,MATCH(ROWS($B$6:B515),$B$6:$B$1750,0)),"")</f>
        <v/>
      </c>
      <c r="D515">
        <f>J515&amp;" ("&amp;E515&amp;")"</f>
        <v/>
      </c>
      <c r="E515" t="n">
        <v>20087</v>
      </c>
      <c r="F515" t="inlineStr">
        <is>
          <t>Skilled Nursing and Interm. Care Facility</t>
        </is>
      </c>
      <c r="G515" t="inlineStr">
        <is>
          <t>1911 Oak Park Blvd</t>
        </is>
      </c>
      <c r="H515" t="inlineStr">
        <is>
          <t>Pleasant Hill</t>
        </is>
      </c>
      <c r="I515" t="inlineStr">
        <is>
          <t>Contra Costa</t>
        </is>
      </c>
      <c r="J515" t="inlineStr">
        <is>
          <t>Windsor Rosewood Care Center</t>
        </is>
      </c>
    </row>
    <row r="516">
      <c r="A516">
        <f>--ISNUMBER(IFERROR(SEARCH($C$5,Inputs!$D516,1),""))</f>
        <v/>
      </c>
      <c r="B516">
        <f>IF(A516=1,COUNTIF($A$6:A516,1),"")</f>
        <v/>
      </c>
      <c r="C516">
        <f>IFERROR(INDEX($D$6:$D$1750,MATCH(ROWS($B$6:B516),$B$6:$B$1750,0)),"")</f>
        <v/>
      </c>
      <c r="D516">
        <f>J516&amp;" ("&amp;E516&amp;")"</f>
        <v/>
      </c>
      <c r="E516" t="n">
        <v>20090</v>
      </c>
      <c r="F516" t="inlineStr">
        <is>
          <t>Skilled Nursing and Interm. Care Facility</t>
        </is>
      </c>
      <c r="G516" t="inlineStr">
        <is>
          <t>1919 Cutting Boulevard</t>
        </is>
      </c>
      <c r="H516" t="inlineStr">
        <is>
          <t>Richmond</t>
        </is>
      </c>
      <c r="I516" t="inlineStr">
        <is>
          <t>Contra Costa</t>
        </is>
      </c>
      <c r="J516" t="inlineStr">
        <is>
          <t>Shields Richmond Nursing Center</t>
        </is>
      </c>
    </row>
    <row r="517">
      <c r="A517">
        <f>--ISNUMBER(IFERROR(SEARCH($C$5,Inputs!$D517,1),""))</f>
        <v/>
      </c>
      <c r="B517">
        <f>IF(A517=1,COUNTIF($A$6:A517,1),"")</f>
        <v/>
      </c>
      <c r="C517">
        <f>IFERROR(INDEX($D$6:$D$1750,MATCH(ROWS($B$6:B517),$B$6:$B$1750,0)),"")</f>
        <v/>
      </c>
      <c r="D517">
        <f>J517&amp;" ("&amp;E517&amp;")"</f>
        <v/>
      </c>
      <c r="E517" t="n">
        <v>20094</v>
      </c>
      <c r="F517" t="inlineStr">
        <is>
          <t>Skilled Nursing and Interm. Care Facility</t>
        </is>
      </c>
      <c r="G517" t="inlineStr">
        <is>
          <t>3806 Clayton Road</t>
        </is>
      </c>
      <c r="H517" t="inlineStr">
        <is>
          <t>Concord</t>
        </is>
      </c>
      <c r="I517" t="inlineStr">
        <is>
          <t>Contra Costa</t>
        </is>
      </c>
      <c r="J517" t="inlineStr">
        <is>
          <t>Windsor Manor Rehabilitation Center Of Concord</t>
        </is>
      </c>
    </row>
    <row r="518">
      <c r="A518">
        <f>--ISNUMBER(IFERROR(SEARCH($C$5,Inputs!$D518,1),""))</f>
        <v/>
      </c>
      <c r="B518">
        <f>IF(A518=1,COUNTIF($A$6:A518,1),"")</f>
        <v/>
      </c>
      <c r="C518">
        <f>IFERROR(INDEX($D$6:$D$1750,MATCH(ROWS($B$6:B518),$B$6:$B$1750,0)),"")</f>
        <v/>
      </c>
      <c r="D518">
        <f>J518&amp;" ("&amp;E518&amp;")"</f>
        <v/>
      </c>
      <c r="E518" t="n">
        <v>20096</v>
      </c>
      <c r="F518" t="inlineStr">
        <is>
          <t>Skilled Nursing and Interm. Care Facility</t>
        </is>
      </c>
      <c r="G518" t="inlineStr">
        <is>
          <t>955 23rd Street</t>
        </is>
      </c>
      <c r="H518" t="inlineStr">
        <is>
          <t>Richmond</t>
        </is>
      </c>
      <c r="I518" t="inlineStr">
        <is>
          <t>Contra Costa</t>
        </is>
      </c>
      <c r="J518" t="inlineStr">
        <is>
          <t>Richmond Post Acute Care</t>
        </is>
      </c>
    </row>
    <row r="519">
      <c r="A519">
        <f>--ISNUMBER(IFERROR(SEARCH($C$5,Inputs!$D519,1),""))</f>
        <v/>
      </c>
      <c r="B519">
        <f>IF(A519=1,COUNTIF($A$6:A519,1),"")</f>
        <v/>
      </c>
      <c r="C519">
        <f>IFERROR(INDEX($D$6:$D$1750,MATCH(ROWS($B$6:B519),$B$6:$B$1750,0)),"")</f>
        <v/>
      </c>
      <c r="D519">
        <f>J519&amp;" ("&amp;E519&amp;")"</f>
        <v/>
      </c>
      <c r="E519" t="n">
        <v>20103</v>
      </c>
      <c r="F519" t="inlineStr">
        <is>
          <t>Skilled Nursing and Interm. Care Facility</t>
        </is>
      </c>
      <c r="G519" t="inlineStr">
        <is>
          <t>1449 Ygnacio Valley Road</t>
        </is>
      </c>
      <c r="H519" t="inlineStr">
        <is>
          <t>Walnut Creek</t>
        </is>
      </c>
      <c r="I519" t="inlineStr">
        <is>
          <t>Contra Costa</t>
        </is>
      </c>
      <c r="J519" t="inlineStr">
        <is>
          <t>La Casa Via Transitional Care Center</t>
        </is>
      </c>
    </row>
    <row r="520">
      <c r="A520">
        <f>--ISNUMBER(IFERROR(SEARCH($C$5,Inputs!$D520,1),""))</f>
        <v/>
      </c>
      <c r="B520">
        <f>IF(A520=1,COUNTIF($A$6:A520,1),"")</f>
        <v/>
      </c>
      <c r="C520">
        <f>IFERROR(INDEX($D$6:$D$1750,MATCH(ROWS($B$6:B520),$B$6:$B$1750,0)),"")</f>
        <v/>
      </c>
      <c r="D520">
        <f>J520&amp;" ("&amp;E520&amp;")"</f>
        <v/>
      </c>
      <c r="E520" t="n">
        <v>20114</v>
      </c>
      <c r="F520" t="inlineStr">
        <is>
          <t>Skilled Nursing and Interm. Care Facility</t>
        </is>
      </c>
      <c r="G520" t="inlineStr">
        <is>
          <t>1040 Marshall Way</t>
        </is>
      </c>
      <c r="H520" t="inlineStr">
        <is>
          <t>Placerville</t>
        </is>
      </c>
      <c r="I520" t="inlineStr">
        <is>
          <t>El Dorado</t>
        </is>
      </c>
      <c r="J520" t="inlineStr">
        <is>
          <t>The Pines at Placerville Healthcare Center</t>
        </is>
      </c>
    </row>
    <row r="521">
      <c r="A521">
        <f>--ISNUMBER(IFERROR(SEARCH($C$5,Inputs!$D521,1),""))</f>
        <v/>
      </c>
      <c r="B521">
        <f>IF(A521=1,COUNTIF($A$6:A521,1),"")</f>
        <v/>
      </c>
      <c r="C521">
        <f>IFERROR(INDEX($D$6:$D$1750,MATCH(ROWS($B$6:B521),$B$6:$B$1750,0)),"")</f>
        <v/>
      </c>
      <c r="D521">
        <f>J521&amp;" ("&amp;E521&amp;")"</f>
        <v/>
      </c>
      <c r="E521" t="n">
        <v>20116</v>
      </c>
      <c r="F521" t="inlineStr">
        <is>
          <t>Skilled Nursing and Interm. Care Facility</t>
        </is>
      </c>
      <c r="G521" t="inlineStr">
        <is>
          <t>2280 Dockery Avenue</t>
        </is>
      </c>
      <c r="H521" t="inlineStr">
        <is>
          <t>Selma</t>
        </is>
      </c>
      <c r="I521" t="inlineStr">
        <is>
          <t>Fresno</t>
        </is>
      </c>
      <c r="J521" t="inlineStr">
        <is>
          <t>Bethel Lutheran Home, Inc.</t>
        </is>
      </c>
    </row>
    <row r="522">
      <c r="A522">
        <f>--ISNUMBER(IFERROR(SEARCH($C$5,Inputs!$D522,1),""))</f>
        <v/>
      </c>
      <c r="B522">
        <f>IF(A522=1,COUNTIF($A$6:A522,1),"")</f>
        <v/>
      </c>
      <c r="C522">
        <f>IFERROR(INDEX($D$6:$D$1750,MATCH(ROWS($B$6:B522),$B$6:$B$1750,0)),"")</f>
        <v/>
      </c>
      <c r="D522">
        <f>J522&amp;" ("&amp;E522&amp;")"</f>
        <v/>
      </c>
      <c r="E522" t="n">
        <v>20117</v>
      </c>
      <c r="F522" t="inlineStr">
        <is>
          <t>Skilled Nursing and Interm. Care Facility</t>
        </is>
      </c>
      <c r="G522" t="inlineStr">
        <is>
          <t>6720 East Kings Canyon Road</t>
        </is>
      </c>
      <c r="H522" t="inlineStr">
        <is>
          <t>Fresno</t>
        </is>
      </c>
      <c r="I522" t="inlineStr">
        <is>
          <t>Fresno</t>
        </is>
      </c>
      <c r="J522" t="inlineStr">
        <is>
          <t>California Home For The Aged, Inc.</t>
        </is>
      </c>
    </row>
    <row r="523">
      <c r="A523">
        <f>--ISNUMBER(IFERROR(SEARCH($C$5,Inputs!$D523,1),""))</f>
        <v/>
      </c>
      <c r="B523">
        <f>IF(A523=1,COUNTIF($A$6:A523,1),"")</f>
        <v/>
      </c>
      <c r="C523">
        <f>IFERROR(INDEX($D$6:$D$1750,MATCH(ROWS($B$6:B523),$B$6:$B$1750,0)),"")</f>
        <v/>
      </c>
      <c r="D523">
        <f>J523&amp;" ("&amp;E523&amp;")"</f>
        <v/>
      </c>
      <c r="E523" t="n">
        <v>20118</v>
      </c>
      <c r="F523" t="inlineStr">
        <is>
          <t>Skilled Nursing and Interm. Care Facility</t>
        </is>
      </c>
      <c r="G523" t="inlineStr">
        <is>
          <t>111 Barstow Ave</t>
        </is>
      </c>
      <c r="H523" t="inlineStr">
        <is>
          <t>Clovis</t>
        </is>
      </c>
      <c r="I523" t="inlineStr">
        <is>
          <t>Fresno</t>
        </is>
      </c>
      <c r="J523" t="inlineStr">
        <is>
          <t>Gateway Care Center</t>
        </is>
      </c>
    </row>
    <row r="524">
      <c r="A524">
        <f>--ISNUMBER(IFERROR(SEARCH($C$5,Inputs!$D524,1),""))</f>
        <v/>
      </c>
      <c r="B524">
        <f>IF(A524=1,COUNTIF($A$6:A524,1),"")</f>
        <v/>
      </c>
      <c r="C524">
        <f>IFERROR(INDEX($D$6:$D$1750,MATCH(ROWS($B$6:B524),$B$6:$B$1750,0)),"")</f>
        <v/>
      </c>
      <c r="D524">
        <f>J524&amp;" ("&amp;E524&amp;")"</f>
        <v/>
      </c>
      <c r="E524" t="n">
        <v>20123</v>
      </c>
      <c r="F524" t="inlineStr">
        <is>
          <t>Skilled Nursing and Interm. Care Facility</t>
        </is>
      </c>
      <c r="G524" t="inlineStr">
        <is>
          <t>925 N Cornelia Ave</t>
        </is>
      </c>
      <c r="H524" t="inlineStr">
        <is>
          <t>Fresno</t>
        </is>
      </c>
      <c r="I524" t="inlineStr">
        <is>
          <t>Fresno</t>
        </is>
      </c>
      <c r="J524" t="inlineStr">
        <is>
          <t>Countryside Care Center</t>
        </is>
      </c>
    </row>
    <row r="525">
      <c r="A525">
        <f>--ISNUMBER(IFERROR(SEARCH($C$5,Inputs!$D525,1),""))</f>
        <v/>
      </c>
      <c r="B525">
        <f>IF(A525=1,COUNTIF($A$6:A525,1),"")</f>
        <v/>
      </c>
      <c r="C525">
        <f>IFERROR(INDEX($D$6:$D$1750,MATCH(ROWS($B$6:B525),$B$6:$B$1750,0)),"")</f>
        <v/>
      </c>
      <c r="D525">
        <f>J525&amp;" ("&amp;E525&amp;")"</f>
        <v/>
      </c>
      <c r="E525" t="n">
        <v>20126</v>
      </c>
      <c r="F525" t="inlineStr">
        <is>
          <t>Skilled Nursing and Interm. Care Facility</t>
        </is>
      </c>
      <c r="G525" t="inlineStr">
        <is>
          <t>1306 E Sumner Ave</t>
        </is>
      </c>
      <c r="H525" t="inlineStr">
        <is>
          <t>Fowler</t>
        </is>
      </c>
      <c r="I525" t="inlineStr">
        <is>
          <t>Fresno</t>
        </is>
      </c>
      <c r="J525" t="inlineStr">
        <is>
          <t>Fowler Post Acute</t>
        </is>
      </c>
    </row>
    <row r="526">
      <c r="A526">
        <f>--ISNUMBER(IFERROR(SEARCH($C$5,Inputs!$D526,1),""))</f>
        <v/>
      </c>
      <c r="B526">
        <f>IF(A526=1,COUNTIF($A$6:A526,1),"")</f>
        <v/>
      </c>
      <c r="C526">
        <f>IFERROR(INDEX($D$6:$D$1750,MATCH(ROWS($B$6:B526),$B$6:$B$1750,0)),"")</f>
        <v/>
      </c>
      <c r="D526">
        <f>J526&amp;" ("&amp;E526&amp;")"</f>
        <v/>
      </c>
      <c r="E526" t="n">
        <v>20128</v>
      </c>
      <c r="F526" t="inlineStr">
        <is>
          <t>Skilled Nursing and Interm. Care Facility</t>
        </is>
      </c>
      <c r="G526" t="inlineStr">
        <is>
          <t>3003 North Mariposa Street</t>
        </is>
      </c>
      <c r="H526" t="inlineStr">
        <is>
          <t>Fresno</t>
        </is>
      </c>
      <c r="I526" t="inlineStr">
        <is>
          <t>Fresno</t>
        </is>
      </c>
      <c r="J526" t="inlineStr">
        <is>
          <t>Community Subacute and Transitional Care Center</t>
        </is>
      </c>
    </row>
    <row r="527">
      <c r="A527">
        <f>--ISNUMBER(IFERROR(SEARCH($C$5,Inputs!$D527,1),""))</f>
        <v/>
      </c>
      <c r="B527">
        <f>IF(A527=1,COUNTIF($A$6:A527,1),"")</f>
        <v/>
      </c>
      <c r="C527">
        <f>IFERROR(INDEX($D$6:$D$1750,MATCH(ROWS($B$6:B527),$B$6:$B$1750,0)),"")</f>
        <v/>
      </c>
      <c r="D527">
        <f>J527&amp;" ("&amp;E527&amp;")"</f>
        <v/>
      </c>
      <c r="E527" t="n">
        <v>20133</v>
      </c>
      <c r="F527" t="inlineStr">
        <is>
          <t>Skilled Nursing and Interm. Care Facility</t>
        </is>
      </c>
      <c r="G527" t="inlineStr">
        <is>
          <t>3672 N 1st St</t>
        </is>
      </c>
      <c r="H527" t="inlineStr">
        <is>
          <t>Fresno</t>
        </is>
      </c>
      <c r="I527" t="inlineStr">
        <is>
          <t>Fresno</t>
        </is>
      </c>
      <c r="J527" t="inlineStr">
        <is>
          <t>Fresno Nursing Center</t>
        </is>
      </c>
    </row>
    <row r="528">
      <c r="A528">
        <f>--ISNUMBER(IFERROR(SEARCH($C$5,Inputs!$D528,1),""))</f>
        <v/>
      </c>
      <c r="B528">
        <f>IF(A528=1,COUNTIF($A$6:A528,1),"")</f>
        <v/>
      </c>
      <c r="C528">
        <f>IFERROR(INDEX($D$6:$D$1750,MATCH(ROWS($B$6:B528),$B$6:$B$1750,0)),"")</f>
        <v/>
      </c>
      <c r="D528">
        <f>J528&amp;" ("&amp;E528&amp;")"</f>
        <v/>
      </c>
      <c r="E528" t="n">
        <v>20134</v>
      </c>
      <c r="F528" t="inlineStr">
        <is>
          <t>Skilled Nursing and Interm. Care Facility</t>
        </is>
      </c>
      <c r="G528" t="inlineStr">
        <is>
          <t>1665 M Street</t>
        </is>
      </c>
      <c r="H528" t="inlineStr">
        <is>
          <t>Fresno</t>
        </is>
      </c>
      <c r="I528" t="inlineStr">
        <is>
          <t>Fresno</t>
        </is>
      </c>
      <c r="J528" t="inlineStr">
        <is>
          <t>Healthcare Centre Of Fresno</t>
        </is>
      </c>
    </row>
    <row r="529">
      <c r="A529">
        <f>--ISNUMBER(IFERROR(SEARCH($C$5,Inputs!$D529,1),""))</f>
        <v/>
      </c>
      <c r="B529">
        <f>IF(A529=1,COUNTIF($A$6:A529,1),"")</f>
        <v/>
      </c>
      <c r="C529">
        <f>IFERROR(INDEX($D$6:$D$1750,MATCH(ROWS($B$6:B529),$B$6:$B$1750,0)),"")</f>
        <v/>
      </c>
      <c r="D529">
        <f>J529&amp;" ("&amp;E529&amp;")"</f>
        <v/>
      </c>
      <c r="E529" t="n">
        <v>20135</v>
      </c>
      <c r="F529" t="inlineStr">
        <is>
          <t>Skilled Nursing and Interm. Care Facility</t>
        </is>
      </c>
      <c r="G529" t="inlineStr">
        <is>
          <t>3408 E Shields Ave</t>
        </is>
      </c>
      <c r="H529" t="inlineStr">
        <is>
          <t>Fresno</t>
        </is>
      </c>
      <c r="I529" t="inlineStr">
        <is>
          <t>Fresno</t>
        </is>
      </c>
      <c r="J529" t="inlineStr">
        <is>
          <t>Centerpointe Care Center</t>
        </is>
      </c>
    </row>
    <row r="530">
      <c r="A530">
        <f>--ISNUMBER(IFERROR(SEARCH($C$5,Inputs!$D530,1),""))</f>
        <v/>
      </c>
      <c r="B530">
        <f>IF(A530=1,COUNTIF($A$6:A530,1),"")</f>
        <v/>
      </c>
      <c r="C530">
        <f>IFERROR(INDEX($D$6:$D$1750,MATCH(ROWS($B$6:B530),$B$6:$B$1750,0)),"")</f>
        <v/>
      </c>
      <c r="D530">
        <f>J530&amp;" ("&amp;E530&amp;")"</f>
        <v/>
      </c>
      <c r="E530" t="n">
        <v>20136</v>
      </c>
      <c r="F530" t="inlineStr">
        <is>
          <t>Skilled Nursing and Interm. Care Facility</t>
        </is>
      </c>
      <c r="G530" t="inlineStr">
        <is>
          <t>3510 East Shields Avenue</t>
        </is>
      </c>
      <c r="H530" t="inlineStr">
        <is>
          <t>Fresno</t>
        </is>
      </c>
      <c r="I530" t="inlineStr">
        <is>
          <t>Fresno</t>
        </is>
      </c>
      <c r="J530" t="inlineStr">
        <is>
          <t>Oakwood Gardens Care Center</t>
        </is>
      </c>
    </row>
    <row r="531">
      <c r="A531">
        <f>--ISNUMBER(IFERROR(SEARCH($C$5,Inputs!$D531,1),""))</f>
        <v/>
      </c>
      <c r="B531">
        <f>IF(A531=1,COUNTIF($A$6:A531,1),"")</f>
        <v/>
      </c>
      <c r="C531">
        <f>IFERROR(INDEX($D$6:$D$1750,MATCH(ROWS($B$6:B531),$B$6:$B$1750,0)),"")</f>
        <v/>
      </c>
      <c r="D531">
        <f>J531&amp;" ("&amp;E531&amp;")"</f>
        <v/>
      </c>
      <c r="E531" t="n">
        <v>20139</v>
      </c>
      <c r="F531" t="inlineStr">
        <is>
          <t>Skilled Nursing and Interm. Care Facility</t>
        </is>
      </c>
      <c r="G531" t="inlineStr">
        <is>
          <t>8448 East Adams Avenue</t>
        </is>
      </c>
      <c r="H531" t="inlineStr">
        <is>
          <t>Fowler</t>
        </is>
      </c>
      <c r="I531" t="inlineStr">
        <is>
          <t>Fresno</t>
        </is>
      </c>
      <c r="J531" t="inlineStr">
        <is>
          <t>Fowler Care Center</t>
        </is>
      </c>
    </row>
    <row r="532">
      <c r="A532">
        <f>--ISNUMBER(IFERROR(SEARCH($C$5,Inputs!$D532,1),""))</f>
        <v/>
      </c>
      <c r="B532">
        <f>IF(A532=1,COUNTIF($A$6:A532,1),"")</f>
        <v/>
      </c>
      <c r="C532">
        <f>IFERROR(INDEX($D$6:$D$1750,MATCH(ROWS($B$6:B532),$B$6:$B$1750,0)),"")</f>
        <v/>
      </c>
      <c r="D532">
        <f>J532&amp;" ("&amp;E532&amp;")"</f>
        <v/>
      </c>
      <c r="E532" t="n">
        <v>20141</v>
      </c>
      <c r="F532" t="inlineStr">
        <is>
          <t>Skilled Nursing and Interm. Care Facility</t>
        </is>
      </c>
      <c r="G532" t="inlineStr">
        <is>
          <t>2113 E Manning Ave</t>
        </is>
      </c>
      <c r="H532" t="inlineStr">
        <is>
          <t>Fresno</t>
        </is>
      </c>
      <c r="I532" t="inlineStr">
        <is>
          <t>Fresno</t>
        </is>
      </c>
      <c r="J532" t="inlineStr">
        <is>
          <t>Manning Gardens Care Center, Inc.</t>
        </is>
      </c>
    </row>
    <row r="533">
      <c r="A533">
        <f>--ISNUMBER(IFERROR(SEARCH($C$5,Inputs!$D533,1),""))</f>
        <v/>
      </c>
      <c r="B533">
        <f>IF(A533=1,COUNTIF($A$6:A533,1),"")</f>
        <v/>
      </c>
      <c r="C533">
        <f>IFERROR(INDEX($D$6:$D$1750,MATCH(ROWS($B$6:B533),$B$6:$B$1750,0)),"")</f>
        <v/>
      </c>
      <c r="D533">
        <f>J533&amp;" ("&amp;E533&amp;")"</f>
        <v/>
      </c>
      <c r="E533" t="n">
        <v>20142</v>
      </c>
      <c r="F533" t="inlineStr">
        <is>
          <t>Skilled Nursing and Interm. Care Facility</t>
        </is>
      </c>
      <c r="G533" t="inlineStr">
        <is>
          <t>1233 A St</t>
        </is>
      </c>
      <c r="H533" t="inlineStr">
        <is>
          <t>Fresno</t>
        </is>
      </c>
      <c r="I533" t="inlineStr">
        <is>
          <t>Fresno</t>
        </is>
      </c>
      <c r="J533" t="inlineStr">
        <is>
          <t>Fresno Postacute Care</t>
        </is>
      </c>
    </row>
    <row r="534">
      <c r="A534">
        <f>--ISNUMBER(IFERROR(SEARCH($C$5,Inputs!$D534,1),""))</f>
        <v/>
      </c>
      <c r="B534">
        <f>IF(A534=1,COUNTIF($A$6:A534,1),"")</f>
        <v/>
      </c>
      <c r="C534">
        <f>IFERROR(INDEX($D$6:$D$1750,MATCH(ROWS($B$6:B534),$B$6:$B$1750,0)),"")</f>
        <v/>
      </c>
      <c r="D534">
        <f>J534&amp;" ("&amp;E534&amp;")"</f>
        <v/>
      </c>
      <c r="E534" t="n">
        <v>20145</v>
      </c>
      <c r="F534" t="inlineStr">
        <is>
          <t>Skilled Nursing and Interm. Care Facility</t>
        </is>
      </c>
      <c r="G534" t="inlineStr">
        <is>
          <t>1101 Stroud Avenue</t>
        </is>
      </c>
      <c r="H534" t="inlineStr">
        <is>
          <t>Kingsburg</t>
        </is>
      </c>
      <c r="I534" t="inlineStr">
        <is>
          <t>Fresno</t>
        </is>
      </c>
      <c r="J534" t="inlineStr">
        <is>
          <t>Kingsburg Center</t>
        </is>
      </c>
    </row>
    <row r="535">
      <c r="A535">
        <f>--ISNUMBER(IFERROR(SEARCH($C$5,Inputs!$D535,1),""))</f>
        <v/>
      </c>
      <c r="B535">
        <f>IF(A535=1,COUNTIF($A$6:A535,1),"")</f>
        <v/>
      </c>
      <c r="C535">
        <f>IFERROR(INDEX($D$6:$D$1750,MATCH(ROWS($B$6:B535),$B$6:$B$1750,0)),"")</f>
        <v/>
      </c>
      <c r="D535">
        <f>J535&amp;" ("&amp;E535&amp;")"</f>
        <v/>
      </c>
      <c r="E535" t="n">
        <v>20150</v>
      </c>
      <c r="F535" t="inlineStr">
        <is>
          <t>Skilled Nursing and Interm. Care Facility</t>
        </is>
      </c>
      <c r="G535" t="inlineStr">
        <is>
          <t>5265 E Huntington Ave</t>
        </is>
      </c>
      <c r="H535" t="inlineStr">
        <is>
          <t>Fresno</t>
        </is>
      </c>
      <c r="I535" t="inlineStr">
        <is>
          <t>Fresno</t>
        </is>
      </c>
      <c r="J535" t="inlineStr">
        <is>
          <t>Evergreen Care Center</t>
        </is>
      </c>
    </row>
    <row r="536">
      <c r="A536">
        <f>--ISNUMBER(IFERROR(SEARCH($C$5,Inputs!$D536,1),""))</f>
        <v/>
      </c>
      <c r="B536">
        <f>IF(A536=1,COUNTIF($A$6:A536,1),"")</f>
        <v/>
      </c>
      <c r="C536">
        <f>IFERROR(INDEX($D$6:$D$1750,MATCH(ROWS($B$6:B536),$B$6:$B$1750,0)),"")</f>
        <v/>
      </c>
      <c r="D536">
        <f>J536&amp;" ("&amp;E536&amp;")"</f>
        <v/>
      </c>
      <c r="E536" t="n">
        <v>20152</v>
      </c>
      <c r="F536" t="inlineStr">
        <is>
          <t>Skilled Nursing and Interm. Care Facility</t>
        </is>
      </c>
      <c r="G536" t="inlineStr">
        <is>
          <t>834 Maple Road</t>
        </is>
      </c>
      <c r="H536" t="inlineStr">
        <is>
          <t>Coalinga</t>
        </is>
      </c>
      <c r="I536" t="inlineStr">
        <is>
          <t>Fresno</t>
        </is>
      </c>
      <c r="J536" t="inlineStr">
        <is>
          <t>Coalinga Regional Medical Center D/P SNF</t>
        </is>
      </c>
    </row>
    <row r="537">
      <c r="A537">
        <f>--ISNUMBER(IFERROR(SEARCH($C$5,Inputs!$D537,1),""))</f>
        <v/>
      </c>
      <c r="B537">
        <f>IF(A537=1,COUNTIF($A$6:A537,1),"")</f>
        <v/>
      </c>
      <c r="C537">
        <f>IFERROR(INDEX($D$6:$D$1750,MATCH(ROWS($B$6:B537),$B$6:$B$1750,0)),"")</f>
        <v/>
      </c>
      <c r="D537">
        <f>J537&amp;" ("&amp;E537&amp;")"</f>
        <v/>
      </c>
      <c r="E537" t="n">
        <v>20153</v>
      </c>
      <c r="F537" t="inlineStr">
        <is>
          <t>Skilled Nursing and Interm. Care Facility</t>
        </is>
      </c>
      <c r="G537" t="inlineStr">
        <is>
          <t>2939 South Peach Avenue</t>
        </is>
      </c>
      <c r="H537" t="inlineStr">
        <is>
          <t>Fresno</t>
        </is>
      </c>
      <c r="I537" t="inlineStr">
        <is>
          <t>Fresno</t>
        </is>
      </c>
      <c r="J537" t="inlineStr">
        <is>
          <t>Sunnyside Convalescent Hospital</t>
        </is>
      </c>
    </row>
    <row r="538">
      <c r="A538">
        <f>--ISNUMBER(IFERROR(SEARCH($C$5,Inputs!$D538,1),""))</f>
        <v/>
      </c>
      <c r="B538">
        <f>IF(A538=1,COUNTIF($A$6:A538,1),"")</f>
        <v/>
      </c>
      <c r="C538">
        <f>IFERROR(INDEX($D$6:$D$1750,MATCH(ROWS($B$6:B538),$B$6:$B$1750,0)),"")</f>
        <v/>
      </c>
      <c r="D538">
        <f>J538&amp;" ("&amp;E538&amp;")"</f>
        <v/>
      </c>
      <c r="E538" t="n">
        <v>20158</v>
      </c>
      <c r="F538" t="inlineStr">
        <is>
          <t>Skilled Nursing and Interm. Care Facility</t>
        </is>
      </c>
      <c r="G538" t="inlineStr">
        <is>
          <t>5551 N Fresno St</t>
        </is>
      </c>
      <c r="H538" t="inlineStr">
        <is>
          <t>Fresno</t>
        </is>
      </c>
      <c r="I538" t="inlineStr">
        <is>
          <t>Fresno</t>
        </is>
      </c>
      <c r="J538" t="inlineStr">
        <is>
          <t>The Terraces at San Joaquin Gardens Village</t>
        </is>
      </c>
    </row>
    <row r="539">
      <c r="A539">
        <f>--ISNUMBER(IFERROR(SEARCH($C$5,Inputs!$D539,1),""))</f>
        <v/>
      </c>
      <c r="B539">
        <f>IF(A539=1,COUNTIF($A$6:A539,1),"")</f>
        <v/>
      </c>
      <c r="C539">
        <f>IFERROR(INDEX($D$6:$D$1750,MATCH(ROWS($B$6:B539),$B$6:$B$1750,0)),"")</f>
        <v/>
      </c>
      <c r="D539">
        <f>J539&amp;" ("&amp;E539&amp;")"</f>
        <v/>
      </c>
      <c r="E539" t="n">
        <v>20159</v>
      </c>
      <c r="F539" t="inlineStr">
        <is>
          <t>Skilled Nursing and Interm. Care Facility</t>
        </is>
      </c>
      <c r="G539" t="inlineStr">
        <is>
          <t>2108 Stillman Street</t>
        </is>
      </c>
      <c r="H539" t="inlineStr">
        <is>
          <t>Selma</t>
        </is>
      </c>
      <c r="I539" t="inlineStr">
        <is>
          <t>Fresno</t>
        </is>
      </c>
      <c r="J539" t="inlineStr">
        <is>
          <t>Rolling Hills Care Center</t>
        </is>
      </c>
    </row>
    <row r="540">
      <c r="A540">
        <f>--ISNUMBER(IFERROR(SEARCH($C$5,Inputs!$D540,1),""))</f>
        <v/>
      </c>
      <c r="B540">
        <f>IF(A540=1,COUNTIF($A$6:A540,1),"")</f>
        <v/>
      </c>
      <c r="C540">
        <f>IFERROR(INDEX($D$6:$D$1750,MATCH(ROWS($B$6:B540),$B$6:$B$1750,0)),"")</f>
        <v/>
      </c>
      <c r="D540">
        <f>J540&amp;" ("&amp;E540&amp;")"</f>
        <v/>
      </c>
      <c r="E540" t="n">
        <v>20162</v>
      </c>
      <c r="F540" t="inlineStr">
        <is>
          <t>Skilled Nursing and Interm. Care Facility</t>
        </is>
      </c>
      <c r="G540" t="inlineStr">
        <is>
          <t>0 Lotz Parkway and Whitelock Parkway</t>
        </is>
      </c>
      <c r="H540" t="inlineStr">
        <is>
          <t>Elk Grove</t>
        </is>
      </c>
      <c r="I540" t="inlineStr">
        <is>
          <t>Sacramento</t>
        </is>
      </c>
      <c r="J540" t="inlineStr">
        <is>
          <t>Elk Grove Skilled Nursing Facility</t>
        </is>
      </c>
    </row>
    <row r="541">
      <c r="A541">
        <f>--ISNUMBER(IFERROR(SEARCH($C$5,Inputs!$D541,1),""))</f>
        <v/>
      </c>
      <c r="B541">
        <f>IF(A541=1,COUNTIF($A$6:A541,1),"")</f>
        <v/>
      </c>
      <c r="C541">
        <f>IFERROR(INDEX($D$6:$D$1750,MATCH(ROWS($B$6:B541),$B$6:$B$1750,0)),"")</f>
        <v/>
      </c>
      <c r="D541">
        <f>J541&amp;" ("&amp;E541&amp;")"</f>
        <v/>
      </c>
      <c r="E541" t="n">
        <v>20163</v>
      </c>
      <c r="F541" t="inlineStr">
        <is>
          <t>Skilled Nursing and Interm. Care Facility</t>
        </is>
      </c>
      <c r="G541" t="inlineStr">
        <is>
          <t>1155 East Springfield Ave.</t>
        </is>
      </c>
      <c r="H541" t="inlineStr">
        <is>
          <t>Reedley</t>
        </is>
      </c>
      <c r="I541" t="inlineStr">
        <is>
          <t>Fresno</t>
        </is>
      </c>
      <c r="J541" t="inlineStr">
        <is>
          <t>Sierra View Homes Inc.</t>
        </is>
      </c>
    </row>
    <row r="542">
      <c r="A542">
        <f>--ISNUMBER(IFERROR(SEARCH($C$5,Inputs!$D542,1),""))</f>
        <v/>
      </c>
      <c r="B542">
        <f>IF(A542=1,COUNTIF($A$6:A542,1),"")</f>
        <v/>
      </c>
      <c r="C542">
        <f>IFERROR(INDEX($D$6:$D$1750,MATCH(ROWS($B$6:B542),$B$6:$B$1750,0)),"")</f>
        <v/>
      </c>
      <c r="D542">
        <f>J542&amp;" ("&amp;E542&amp;")"</f>
        <v/>
      </c>
      <c r="E542" t="n">
        <v>20164</v>
      </c>
      <c r="F542" t="inlineStr">
        <is>
          <t>Skilled Nursing and Interm. Care Facility</t>
        </is>
      </c>
      <c r="G542" t="inlineStr">
        <is>
          <t>668 E Bullard Ave</t>
        </is>
      </c>
      <c r="H542" t="inlineStr">
        <is>
          <t>Fresno</t>
        </is>
      </c>
      <c r="I542" t="inlineStr">
        <is>
          <t>Fresno</t>
        </is>
      </c>
      <c r="J542" t="inlineStr">
        <is>
          <t>North Pointe Healthcare Centre</t>
        </is>
      </c>
    </row>
    <row r="543">
      <c r="A543">
        <f>--ISNUMBER(IFERROR(SEARCH($C$5,Inputs!$D543,1),""))</f>
        <v/>
      </c>
      <c r="B543">
        <f>IF(A543=1,COUNTIF($A$6:A543,1),"")</f>
        <v/>
      </c>
      <c r="C543">
        <f>IFERROR(INDEX($D$6:$D$1750,MATCH(ROWS($B$6:B543),$B$6:$B$1750,0)),"")</f>
        <v/>
      </c>
      <c r="D543">
        <f>J543&amp;" ("&amp;E543&amp;")"</f>
        <v/>
      </c>
      <c r="E543" t="n">
        <v>20165</v>
      </c>
      <c r="F543" t="inlineStr">
        <is>
          <t>Skilled Nursing and Interm. Care Facility</t>
        </is>
      </c>
      <c r="G543" t="inlineStr">
        <is>
          <t>18500 St. Louise Dr</t>
        </is>
      </c>
      <c r="H543" t="inlineStr">
        <is>
          <t>Morgan Hill</t>
        </is>
      </c>
      <c r="I543" t="inlineStr">
        <is>
          <t>Santa Clara</t>
        </is>
      </c>
      <c r="J543" t="inlineStr">
        <is>
          <t>Valley Health Center - Morgan Hill</t>
        </is>
      </c>
    </row>
    <row r="544">
      <c r="A544">
        <f>--ISNUMBER(IFERROR(SEARCH($C$5,Inputs!$D544,1),""))</f>
        <v/>
      </c>
      <c r="B544">
        <f>IF(A544=1,COUNTIF($A$6:A544,1),"")</f>
        <v/>
      </c>
      <c r="C544">
        <f>IFERROR(INDEX($D$6:$D$1750,MATCH(ROWS($B$6:B544),$B$6:$B$1750,0)),"")</f>
        <v/>
      </c>
      <c r="D544">
        <f>J544&amp;" ("&amp;E544&amp;")"</f>
        <v/>
      </c>
      <c r="E544" t="n">
        <v>20166</v>
      </c>
      <c r="F544" t="inlineStr">
        <is>
          <t>Skilled Nursing and Interm. Care Facility</t>
        </is>
      </c>
      <c r="G544" t="inlineStr">
        <is>
          <t>1717 S Winery Ave</t>
        </is>
      </c>
      <c r="H544" t="inlineStr">
        <is>
          <t>Fresno</t>
        </is>
      </c>
      <c r="I544" t="inlineStr">
        <is>
          <t>Fresno</t>
        </is>
      </c>
      <c r="J544" t="inlineStr">
        <is>
          <t>Twilight Haven</t>
        </is>
      </c>
    </row>
    <row r="545">
      <c r="A545">
        <f>--ISNUMBER(IFERROR(SEARCH($C$5,Inputs!$D545,1),""))</f>
        <v/>
      </c>
      <c r="B545">
        <f>IF(A545=1,COUNTIF($A$6:A545,1),"")</f>
        <v/>
      </c>
      <c r="C545">
        <f>IFERROR(INDEX($D$6:$D$1750,MATCH(ROWS($B$6:B545),$B$6:$B$1750,0)),"")</f>
        <v/>
      </c>
      <c r="D545">
        <f>J545&amp;" ("&amp;E545&amp;")"</f>
        <v/>
      </c>
      <c r="E545" t="n">
        <v>20169</v>
      </c>
      <c r="F545" t="inlineStr">
        <is>
          <t>Skilled Nursing and Interm. Care Facility</t>
        </is>
      </c>
      <c r="G545" t="inlineStr">
        <is>
          <t>1090 E Dinuba Ave</t>
        </is>
      </c>
      <c r="H545" t="inlineStr">
        <is>
          <t>Reedley</t>
        </is>
      </c>
      <c r="I545" t="inlineStr">
        <is>
          <t>Fresno</t>
        </is>
      </c>
      <c r="J545" t="inlineStr">
        <is>
          <t>Reedley Care Center</t>
        </is>
      </c>
    </row>
    <row r="546">
      <c r="A546">
        <f>--ISNUMBER(IFERROR(SEARCH($C$5,Inputs!$D546,1),""))</f>
        <v/>
      </c>
      <c r="B546">
        <f>IF(A546=1,COUNTIF($A$6:A546,1),"")</f>
        <v/>
      </c>
      <c r="C546">
        <f>IFERROR(INDEX($D$6:$D$1750,MATCH(ROWS($B$6:B546),$B$6:$B$1750,0)),"")</f>
        <v/>
      </c>
      <c r="D546">
        <f>J546&amp;" ("&amp;E546&amp;")"</f>
        <v/>
      </c>
      <c r="E546" t="n">
        <v>20172</v>
      </c>
      <c r="F546" t="inlineStr">
        <is>
          <t>Skilled Nursing and Interm. Care Facility</t>
        </is>
      </c>
      <c r="G546" t="inlineStr">
        <is>
          <t>2550 9th St</t>
        </is>
      </c>
      <c r="H546" t="inlineStr">
        <is>
          <t>Sanger</t>
        </is>
      </c>
      <c r="I546" t="inlineStr">
        <is>
          <t>Fresno</t>
        </is>
      </c>
      <c r="J546" t="inlineStr">
        <is>
          <t>Sanger Care Center</t>
        </is>
      </c>
    </row>
    <row r="547">
      <c r="A547">
        <f>--ISNUMBER(IFERROR(SEARCH($C$5,Inputs!$D547,1),""))</f>
        <v/>
      </c>
      <c r="B547">
        <f>IF(A547=1,COUNTIF($A$6:A547,1),"")</f>
        <v/>
      </c>
      <c r="C547">
        <f>IFERROR(INDEX($D$6:$D$1750,MATCH(ROWS($B$6:B547),$B$6:$B$1750,0)),"")</f>
        <v/>
      </c>
      <c r="D547">
        <f>J547&amp;" ("&amp;E547&amp;")"</f>
        <v/>
      </c>
      <c r="E547" t="n">
        <v>20176</v>
      </c>
      <c r="F547" t="inlineStr">
        <is>
          <t>Skilled Nursing and Interm. Care Facility</t>
        </is>
      </c>
      <c r="G547" t="inlineStr">
        <is>
          <t>320 N Crawford St</t>
        </is>
      </c>
      <c r="H547" t="inlineStr">
        <is>
          <t>Willows</t>
        </is>
      </c>
      <c r="I547" t="inlineStr">
        <is>
          <t>Glenn</t>
        </is>
      </c>
      <c r="J547" t="inlineStr">
        <is>
          <t>Willows Post Acute</t>
        </is>
      </c>
    </row>
    <row r="548">
      <c r="A548">
        <f>--ISNUMBER(IFERROR(SEARCH($C$5,Inputs!$D548,1),""))</f>
        <v/>
      </c>
      <c r="B548">
        <f>IF(A548=1,COUNTIF($A$6:A548,1),"")</f>
        <v/>
      </c>
      <c r="C548">
        <f>IFERROR(INDEX($D$6:$D$1750,MATCH(ROWS($B$6:B548),$B$6:$B$1750,0)),"")</f>
        <v/>
      </c>
      <c r="D548">
        <f>J548&amp;" ("&amp;E548&amp;")"</f>
        <v/>
      </c>
      <c r="E548" t="n">
        <v>20182</v>
      </c>
      <c r="F548" t="inlineStr">
        <is>
          <t>Skilled Nursing and Interm. Care Facility</t>
        </is>
      </c>
      <c r="G548" t="inlineStr">
        <is>
          <t>2211 Harrison Ave</t>
        </is>
      </c>
      <c r="H548" t="inlineStr">
        <is>
          <t>Eureka</t>
        </is>
      </c>
      <c r="I548" t="inlineStr">
        <is>
          <t>Humboldt</t>
        </is>
      </c>
      <c r="J548" t="inlineStr">
        <is>
          <t>Pacific Rehabilitation &amp; Wellness Center, LP</t>
        </is>
      </c>
    </row>
    <row r="549">
      <c r="A549">
        <f>--ISNUMBER(IFERROR(SEARCH($C$5,Inputs!$D549,1),""))</f>
        <v/>
      </c>
      <c r="B549">
        <f>IF(A549=1,COUNTIF($A$6:A549,1),"")</f>
        <v/>
      </c>
      <c r="C549">
        <f>IFERROR(INDEX($D$6:$D$1750,MATCH(ROWS($B$6:B549),$B$6:$B$1750,0)),"")</f>
        <v/>
      </c>
      <c r="D549">
        <f>J549&amp;" ("&amp;E549&amp;")"</f>
        <v/>
      </c>
      <c r="E549" t="n">
        <v>20183</v>
      </c>
      <c r="F549" t="inlineStr">
        <is>
          <t>Skilled Nursing and Interm. Care Facility</t>
        </is>
      </c>
      <c r="G549" t="inlineStr">
        <is>
          <t>7333 North Cedar Ave.</t>
        </is>
      </c>
      <c r="H549" t="inlineStr">
        <is>
          <t>Fresno</t>
        </is>
      </c>
      <c r="I549" t="inlineStr">
        <is>
          <t>Fresno</t>
        </is>
      </c>
      <c r="J549" t="inlineStr">
        <is>
          <t>Fresno Specialty Care</t>
        </is>
      </c>
    </row>
    <row r="550">
      <c r="A550">
        <f>--ISNUMBER(IFERROR(SEARCH($C$5,Inputs!$D550,1),""))</f>
        <v/>
      </c>
      <c r="B550">
        <f>IF(A550=1,COUNTIF($A$6:A550,1),"")</f>
        <v/>
      </c>
      <c r="C550">
        <f>IFERROR(INDEX($D$6:$D$1750,MATCH(ROWS($B$6:B550),$B$6:$B$1750,0)),"")</f>
        <v/>
      </c>
      <c r="D550">
        <f>J550&amp;" ("&amp;E550&amp;")"</f>
        <v/>
      </c>
      <c r="E550" t="n">
        <v>20185</v>
      </c>
      <c r="F550" t="inlineStr">
        <is>
          <t>Skilled Nursing and Interm. Care Facility</t>
        </is>
      </c>
      <c r="G550" t="inlineStr">
        <is>
          <t>6400 Purdue Dr</t>
        </is>
      </c>
      <c r="H550" t="inlineStr">
        <is>
          <t>Eureka</t>
        </is>
      </c>
      <c r="I550" t="inlineStr">
        <is>
          <t>Humboldt</t>
        </is>
      </c>
      <c r="J550" t="inlineStr">
        <is>
          <t>Seaview Rehabilitation &amp; Wellness Center, LP</t>
        </is>
      </c>
    </row>
    <row r="551">
      <c r="A551">
        <f>--ISNUMBER(IFERROR(SEARCH($C$5,Inputs!$D551,1),""))</f>
        <v/>
      </c>
      <c r="B551">
        <f>IF(A551=1,COUNTIF($A$6:A551,1),"")</f>
        <v/>
      </c>
      <c r="C551">
        <f>IFERROR(INDEX($D$6:$D$1750,MATCH(ROWS($B$6:B551),$B$6:$B$1750,0)),"")</f>
        <v/>
      </c>
      <c r="D551">
        <f>J551&amp;" ("&amp;E551&amp;")"</f>
        <v/>
      </c>
      <c r="E551" t="n">
        <v>20186</v>
      </c>
      <c r="F551" t="inlineStr">
        <is>
          <t>Skilled Nursing and Interm. Care Facility</t>
        </is>
      </c>
      <c r="G551" t="inlineStr">
        <is>
          <t>5601 Grossmont Center Drive</t>
        </is>
      </c>
      <c r="H551" t="inlineStr">
        <is>
          <t>La Mesa</t>
        </is>
      </c>
      <c r="I551" t="inlineStr">
        <is>
          <t>San Diego</t>
        </is>
      </c>
      <c r="J551" t="inlineStr">
        <is>
          <t>Grossmont Post-Acute Care</t>
        </is>
      </c>
    </row>
    <row r="552">
      <c r="A552">
        <f>--ISNUMBER(IFERROR(SEARCH($C$5,Inputs!$D552,1),""))</f>
        <v/>
      </c>
      <c r="B552">
        <f>IF(A552=1,COUNTIF($A$6:A552,1),"")</f>
        <v/>
      </c>
      <c r="C552">
        <f>IFERROR(INDEX($D$6:$D$1750,MATCH(ROWS($B$6:B552),$B$6:$B$1750,0)),"")</f>
        <v/>
      </c>
      <c r="D552">
        <f>J552&amp;" ("&amp;E552&amp;")"</f>
        <v/>
      </c>
      <c r="E552" t="n">
        <v>20193</v>
      </c>
      <c r="F552" t="inlineStr">
        <is>
          <t>Skilled Nursing and Interm. Care Facility</t>
        </is>
      </c>
      <c r="G552" t="inlineStr">
        <is>
          <t>320 W Cattle Call Dr</t>
        </is>
      </c>
      <c r="H552" t="inlineStr">
        <is>
          <t>Brawley</t>
        </is>
      </c>
      <c r="I552" t="inlineStr">
        <is>
          <t>Imperial</t>
        </is>
      </c>
      <c r="J552" t="inlineStr">
        <is>
          <t>Imperial Heights Healthcare &amp; Wellness Centre, LLC</t>
        </is>
      </c>
    </row>
    <row r="553">
      <c r="A553">
        <f>--ISNUMBER(IFERROR(SEARCH($C$5,Inputs!$D553,1),""))</f>
        <v/>
      </c>
      <c r="B553">
        <f>IF(A553=1,COUNTIF($A$6:A553,1),"")</f>
        <v/>
      </c>
      <c r="C553">
        <f>IFERROR(INDEX($D$6:$D$1750,MATCH(ROWS($B$6:B553),$B$6:$B$1750,0)),"")</f>
        <v/>
      </c>
      <c r="D553">
        <f>J553&amp;" ("&amp;E553&amp;")"</f>
        <v/>
      </c>
      <c r="E553" t="n">
        <v>20194</v>
      </c>
      <c r="F553" t="inlineStr">
        <is>
          <t>Skilled Nursing and Interm. Care Facility</t>
        </is>
      </c>
      <c r="G553" t="inlineStr">
        <is>
          <t>101 East 2nd Street</t>
        </is>
      </c>
      <c r="H553" t="inlineStr">
        <is>
          <t>Imperial</t>
        </is>
      </c>
      <c r="I553" t="inlineStr">
        <is>
          <t>Imperial</t>
        </is>
      </c>
      <c r="J553" t="inlineStr">
        <is>
          <t>Imperial Manor</t>
        </is>
      </c>
    </row>
    <row r="554">
      <c r="A554">
        <f>--ISNUMBER(IFERROR(SEARCH($C$5,Inputs!$D554,1),""))</f>
        <v/>
      </c>
      <c r="B554">
        <f>IF(A554=1,COUNTIF($A$6:A554,1),"")</f>
        <v/>
      </c>
      <c r="C554">
        <f>IFERROR(INDEX($D$6:$D$1750,MATCH(ROWS($B$6:B554),$B$6:$B$1750,0)),"")</f>
        <v/>
      </c>
      <c r="D554">
        <f>J554&amp;" ("&amp;E554&amp;")"</f>
        <v/>
      </c>
      <c r="E554" t="n">
        <v>20195</v>
      </c>
      <c r="F554" t="inlineStr">
        <is>
          <t>Skilled Nursing and Interm. Care Facility</t>
        </is>
      </c>
      <c r="G554" t="inlineStr">
        <is>
          <t>1700 South Imperial Avenue</t>
        </is>
      </c>
      <c r="H554" t="inlineStr">
        <is>
          <t>El Centro</t>
        </is>
      </c>
      <c r="I554" t="inlineStr">
        <is>
          <t>Imperial</t>
        </is>
      </c>
      <c r="J554" t="inlineStr">
        <is>
          <t>El Centro Post-Acute Care</t>
        </is>
      </c>
    </row>
    <row r="555">
      <c r="A555">
        <f>--ISNUMBER(IFERROR(SEARCH($C$5,Inputs!$D555,1),""))</f>
        <v/>
      </c>
      <c r="B555">
        <f>IF(A555=1,COUNTIF($A$6:A555,1),"")</f>
        <v/>
      </c>
      <c r="C555">
        <f>IFERROR(INDEX($D$6:$D$1750,MATCH(ROWS($B$6:B555),$B$6:$B$1750,0)),"")</f>
        <v/>
      </c>
      <c r="D555">
        <f>J555&amp;" ("&amp;E555&amp;")"</f>
        <v/>
      </c>
      <c r="E555" t="n">
        <v>20205</v>
      </c>
      <c r="F555" t="inlineStr">
        <is>
          <t>Skilled Nursing and Interm. Care Facility</t>
        </is>
      </c>
      <c r="G555" t="inlineStr">
        <is>
          <t>729 Browning Road</t>
        </is>
      </c>
      <c r="H555" t="inlineStr">
        <is>
          <t>Delano</t>
        </is>
      </c>
      <c r="I555" t="inlineStr">
        <is>
          <t>Kern</t>
        </is>
      </c>
      <c r="J555" t="inlineStr">
        <is>
          <t>Valley View Care Center</t>
        </is>
      </c>
    </row>
    <row r="556">
      <c r="A556">
        <f>--ISNUMBER(IFERROR(SEARCH($C$5,Inputs!$D556,1),""))</f>
        <v/>
      </c>
      <c r="B556">
        <f>IF(A556=1,COUNTIF($A$6:A556,1),"")</f>
        <v/>
      </c>
      <c r="C556">
        <f>IFERROR(INDEX($D$6:$D$1750,MATCH(ROWS($B$6:B556),$B$6:$B$1750,0)),"")</f>
        <v/>
      </c>
      <c r="D556">
        <f>J556&amp;" ("&amp;E556&amp;")"</f>
        <v/>
      </c>
      <c r="E556" t="n">
        <v>20215</v>
      </c>
      <c r="F556" t="inlineStr">
        <is>
          <t>Skilled Nursing and Interm. Care Facility</t>
        </is>
      </c>
      <c r="G556" t="inlineStr">
        <is>
          <t>1205 8th Street</t>
        </is>
      </c>
      <c r="H556" t="inlineStr">
        <is>
          <t>Bakersfield</t>
        </is>
      </c>
      <c r="I556" t="inlineStr">
        <is>
          <t>Kern</t>
        </is>
      </c>
      <c r="J556" t="inlineStr">
        <is>
          <t>Valley Convalescent Hospital</t>
        </is>
      </c>
    </row>
    <row r="557">
      <c r="A557">
        <f>--ISNUMBER(IFERROR(SEARCH($C$5,Inputs!$D557,1),""))</f>
        <v/>
      </c>
      <c r="B557">
        <f>IF(A557=1,COUNTIF($A$6:A557,1),"")</f>
        <v/>
      </c>
      <c r="C557">
        <f>IFERROR(INDEX($D$6:$D$1750,MATCH(ROWS($B$6:B557),$B$6:$B$1750,0)),"")</f>
        <v/>
      </c>
      <c r="D557">
        <f>J557&amp;" ("&amp;E557&amp;")"</f>
        <v/>
      </c>
      <c r="E557" t="n">
        <v>20217</v>
      </c>
      <c r="F557" t="inlineStr">
        <is>
          <t>Skilled Nursing and Interm. Care Facility</t>
        </is>
      </c>
      <c r="G557" t="inlineStr">
        <is>
          <t>1801 Julian Avenue</t>
        </is>
      </c>
      <c r="H557" t="inlineStr">
        <is>
          <t>Bakersfield</t>
        </is>
      </c>
      <c r="I557" t="inlineStr">
        <is>
          <t>Kern</t>
        </is>
      </c>
      <c r="J557" t="inlineStr">
        <is>
          <t>Parkview Julian Healthcare Center</t>
        </is>
      </c>
    </row>
    <row r="558">
      <c r="A558">
        <f>--ISNUMBER(IFERROR(SEARCH($C$5,Inputs!$D558,1),""))</f>
        <v/>
      </c>
      <c r="B558">
        <f>IF(A558=1,COUNTIF($A$6:A558,1),"")</f>
        <v/>
      </c>
      <c r="C558">
        <f>IFERROR(INDEX($D$6:$D$1750,MATCH(ROWS($B$6:B558),$B$6:$B$1750,0)),"")</f>
        <v/>
      </c>
      <c r="D558">
        <f>J558&amp;" ("&amp;E558&amp;")"</f>
        <v/>
      </c>
      <c r="E558" t="n">
        <v>20218</v>
      </c>
      <c r="F558" t="inlineStr">
        <is>
          <t>Skilled Nursing and Interm. Care Facility</t>
        </is>
      </c>
      <c r="G558" t="inlineStr">
        <is>
          <t>329 Real Rd</t>
        </is>
      </c>
      <c r="H558" t="inlineStr">
        <is>
          <t>Bakersfield</t>
        </is>
      </c>
      <c r="I558" t="inlineStr">
        <is>
          <t>Kern</t>
        </is>
      </c>
      <c r="J558" t="inlineStr">
        <is>
          <t>Kingston Healthcare Center, LLC</t>
        </is>
      </c>
    </row>
    <row r="559">
      <c r="A559">
        <f>--ISNUMBER(IFERROR(SEARCH($C$5,Inputs!$D559,1),""))</f>
        <v/>
      </c>
      <c r="B559">
        <f>IF(A559=1,COUNTIF($A$6:A559,1),"")</f>
        <v/>
      </c>
      <c r="C559">
        <f>IFERROR(INDEX($D$6:$D$1750,MATCH(ROWS($B$6:B559),$B$6:$B$1750,0)),"")</f>
        <v/>
      </c>
      <c r="D559">
        <f>J559&amp;" ("&amp;E559&amp;")"</f>
        <v/>
      </c>
      <c r="E559" t="n">
        <v>20233</v>
      </c>
      <c r="F559" t="inlineStr">
        <is>
          <t>Skilled Nursing and Interm. Care Facility</t>
        </is>
      </c>
      <c r="G559" t="inlineStr">
        <is>
          <t>140 East Tulare Avenue</t>
        </is>
      </c>
      <c r="H559" t="inlineStr">
        <is>
          <t>Shafter</t>
        </is>
      </c>
      <c r="I559" t="inlineStr">
        <is>
          <t>Kern</t>
        </is>
      </c>
      <c r="J559" t="inlineStr">
        <is>
          <t>Shafter Nursing Care</t>
        </is>
      </c>
    </row>
    <row r="560">
      <c r="A560">
        <f>--ISNUMBER(IFERROR(SEARCH($C$5,Inputs!$D560,1),""))</f>
        <v/>
      </c>
      <c r="B560">
        <f>IF(A560=1,COUNTIF($A$6:A560,1),"")</f>
        <v/>
      </c>
      <c r="C560">
        <f>IFERROR(INDEX($D$6:$D$1750,MATCH(ROWS($B$6:B560),$B$6:$B$1750,0)),"")</f>
        <v/>
      </c>
      <c r="D560">
        <f>J560&amp;" ("&amp;E560&amp;")"</f>
        <v/>
      </c>
      <c r="E560" t="n">
        <v>20236</v>
      </c>
      <c r="F560" t="inlineStr">
        <is>
          <t>Skilled Nursing and Interm. Care Facility</t>
        </is>
      </c>
      <c r="G560" t="inlineStr">
        <is>
          <t>361 E Grangeville Blvd</t>
        </is>
      </c>
      <c r="H560" t="inlineStr">
        <is>
          <t>Hanford</t>
        </is>
      </c>
      <c r="I560" t="inlineStr">
        <is>
          <t>Kings</t>
        </is>
      </c>
      <c r="J560" t="inlineStr">
        <is>
          <t>Hacienda Post Acute, Inc.</t>
        </is>
      </c>
    </row>
    <row r="561">
      <c r="A561">
        <f>--ISNUMBER(IFERROR(SEARCH($C$5,Inputs!$D561,1),""))</f>
        <v/>
      </c>
      <c r="B561">
        <f>IF(A561=1,COUNTIF($A$6:A561,1),"")</f>
        <v/>
      </c>
      <c r="C561">
        <f>IFERROR(INDEX($D$6:$D$1750,MATCH(ROWS($B$6:B561),$B$6:$B$1750,0)),"")</f>
        <v/>
      </c>
      <c r="D561">
        <f>J561&amp;" ("&amp;E561&amp;")"</f>
        <v/>
      </c>
      <c r="E561" t="n">
        <v>20238</v>
      </c>
      <c r="F561" t="inlineStr">
        <is>
          <t>Skilled Nursing and Interm. Care Facility</t>
        </is>
      </c>
      <c r="G561" t="inlineStr">
        <is>
          <t>1007 West Lacey Boulevard</t>
        </is>
      </c>
      <c r="H561" t="inlineStr">
        <is>
          <t>Hanford</t>
        </is>
      </c>
      <c r="I561" t="inlineStr">
        <is>
          <t>Kings</t>
        </is>
      </c>
      <c r="J561" t="inlineStr">
        <is>
          <t>Hanford Post Acute</t>
        </is>
      </c>
    </row>
    <row r="562">
      <c r="A562">
        <f>--ISNUMBER(IFERROR(SEARCH($C$5,Inputs!$D562,1),""))</f>
        <v/>
      </c>
      <c r="B562">
        <f>IF(A562=1,COUNTIF($A$6:A562,1),"")</f>
        <v/>
      </c>
      <c r="C562">
        <f>IFERROR(INDEX($D$6:$D$1750,MATCH(ROWS($B$6:B562),$B$6:$B$1750,0)),"")</f>
        <v/>
      </c>
      <c r="D562">
        <f>J562&amp;" ("&amp;E562&amp;")"</f>
        <v/>
      </c>
      <c r="E562" t="n">
        <v>20239</v>
      </c>
      <c r="F562" t="inlineStr">
        <is>
          <t>Skilled Nursing and Interm. Care Facility</t>
        </is>
      </c>
      <c r="G562" t="inlineStr">
        <is>
          <t>851 Leslie Ln</t>
        </is>
      </c>
      <c r="H562" t="inlineStr">
        <is>
          <t>Hanford</t>
        </is>
      </c>
      <c r="I562" t="inlineStr">
        <is>
          <t>Kings</t>
        </is>
      </c>
      <c r="J562" t="inlineStr">
        <is>
          <t>Kings Nursing &amp; Rehabilitation Center</t>
        </is>
      </c>
    </row>
    <row r="563">
      <c r="A563">
        <f>--ISNUMBER(IFERROR(SEARCH($C$5,Inputs!$D563,1),""))</f>
        <v/>
      </c>
      <c r="B563">
        <f>IF(A563=1,COUNTIF($A$6:A563,1),"")</f>
        <v/>
      </c>
      <c r="C563">
        <f>IFERROR(INDEX($D$6:$D$1750,MATCH(ROWS($B$6:B563),$B$6:$B$1750,0)),"")</f>
        <v/>
      </c>
      <c r="D563">
        <f>J563&amp;" ("&amp;E563&amp;")"</f>
        <v/>
      </c>
      <c r="E563" t="n">
        <v>20245</v>
      </c>
      <c r="F563" t="inlineStr">
        <is>
          <t>Skilled Nursing and Interm. Care Facility</t>
        </is>
      </c>
      <c r="G563" t="inlineStr">
        <is>
          <t>625 16th St</t>
        </is>
      </c>
      <c r="H563" t="inlineStr">
        <is>
          <t>Lakeport</t>
        </is>
      </c>
      <c r="I563" t="inlineStr">
        <is>
          <t>Lake</t>
        </is>
      </c>
      <c r="J563" t="inlineStr">
        <is>
          <t>Rocky Point Care Center</t>
        </is>
      </c>
    </row>
    <row r="564">
      <c r="A564">
        <f>--ISNUMBER(IFERROR(SEARCH($C$5,Inputs!$D564,1),""))</f>
        <v/>
      </c>
      <c r="B564">
        <f>IF(A564=1,COUNTIF($A$6:A564,1),"")</f>
        <v/>
      </c>
      <c r="C564">
        <f>IFERROR(INDEX($D$6:$D$1750,MATCH(ROWS($B$6:B564),$B$6:$B$1750,0)),"")</f>
        <v/>
      </c>
      <c r="D564">
        <f>J564&amp;" ("&amp;E564&amp;")"</f>
        <v/>
      </c>
      <c r="E564" t="n">
        <v>20251</v>
      </c>
      <c r="F564" t="inlineStr">
        <is>
          <t>Skilled Nursing and Interm. Care Facility</t>
        </is>
      </c>
      <c r="G564" t="inlineStr">
        <is>
          <t>1010 Ventura Ave</t>
        </is>
      </c>
      <c r="H564" t="inlineStr">
        <is>
          <t>Chowchilla</t>
        </is>
      </c>
      <c r="I564" t="inlineStr">
        <is>
          <t>Madera</t>
        </is>
      </c>
      <c r="J564" t="inlineStr">
        <is>
          <t>Palms Care Center</t>
        </is>
      </c>
    </row>
    <row r="565">
      <c r="A565">
        <f>--ISNUMBER(IFERROR(SEARCH($C$5,Inputs!$D565,1),""))</f>
        <v/>
      </c>
      <c r="B565">
        <f>IF(A565=1,COUNTIF($A$6:A565,1),"")</f>
        <v/>
      </c>
      <c r="C565">
        <f>IFERROR(INDEX($D$6:$D$1750,MATCH(ROWS($B$6:B565),$B$6:$B$1750,0)),"")</f>
        <v/>
      </c>
      <c r="D565">
        <f>J565&amp;" ("&amp;E565&amp;")"</f>
        <v/>
      </c>
      <c r="E565" t="n">
        <v>20254</v>
      </c>
      <c r="F565" t="inlineStr">
        <is>
          <t>Skilled Nursing and Interm. Care Facility</t>
        </is>
      </c>
      <c r="G565" t="inlineStr">
        <is>
          <t>517 S A St</t>
        </is>
      </c>
      <c r="H565" t="inlineStr">
        <is>
          <t>Madera</t>
        </is>
      </c>
      <c r="I565" t="inlineStr">
        <is>
          <t>Madera</t>
        </is>
      </c>
      <c r="J565" t="inlineStr">
        <is>
          <t>Madera Rehabilitation &amp; Nursing Center</t>
        </is>
      </c>
    </row>
    <row r="566">
      <c r="A566">
        <f>--ISNUMBER(IFERROR(SEARCH($C$5,Inputs!$D566,1),""))</f>
        <v/>
      </c>
      <c r="B566">
        <f>IF(A566=1,COUNTIF($A$6:A566,1),"")</f>
        <v/>
      </c>
      <c r="C566">
        <f>IFERROR(INDEX($D$6:$D$1750,MATCH(ROWS($B$6:B566),$B$6:$B$1750,0)),"")</f>
        <v/>
      </c>
      <c r="D566">
        <f>J566&amp;" ("&amp;E566&amp;")"</f>
        <v/>
      </c>
      <c r="E566" t="n">
        <v>20256</v>
      </c>
      <c r="F566" t="inlineStr">
        <is>
          <t>Skilled Nursing and Interm. Care Facility</t>
        </is>
      </c>
      <c r="G566" t="inlineStr">
        <is>
          <t>1700 Howard Road</t>
        </is>
      </c>
      <c r="H566" t="inlineStr">
        <is>
          <t>Madera</t>
        </is>
      </c>
      <c r="I566" t="inlineStr">
        <is>
          <t>Madera</t>
        </is>
      </c>
      <c r="J566" t="inlineStr">
        <is>
          <t>Avalon Health Care - Madera</t>
        </is>
      </c>
    </row>
    <row r="567">
      <c r="A567">
        <f>--ISNUMBER(IFERROR(SEARCH($C$5,Inputs!$D567,1),""))</f>
        <v/>
      </c>
      <c r="B567">
        <f>IF(A567=1,COUNTIF($A$6:A567,1),"")</f>
        <v/>
      </c>
      <c r="C567">
        <f>IFERROR(INDEX($D$6:$D$1750,MATCH(ROWS($B$6:B567),$B$6:$B$1750,0)),"")</f>
        <v/>
      </c>
      <c r="D567">
        <f>J567&amp;" ("&amp;E567&amp;")"</f>
        <v/>
      </c>
      <c r="E567" t="n">
        <v>20259</v>
      </c>
      <c r="F567" t="inlineStr">
        <is>
          <t>Skilled Nursing and Interm. Care Facility</t>
        </is>
      </c>
      <c r="G567" t="inlineStr">
        <is>
          <t>326 Mission Avenue</t>
        </is>
      </c>
      <c r="H567" t="inlineStr">
        <is>
          <t>San Rafael</t>
        </is>
      </c>
      <c r="I567" t="inlineStr">
        <is>
          <t>Marin</t>
        </is>
      </c>
      <c r="J567" t="inlineStr">
        <is>
          <t>Aldersly Skilled Nursing Facility</t>
        </is>
      </c>
    </row>
    <row r="568">
      <c r="A568">
        <f>--ISNUMBER(IFERROR(SEARCH($C$5,Inputs!$D568,1),""))</f>
        <v/>
      </c>
      <c r="B568">
        <f>IF(A568=1,COUNTIF($A$6:A568,1),"")</f>
        <v/>
      </c>
      <c r="C568">
        <f>IFERROR(INDEX($D$6:$D$1750,MATCH(ROWS($B$6:B568),$B$6:$B$1750,0)),"")</f>
        <v/>
      </c>
      <c r="D568">
        <f>J568&amp;" ("&amp;E568&amp;")"</f>
        <v/>
      </c>
      <c r="E568" t="n">
        <v>20265</v>
      </c>
      <c r="F568" t="inlineStr">
        <is>
          <t>Skilled Nursing and Interm. Care Facility</t>
        </is>
      </c>
      <c r="G568" t="inlineStr">
        <is>
          <t>1601 5th Avenue</t>
        </is>
      </c>
      <c r="H568" t="inlineStr">
        <is>
          <t>San Rafael</t>
        </is>
      </c>
      <c r="I568" t="inlineStr">
        <is>
          <t>Marin</t>
        </is>
      </c>
      <c r="J568" t="inlineStr">
        <is>
          <t>San Rafael Healthcare &amp; Wellness Center</t>
        </is>
      </c>
    </row>
    <row r="569">
      <c r="A569">
        <f>--ISNUMBER(IFERROR(SEARCH($C$5,Inputs!$D569,1),""))</f>
        <v/>
      </c>
      <c r="B569">
        <f>IF(A569=1,COUNTIF($A$6:A569,1),"")</f>
        <v/>
      </c>
      <c r="C569">
        <f>IFERROR(INDEX($D$6:$D$1750,MATCH(ROWS($B$6:B569),$B$6:$B$1750,0)),"")</f>
        <v/>
      </c>
      <c r="D569">
        <f>J569&amp;" ("&amp;E569&amp;")"</f>
        <v/>
      </c>
      <c r="E569" t="n">
        <v>20266</v>
      </c>
      <c r="F569" t="inlineStr">
        <is>
          <t>Skilled Nursing and Interm. Care Facility</t>
        </is>
      </c>
      <c r="G569" t="inlineStr">
        <is>
          <t>1220 South Eliseo Drive</t>
        </is>
      </c>
      <c r="H569" t="inlineStr">
        <is>
          <t>Greenbrae</t>
        </is>
      </c>
      <c r="I569" t="inlineStr">
        <is>
          <t>Marin</t>
        </is>
      </c>
      <c r="J569" t="inlineStr">
        <is>
          <t>South Marin Health &amp; Wellness Center</t>
        </is>
      </c>
    </row>
    <row r="570">
      <c r="A570">
        <f>--ISNUMBER(IFERROR(SEARCH($C$5,Inputs!$D570,1),""))</f>
        <v/>
      </c>
      <c r="B570">
        <f>IF(A570=1,COUNTIF($A$6:A570,1),"")</f>
        <v/>
      </c>
      <c r="C570">
        <f>IFERROR(INDEX($D$6:$D$1750,MATCH(ROWS($B$6:B570),$B$6:$B$1750,0)),"")</f>
        <v/>
      </c>
      <c r="D570">
        <f>J570&amp;" ("&amp;E570&amp;")"</f>
        <v/>
      </c>
      <c r="E570" t="n">
        <v>20270</v>
      </c>
      <c r="F570" t="inlineStr">
        <is>
          <t>Skilled Nursing and Interm. Care Facility</t>
        </is>
      </c>
      <c r="G570" t="inlineStr">
        <is>
          <t>45 Professional Center Parkway</t>
        </is>
      </c>
      <c r="H570" t="inlineStr">
        <is>
          <t>San Rafael</t>
        </is>
      </c>
      <c r="I570" t="inlineStr">
        <is>
          <t>Marin</t>
        </is>
      </c>
      <c r="J570" t="inlineStr">
        <is>
          <t>Pine Ridge Care Center</t>
        </is>
      </c>
    </row>
    <row r="571">
      <c r="A571">
        <f>--ISNUMBER(IFERROR(SEARCH($C$5,Inputs!$D571,1),""))</f>
        <v/>
      </c>
      <c r="B571">
        <f>IF(A571=1,COUNTIF($A$6:A571,1),"")</f>
        <v/>
      </c>
      <c r="C571">
        <f>IFERROR(INDEX($D$6:$D$1750,MATCH(ROWS($B$6:B571),$B$6:$B$1750,0)),"")</f>
        <v/>
      </c>
      <c r="D571">
        <f>J571&amp;" ("&amp;E571&amp;")"</f>
        <v/>
      </c>
      <c r="E571" t="n">
        <v>20272</v>
      </c>
      <c r="F571" t="inlineStr">
        <is>
          <t>Skilled Nursing and Interm. Care Facility</t>
        </is>
      </c>
      <c r="G571" t="inlineStr">
        <is>
          <t>30 Hacienda Drive</t>
        </is>
      </c>
      <c r="H571" t="inlineStr">
        <is>
          <t>Tiburon</t>
        </is>
      </c>
      <c r="I571" t="inlineStr">
        <is>
          <t>Marin</t>
        </is>
      </c>
      <c r="J571" t="inlineStr">
        <is>
          <t>Marin Convalescent &amp; Rehabilitation Hospital</t>
        </is>
      </c>
    </row>
    <row r="572">
      <c r="A572">
        <f>--ISNUMBER(IFERROR(SEARCH($C$5,Inputs!$D572,1),""))</f>
        <v/>
      </c>
      <c r="B572">
        <f>IF(A572=1,COUNTIF($A$6:A572,1),"")</f>
        <v/>
      </c>
      <c r="C572">
        <f>IFERROR(INDEX($D$6:$D$1750,MATCH(ROWS($B$6:B572),$B$6:$B$1750,0)),"")</f>
        <v/>
      </c>
      <c r="D572">
        <f>J572&amp;" ("&amp;E572&amp;")"</f>
        <v/>
      </c>
      <c r="E572" t="n">
        <v>20277</v>
      </c>
      <c r="F572" t="inlineStr">
        <is>
          <t>Skilled Nursing and Interm. Care Facility</t>
        </is>
      </c>
      <c r="G572" t="inlineStr">
        <is>
          <t>40 Professional Center Pkwy</t>
        </is>
      </c>
      <c r="H572" t="inlineStr">
        <is>
          <t>San Rafael</t>
        </is>
      </c>
      <c r="I572" t="inlineStr">
        <is>
          <t>Marin</t>
        </is>
      </c>
      <c r="J572" t="inlineStr">
        <is>
          <t>Northgate Postacute Care</t>
        </is>
      </c>
    </row>
    <row r="573">
      <c r="A573">
        <f>--ISNUMBER(IFERROR(SEARCH($C$5,Inputs!$D573,1),""))</f>
        <v/>
      </c>
      <c r="B573">
        <f>IF(A573=1,COUNTIF($A$6:A573,1),"")</f>
        <v/>
      </c>
      <c r="C573">
        <f>IFERROR(INDEX($D$6:$D$1750,MATCH(ROWS($B$6:B573),$B$6:$B$1750,0)),"")</f>
        <v/>
      </c>
      <c r="D573">
        <f>J573&amp;" ("&amp;E573&amp;")"</f>
        <v/>
      </c>
      <c r="E573" t="n">
        <v>20280</v>
      </c>
      <c r="F573" t="inlineStr">
        <is>
          <t>Skilled Nursing and Interm. Care Facility</t>
        </is>
      </c>
      <c r="G573" t="inlineStr">
        <is>
          <t>81 Professional Center Parkway</t>
        </is>
      </c>
      <c r="H573" t="inlineStr">
        <is>
          <t>San Rafael</t>
        </is>
      </c>
      <c r="I573" t="inlineStr">
        <is>
          <t>Marin</t>
        </is>
      </c>
      <c r="J573" t="inlineStr">
        <is>
          <t>Professional Post Acute Center</t>
        </is>
      </c>
    </row>
    <row r="574">
      <c r="A574">
        <f>--ISNUMBER(IFERROR(SEARCH($C$5,Inputs!$D574,1),""))</f>
        <v/>
      </c>
      <c r="B574">
        <f>IF(A574=1,COUNTIF($A$6:A574,1),"")</f>
        <v/>
      </c>
      <c r="C574">
        <f>IFERROR(INDEX($D$6:$D$1750,MATCH(ROWS($B$6:B574),$B$6:$B$1750,0)),"")</f>
        <v/>
      </c>
      <c r="D574">
        <f>J574&amp;" ("&amp;E574&amp;")"</f>
        <v/>
      </c>
      <c r="E574" t="n">
        <v>20281</v>
      </c>
      <c r="F574" t="inlineStr">
        <is>
          <t>Skilled Nursing and Interm. Care Facility</t>
        </is>
      </c>
      <c r="G574" t="inlineStr">
        <is>
          <t>234 North San Pedro Road</t>
        </is>
      </c>
      <c r="H574" t="inlineStr">
        <is>
          <t>San Rafael</t>
        </is>
      </c>
      <c r="I574" t="inlineStr">
        <is>
          <t>Marin</t>
        </is>
      </c>
      <c r="J574" t="inlineStr">
        <is>
          <t>Marin Post Acute</t>
        </is>
      </c>
    </row>
    <row r="575">
      <c r="A575">
        <f>--ISNUMBER(IFERROR(SEARCH($C$5,Inputs!$D575,1),""))</f>
        <v/>
      </c>
      <c r="B575">
        <f>IF(A575=1,COUNTIF($A$6:A575,1),"")</f>
        <v/>
      </c>
      <c r="C575">
        <f>IFERROR(INDEX($D$6:$D$1750,MATCH(ROWS($B$6:B575),$B$6:$B$1750,0)),"")</f>
        <v/>
      </c>
      <c r="D575">
        <f>J575&amp;" ("&amp;E575&amp;")"</f>
        <v/>
      </c>
      <c r="E575" t="n">
        <v>20290</v>
      </c>
      <c r="F575" t="inlineStr">
        <is>
          <t>Skilled Nursing and Interm. Care Facility</t>
        </is>
      </c>
      <c r="G575" t="inlineStr">
        <is>
          <t>131 Whitmore Lane</t>
        </is>
      </c>
      <c r="H575" t="inlineStr">
        <is>
          <t>Ukiah</t>
        </is>
      </c>
      <c r="I575" t="inlineStr">
        <is>
          <t>Mendocino</t>
        </is>
      </c>
      <c r="J575" t="inlineStr">
        <is>
          <t>Mendocino Nursing Care Center</t>
        </is>
      </c>
    </row>
    <row r="576">
      <c r="A576">
        <f>--ISNUMBER(IFERROR(SEARCH($C$5,Inputs!$D576,1),""))</f>
        <v/>
      </c>
      <c r="B576">
        <f>IF(A576=1,COUNTIF($A$6:A576,1),"")</f>
        <v/>
      </c>
      <c r="C576">
        <f>IFERROR(INDEX($D$6:$D$1750,MATCH(ROWS($B$6:B576),$B$6:$B$1750,0)),"")</f>
        <v/>
      </c>
      <c r="D576">
        <f>J576&amp;" ("&amp;E576&amp;")"</f>
        <v/>
      </c>
      <c r="E576" t="n">
        <v>20292</v>
      </c>
      <c r="F576" t="inlineStr">
        <is>
          <t>Skilled Nursing and Interm. Care Facility</t>
        </is>
      </c>
      <c r="G576" t="inlineStr">
        <is>
          <t>1162 South Dora Street</t>
        </is>
      </c>
      <c r="H576" t="inlineStr">
        <is>
          <t>Ukiah</t>
        </is>
      </c>
      <c r="I576" t="inlineStr">
        <is>
          <t>Mendocino</t>
        </is>
      </c>
      <c r="J576" t="inlineStr">
        <is>
          <t>Redwood Cove Healthcare Center</t>
        </is>
      </c>
    </row>
    <row r="577">
      <c r="A577">
        <f>--ISNUMBER(IFERROR(SEARCH($C$5,Inputs!$D577,1),""))</f>
        <v/>
      </c>
      <c r="B577">
        <f>IF(A577=1,COUNTIF($A$6:A577,1),"")</f>
        <v/>
      </c>
      <c r="C577">
        <f>IFERROR(INDEX($D$6:$D$1750,MATCH(ROWS($B$6:B577),$B$6:$B$1750,0)),"")</f>
        <v/>
      </c>
      <c r="D577">
        <f>J577&amp;" ("&amp;E577&amp;")"</f>
        <v/>
      </c>
      <c r="E577" t="n">
        <v>20299</v>
      </c>
      <c r="F577" t="inlineStr">
        <is>
          <t>Skilled Nursing and Interm. Care Facility</t>
        </is>
      </c>
      <c r="G577" t="inlineStr">
        <is>
          <t>1349 S Dora St</t>
        </is>
      </c>
      <c r="H577" t="inlineStr">
        <is>
          <t>Ukiah</t>
        </is>
      </c>
      <c r="I577" t="inlineStr">
        <is>
          <t>Mendocino</t>
        </is>
      </c>
      <c r="J577" t="inlineStr">
        <is>
          <t>Ukiah Post Acute</t>
        </is>
      </c>
    </row>
    <row r="578">
      <c r="A578">
        <f>--ISNUMBER(IFERROR(SEARCH($C$5,Inputs!$D578,1),""))</f>
        <v/>
      </c>
      <c r="B578">
        <f>IF(A578=1,COUNTIF($A$6:A578,1),"")</f>
        <v/>
      </c>
      <c r="C578">
        <f>IFERROR(INDEX($D$6:$D$1750,MATCH(ROWS($B$6:B578),$B$6:$B$1750,0)),"")</f>
        <v/>
      </c>
      <c r="D578">
        <f>J578&amp;" ("&amp;E578&amp;")"</f>
        <v/>
      </c>
      <c r="E578" t="n">
        <v>20305</v>
      </c>
      <c r="F578" t="inlineStr">
        <is>
          <t>Skilled Nursing and Interm. Care Facility</t>
        </is>
      </c>
      <c r="G578" t="inlineStr">
        <is>
          <t>3169 M Street</t>
        </is>
      </c>
      <c r="H578" t="inlineStr">
        <is>
          <t>Merced</t>
        </is>
      </c>
      <c r="I578" t="inlineStr">
        <is>
          <t>Merced</t>
        </is>
      </c>
      <c r="J578" t="inlineStr">
        <is>
          <t>Franciscan Post-Acute Care Center</t>
        </is>
      </c>
    </row>
    <row r="579">
      <c r="A579">
        <f>--ISNUMBER(IFERROR(SEARCH($C$5,Inputs!$D579,1),""))</f>
        <v/>
      </c>
      <c r="B579">
        <f>IF(A579=1,COUNTIF($A$6:A579,1),"")</f>
        <v/>
      </c>
      <c r="C579">
        <f>IFERROR(INDEX($D$6:$D$1750,MATCH(ROWS($B$6:B579),$B$6:$B$1750,0)),"")</f>
        <v/>
      </c>
      <c r="D579">
        <f>J579&amp;" ("&amp;E579&amp;")"</f>
        <v/>
      </c>
      <c r="E579" t="n">
        <v>20306</v>
      </c>
      <c r="F579" t="inlineStr">
        <is>
          <t>Skilled Nursing and Interm. Care Facility</t>
        </is>
      </c>
      <c r="G579" t="inlineStr">
        <is>
          <t>13435 W Peach Ave</t>
        </is>
      </c>
      <c r="H579" t="inlineStr">
        <is>
          <t>Livingston</t>
        </is>
      </c>
      <c r="I579" t="inlineStr">
        <is>
          <t>Merced</t>
        </is>
      </c>
      <c r="J579" t="inlineStr">
        <is>
          <t>Grace Home, Inc</t>
        </is>
      </c>
    </row>
    <row r="580">
      <c r="A580">
        <f>--ISNUMBER(IFERROR(SEARCH($C$5,Inputs!$D580,1),""))</f>
        <v/>
      </c>
      <c r="B580">
        <f>IF(A580=1,COUNTIF($A$6:A580,1),"")</f>
        <v/>
      </c>
      <c r="C580">
        <f>IFERROR(INDEX($D$6:$D$1750,MATCH(ROWS($B$6:B580),$B$6:$B$1750,0)),"")</f>
        <v/>
      </c>
      <c r="D580">
        <f>J580&amp;" ("&amp;E580&amp;")"</f>
        <v/>
      </c>
      <c r="E580" t="n">
        <v>20307</v>
      </c>
      <c r="F580" t="inlineStr">
        <is>
          <t>Skilled Nursing and Interm. Care Facility</t>
        </is>
      </c>
      <c r="G580" t="inlineStr">
        <is>
          <t>3170 M St</t>
        </is>
      </c>
      <c r="H580" t="inlineStr">
        <is>
          <t>Merced</t>
        </is>
      </c>
      <c r="I580" t="inlineStr">
        <is>
          <t>Merced</t>
        </is>
      </c>
      <c r="J580" t="inlineStr">
        <is>
          <t>Hy-Lond Health Care Center - Merced</t>
        </is>
      </c>
    </row>
    <row r="581">
      <c r="A581">
        <f>--ISNUMBER(IFERROR(SEARCH($C$5,Inputs!$D581,1),""))</f>
        <v/>
      </c>
      <c r="B581">
        <f>IF(A581=1,COUNTIF($A$6:A581,1),"")</f>
        <v/>
      </c>
      <c r="C581">
        <f>IFERROR(INDEX($D$6:$D$1750,MATCH(ROWS($B$6:B581),$B$6:$B$1750,0)),"")</f>
        <v/>
      </c>
      <c r="D581">
        <f>J581&amp;" ("&amp;E581&amp;")"</f>
        <v/>
      </c>
      <c r="E581" t="n">
        <v>20308</v>
      </c>
      <c r="F581" t="inlineStr">
        <is>
          <t>Skilled Nursing and Interm. Care Facility</t>
        </is>
      </c>
      <c r="G581" t="inlineStr">
        <is>
          <t>2424 M Street</t>
        </is>
      </c>
      <c r="H581" t="inlineStr">
        <is>
          <t>Merced</t>
        </is>
      </c>
      <c r="I581" t="inlineStr">
        <is>
          <t>Merced</t>
        </is>
      </c>
      <c r="J581" t="inlineStr">
        <is>
          <t>La Sierra Care Center</t>
        </is>
      </c>
    </row>
    <row r="582">
      <c r="A582">
        <f>--ISNUMBER(IFERROR(SEARCH($C$5,Inputs!$D582,1),""))</f>
        <v/>
      </c>
      <c r="B582">
        <f>IF(A582=1,COUNTIF($A$6:A582,1),"")</f>
        <v/>
      </c>
      <c r="C582">
        <f>IFERROR(INDEX($D$6:$D$1750,MATCH(ROWS($B$6:B582),$B$6:$B$1750,0)),"")</f>
        <v/>
      </c>
      <c r="D582">
        <f>J582&amp;" ("&amp;E582&amp;")"</f>
        <v/>
      </c>
      <c r="E582" t="n">
        <v>20310</v>
      </c>
      <c r="F582" t="inlineStr">
        <is>
          <t>Skilled Nursing and Interm. Care Facility</t>
        </is>
      </c>
      <c r="G582" t="inlineStr">
        <is>
          <t>931 Idaho Ave</t>
        </is>
      </c>
      <c r="H582" t="inlineStr">
        <is>
          <t>Los Banos</t>
        </is>
      </c>
      <c r="I582" t="inlineStr">
        <is>
          <t>Merced</t>
        </is>
      </c>
      <c r="J582" t="inlineStr">
        <is>
          <t>Los Banos Nursing &amp; Rehabilitation Center</t>
        </is>
      </c>
    </row>
    <row r="583">
      <c r="A583">
        <f>--ISNUMBER(IFERROR(SEARCH($C$5,Inputs!$D583,1),""))</f>
        <v/>
      </c>
      <c r="B583">
        <f>IF(A583=1,COUNTIF($A$6:A583,1),"")</f>
        <v/>
      </c>
      <c r="C583">
        <f>IFERROR(INDEX($D$6:$D$1750,MATCH(ROWS($B$6:B583),$B$6:$B$1750,0)),"")</f>
        <v/>
      </c>
      <c r="D583">
        <f>J583&amp;" ("&amp;E583&amp;")"</f>
        <v/>
      </c>
      <c r="E583" t="n">
        <v>20312</v>
      </c>
      <c r="F583" t="inlineStr">
        <is>
          <t>Skilled Nursing and Interm. Care Facility</t>
        </is>
      </c>
      <c r="G583" t="inlineStr">
        <is>
          <t>510 W 26th St</t>
        </is>
      </c>
      <c r="H583" t="inlineStr">
        <is>
          <t>Merced</t>
        </is>
      </c>
      <c r="I583" t="inlineStr">
        <is>
          <t>Merced</t>
        </is>
      </c>
      <c r="J583" t="inlineStr">
        <is>
          <t>Merced Nursing &amp; Rehabilitation Center</t>
        </is>
      </c>
    </row>
    <row r="584">
      <c r="A584">
        <f>--ISNUMBER(IFERROR(SEARCH($C$5,Inputs!$D584,1),""))</f>
        <v/>
      </c>
      <c r="B584">
        <f>IF(A584=1,COUNTIF($A$6:A584,1),"")</f>
        <v/>
      </c>
      <c r="C584">
        <f>IFERROR(INDEX($D$6:$D$1750,MATCH(ROWS($B$6:B584),$B$6:$B$1750,0)),"")</f>
        <v/>
      </c>
      <c r="D584">
        <f>J584&amp;" ("&amp;E584&amp;")"</f>
        <v/>
      </c>
      <c r="E584" t="n">
        <v>20327</v>
      </c>
      <c r="F584" t="inlineStr">
        <is>
          <t>Skilled Nursing and Interm. Care Facility</t>
        </is>
      </c>
      <c r="G584" t="inlineStr">
        <is>
          <t>651 Sinex Avenue</t>
        </is>
      </c>
      <c r="H584" t="inlineStr">
        <is>
          <t>Pacific Grove</t>
        </is>
      </c>
      <c r="I584" t="inlineStr">
        <is>
          <t>Monterey</t>
        </is>
      </c>
      <c r="J584" t="inlineStr">
        <is>
          <t>Canterbury Woods</t>
        </is>
      </c>
    </row>
    <row r="585">
      <c r="A585">
        <f>--ISNUMBER(IFERROR(SEARCH($C$5,Inputs!$D585,1),""))</f>
        <v/>
      </c>
      <c r="B585">
        <f>IF(A585=1,COUNTIF($A$6:A585,1),"")</f>
        <v/>
      </c>
      <c r="C585">
        <f>IFERROR(INDEX($D$6:$D$1750,MATCH(ROWS($B$6:B585),$B$6:$B$1750,0)),"")</f>
        <v/>
      </c>
      <c r="D585">
        <f>J585&amp;" ("&amp;E585&amp;")"</f>
        <v/>
      </c>
      <c r="E585" t="n">
        <v>20329</v>
      </c>
      <c r="F585" t="inlineStr">
        <is>
          <t>Skilled Nursing and Interm. Care Facility</t>
        </is>
      </c>
      <c r="G585" t="inlineStr">
        <is>
          <t>8545 Carmel Valley Road</t>
        </is>
      </c>
      <c r="H585" t="inlineStr">
        <is>
          <t>Carmel</t>
        </is>
      </c>
      <c r="I585" t="inlineStr">
        <is>
          <t>Monterey</t>
        </is>
      </c>
      <c r="J585" t="inlineStr">
        <is>
          <t>Carmel Valley Manor</t>
        </is>
      </c>
    </row>
    <row r="586">
      <c r="A586">
        <f>--ISNUMBER(IFERROR(SEARCH($C$5,Inputs!$D586,1),""))</f>
        <v/>
      </c>
      <c r="B586">
        <f>IF(A586=1,COUNTIF($A$6:A586,1),"")</f>
        <v/>
      </c>
      <c r="C586">
        <f>IFERROR(INDEX($D$6:$D$1750,MATCH(ROWS($B$6:B586),$B$6:$B$1750,0)),"")</f>
        <v/>
      </c>
      <c r="D586">
        <f>J586&amp;" ("&amp;E586&amp;")"</f>
        <v/>
      </c>
      <c r="E586" t="n">
        <v>20331</v>
      </c>
      <c r="F586" t="inlineStr">
        <is>
          <t>Skilled Nursing and Interm. Care Facility</t>
        </is>
      </c>
      <c r="G586" t="inlineStr">
        <is>
          <t>1575 Skyline Dr</t>
        </is>
      </c>
      <c r="H586" t="inlineStr">
        <is>
          <t>Monterey</t>
        </is>
      </c>
      <c r="I586" t="inlineStr">
        <is>
          <t>Monterey</t>
        </is>
      </c>
      <c r="J586" t="inlineStr">
        <is>
          <t>Windsor Monterey Care Center</t>
        </is>
      </c>
    </row>
    <row r="587">
      <c r="A587">
        <f>--ISNUMBER(IFERROR(SEARCH($C$5,Inputs!$D587,1),""))</f>
        <v/>
      </c>
      <c r="B587">
        <f>IF(A587=1,COUNTIF($A$6:A587,1),"")</f>
        <v/>
      </c>
      <c r="C587">
        <f>IFERROR(INDEX($D$6:$D$1750,MATCH(ROWS($B$6:B587),$B$6:$B$1750,0)),"")</f>
        <v/>
      </c>
      <c r="D587">
        <f>J587&amp;" ("&amp;E587&amp;")"</f>
        <v/>
      </c>
      <c r="E587" t="n">
        <v>20332</v>
      </c>
      <c r="F587" t="inlineStr">
        <is>
          <t>Skilled Nursing and Interm. Care Facility</t>
        </is>
      </c>
      <c r="G587" t="inlineStr">
        <is>
          <t>350 Iris Drive</t>
        </is>
      </c>
      <c r="H587" t="inlineStr">
        <is>
          <t>Salinas</t>
        </is>
      </c>
      <c r="I587" t="inlineStr">
        <is>
          <t>Monterey</t>
        </is>
      </c>
      <c r="J587" t="inlineStr">
        <is>
          <t>Windsor The Ridge Rehabilitation Center</t>
        </is>
      </c>
    </row>
    <row r="588">
      <c r="A588">
        <f>--ISNUMBER(IFERROR(SEARCH($C$5,Inputs!$D588,1),""))</f>
        <v/>
      </c>
      <c r="B588">
        <f>IF(A588=1,COUNTIF($A$6:A588,1),"")</f>
        <v/>
      </c>
      <c r="C588">
        <f>IFERROR(INDEX($D$6:$D$1750,MATCH(ROWS($B$6:B588),$B$6:$B$1750,0)),"")</f>
        <v/>
      </c>
      <c r="D588">
        <f>J588&amp;" ("&amp;E588&amp;")"</f>
        <v/>
      </c>
      <c r="E588" t="n">
        <v>20337</v>
      </c>
      <c r="F588" t="inlineStr">
        <is>
          <t>Skilled Nursing and Interm. Care Facility</t>
        </is>
      </c>
      <c r="G588" t="inlineStr">
        <is>
          <t>315 Alameda Ave</t>
        </is>
      </c>
      <c r="H588" t="inlineStr">
        <is>
          <t>Salinas</t>
        </is>
      </c>
      <c r="I588" t="inlineStr">
        <is>
          <t>Monterey</t>
        </is>
      </c>
      <c r="J588" t="inlineStr">
        <is>
          <t>Katherine Healthcare</t>
        </is>
      </c>
    </row>
    <row r="589">
      <c r="A589">
        <f>--ISNUMBER(IFERROR(SEARCH($C$5,Inputs!$D589,1),""))</f>
        <v/>
      </c>
      <c r="B589">
        <f>IF(A589=1,COUNTIF($A$6:A589,1),"")</f>
        <v/>
      </c>
      <c r="C589">
        <f>IFERROR(INDEX($D$6:$D$1750,MATCH(ROWS($B$6:B589),$B$6:$B$1750,0)),"")</f>
        <v/>
      </c>
      <c r="D589">
        <f>J589&amp;" ("&amp;E589&amp;")"</f>
        <v/>
      </c>
      <c r="E589" t="n">
        <v>20344</v>
      </c>
      <c r="F589" t="inlineStr">
        <is>
          <t>Skilled Nursing and Interm. Care Facility</t>
        </is>
      </c>
      <c r="G589" t="inlineStr">
        <is>
          <t>200 Lighthouse Avenue</t>
        </is>
      </c>
      <c r="H589" t="inlineStr">
        <is>
          <t>Pacific Grove</t>
        </is>
      </c>
      <c r="I589" t="inlineStr">
        <is>
          <t>Monterey</t>
        </is>
      </c>
      <c r="J589" t="inlineStr">
        <is>
          <t>Pacific Grove Healthcare Center</t>
        </is>
      </c>
    </row>
    <row r="590">
      <c r="A590">
        <f>--ISNUMBER(IFERROR(SEARCH($C$5,Inputs!$D590,1),""))</f>
        <v/>
      </c>
      <c r="B590">
        <f>IF(A590=1,COUNTIF($A$6:A590,1),"")</f>
        <v/>
      </c>
      <c r="C590">
        <f>IFERROR(INDEX($D$6:$D$1750,MATCH(ROWS($B$6:B590),$B$6:$B$1750,0)),"")</f>
        <v/>
      </c>
      <c r="D590">
        <f>J590&amp;" ("&amp;E590&amp;")"</f>
        <v/>
      </c>
      <c r="E590" t="n">
        <v>20346</v>
      </c>
      <c r="F590" t="inlineStr">
        <is>
          <t>Skilled Nursing and Interm. Care Facility</t>
        </is>
      </c>
      <c r="G590" t="inlineStr">
        <is>
          <t>637 East Romie Lane</t>
        </is>
      </c>
      <c r="H590" t="inlineStr">
        <is>
          <t>Salinas</t>
        </is>
      </c>
      <c r="I590" t="inlineStr">
        <is>
          <t>Monterey</t>
        </is>
      </c>
      <c r="J590" t="inlineStr">
        <is>
          <t>Windsor Gardens Rehabilitation Center of Salinas</t>
        </is>
      </c>
    </row>
    <row r="591">
      <c r="A591">
        <f>--ISNUMBER(IFERROR(SEARCH($C$5,Inputs!$D591,1),""))</f>
        <v/>
      </c>
      <c r="B591">
        <f>IF(A591=1,COUNTIF($A$6:A591,1),"")</f>
        <v/>
      </c>
      <c r="C591">
        <f>IFERROR(INDEX($D$6:$D$1750,MATCH(ROWS($B$6:B591),$B$6:$B$1750,0)),"")</f>
        <v/>
      </c>
      <c r="D591">
        <f>J591&amp;" ("&amp;E591&amp;")"</f>
        <v/>
      </c>
      <c r="E591" t="n">
        <v>20349</v>
      </c>
      <c r="F591" t="inlineStr">
        <is>
          <t>Skilled Nursing and Interm. Care Facility</t>
        </is>
      </c>
      <c r="G591" t="inlineStr">
        <is>
          <t>1501 Skyline Drive</t>
        </is>
      </c>
      <c r="H591" t="inlineStr">
        <is>
          <t>Monterey</t>
        </is>
      </c>
      <c r="I591" t="inlineStr">
        <is>
          <t>Monterey</t>
        </is>
      </c>
      <c r="J591" t="inlineStr">
        <is>
          <t>Cypress Ridge Care Center</t>
        </is>
      </c>
    </row>
    <row r="592">
      <c r="A592">
        <f>--ISNUMBER(IFERROR(SEARCH($C$5,Inputs!$D592,1),""))</f>
        <v/>
      </c>
      <c r="B592">
        <f>IF(A592=1,COUNTIF($A$6:A592,1),"")</f>
        <v/>
      </c>
      <c r="C592">
        <f>IFERROR(INDEX($D$6:$D$1750,MATCH(ROWS($B$6:B592),$B$6:$B$1750,0)),"")</f>
        <v/>
      </c>
      <c r="D592">
        <f>J592&amp;" ("&amp;E592&amp;")"</f>
        <v/>
      </c>
      <c r="E592" t="n">
        <v>20350</v>
      </c>
      <c r="F592" t="inlineStr">
        <is>
          <t>Skilled Nursing and Interm. Care Facility</t>
        </is>
      </c>
      <c r="G592" t="inlineStr">
        <is>
          <t>348 Iris Drive</t>
        </is>
      </c>
      <c r="H592" t="inlineStr">
        <is>
          <t>Salinas</t>
        </is>
      </c>
      <c r="I592" t="inlineStr">
        <is>
          <t>Monterey</t>
        </is>
      </c>
      <c r="J592" t="inlineStr">
        <is>
          <t>Windsor Skyline Care Center</t>
        </is>
      </c>
    </row>
    <row r="593">
      <c r="A593">
        <f>--ISNUMBER(IFERROR(SEARCH($C$5,Inputs!$D593,1),""))</f>
        <v/>
      </c>
      <c r="B593">
        <f>IF(A593=1,COUNTIF($A$6:A593,1),"")</f>
        <v/>
      </c>
      <c r="C593">
        <f>IFERROR(INDEX($D$6:$D$1750,MATCH(ROWS($B$6:B593),$B$6:$B$1750,0)),"")</f>
        <v/>
      </c>
      <c r="D593">
        <f>J593&amp;" ("&amp;E593&amp;")"</f>
        <v/>
      </c>
      <c r="E593" t="n">
        <v>20361</v>
      </c>
      <c r="F593" t="inlineStr">
        <is>
          <t>Skilled Nursing and Interm. Care Facility</t>
        </is>
      </c>
      <c r="G593" t="inlineStr">
        <is>
          <t>1800 Pueblo Avenue</t>
        </is>
      </c>
      <c r="H593" t="inlineStr">
        <is>
          <t>Napa</t>
        </is>
      </c>
      <c r="I593" t="inlineStr">
        <is>
          <t>Napa</t>
        </is>
      </c>
      <c r="J593" t="inlineStr">
        <is>
          <t>Piner's Nursing Home</t>
        </is>
      </c>
    </row>
    <row r="594">
      <c r="A594">
        <f>--ISNUMBER(IFERROR(SEARCH($C$5,Inputs!$D594,1),""))</f>
        <v/>
      </c>
      <c r="B594">
        <f>IF(A594=1,COUNTIF($A$6:A594,1),"")</f>
        <v/>
      </c>
      <c r="C594">
        <f>IFERROR(INDEX($D$6:$D$1750,MATCH(ROWS($B$6:B594),$B$6:$B$1750,0)),"")</f>
        <v/>
      </c>
      <c r="D594">
        <f>J594&amp;" ("&amp;E594&amp;")"</f>
        <v/>
      </c>
      <c r="E594" t="n">
        <v>20368</v>
      </c>
      <c r="F594" t="inlineStr">
        <is>
          <t>Skilled Nursing and Interm. Care Facility</t>
        </is>
      </c>
      <c r="G594" t="inlineStr">
        <is>
          <t>705 Trancas Street</t>
        </is>
      </c>
      <c r="H594" t="inlineStr">
        <is>
          <t>Napa</t>
        </is>
      </c>
      <c r="I594" t="inlineStr">
        <is>
          <t>Napa</t>
        </is>
      </c>
      <c r="J594" t="inlineStr">
        <is>
          <t>Napa Post Acute</t>
        </is>
      </c>
    </row>
    <row r="595">
      <c r="A595">
        <f>--ISNUMBER(IFERROR(SEARCH($C$5,Inputs!$D595,1),""))</f>
        <v/>
      </c>
      <c r="B595">
        <f>IF(A595=1,COUNTIF($A$6:A595,1),"")</f>
        <v/>
      </c>
      <c r="C595">
        <f>IFERROR(INDEX($D$6:$D$1750,MATCH(ROWS($B$6:B595),$B$6:$B$1750,0)),"")</f>
        <v/>
      </c>
      <c r="D595">
        <f>J595&amp;" ("&amp;E595&amp;")"</f>
        <v/>
      </c>
      <c r="E595" t="n">
        <v>20369</v>
      </c>
      <c r="F595" t="inlineStr">
        <is>
          <t>Skilled Nursing and Interm. Care Facility</t>
        </is>
      </c>
      <c r="G595" t="inlineStr">
        <is>
          <t>107 Catherine Lane</t>
        </is>
      </c>
      <c r="H595" t="inlineStr">
        <is>
          <t>Grass Valley</t>
        </is>
      </c>
      <c r="I595" t="inlineStr">
        <is>
          <t>Nevada</t>
        </is>
      </c>
      <c r="J595" t="inlineStr">
        <is>
          <t>Wolf Creek Care Center</t>
        </is>
      </c>
    </row>
    <row r="596">
      <c r="A596">
        <f>--ISNUMBER(IFERROR(SEARCH($C$5,Inputs!$D596,1),""))</f>
        <v/>
      </c>
      <c r="B596">
        <f>IF(A596=1,COUNTIF($A$6:A596,1),"")</f>
        <v/>
      </c>
      <c r="C596">
        <f>IFERROR(INDEX($D$6:$D$1750,MATCH(ROWS($B$6:B596),$B$6:$B$1750,0)),"")</f>
        <v/>
      </c>
      <c r="D596">
        <f>J596&amp;" ("&amp;E596&amp;")"</f>
        <v/>
      </c>
      <c r="E596" t="n">
        <v>20376</v>
      </c>
      <c r="F596" t="inlineStr">
        <is>
          <t>Skilled Nursing and Interm. Care Facility</t>
        </is>
      </c>
      <c r="G596" t="inlineStr">
        <is>
          <t>355 Joerschke Drive</t>
        </is>
      </c>
      <c r="H596" t="inlineStr">
        <is>
          <t>Grass Valley</t>
        </is>
      </c>
      <c r="I596" t="inlineStr">
        <is>
          <t>Nevada</t>
        </is>
      </c>
      <c r="J596" t="inlineStr">
        <is>
          <t>Spring Hill Manor Convalescent Hospital</t>
        </is>
      </c>
    </row>
    <row r="597">
      <c r="A597">
        <f>--ISNUMBER(IFERROR(SEARCH($C$5,Inputs!$D597,1),""))</f>
        <v/>
      </c>
      <c r="B597">
        <f>IF(A597=1,COUNTIF($A$6:A597,1),"")</f>
        <v/>
      </c>
      <c r="C597">
        <f>IFERROR(INDEX($D$6:$D$1750,MATCH(ROWS($B$6:B597),$B$6:$B$1750,0)),"")</f>
        <v/>
      </c>
      <c r="D597">
        <f>J597&amp;" ("&amp;E597&amp;")"</f>
        <v/>
      </c>
      <c r="E597" t="n">
        <v>20380</v>
      </c>
      <c r="F597" t="inlineStr">
        <is>
          <t>Skilled Nursing and Interm. Care Facility</t>
        </is>
      </c>
      <c r="G597" t="inlineStr">
        <is>
          <t>501 S Beach Blvd</t>
        </is>
      </c>
      <c r="H597" t="inlineStr">
        <is>
          <t>Anaheim</t>
        </is>
      </c>
      <c r="I597" t="inlineStr">
        <is>
          <t>Orange</t>
        </is>
      </c>
      <c r="J597" t="inlineStr">
        <is>
          <t>Anaheim Healthcare Center, LLC</t>
        </is>
      </c>
    </row>
    <row r="598">
      <c r="A598">
        <f>--ISNUMBER(IFERROR(SEARCH($C$5,Inputs!$D598,1),""))</f>
        <v/>
      </c>
      <c r="B598">
        <f>IF(A598=1,COUNTIF($A$6:A598,1),"")</f>
        <v/>
      </c>
      <c r="C598">
        <f>IFERROR(INDEX($D$6:$D$1750,MATCH(ROWS($B$6:B598),$B$6:$B$1750,0)),"")</f>
        <v/>
      </c>
      <c r="D598">
        <f>J598&amp;" ("&amp;E598&amp;")"</f>
        <v/>
      </c>
      <c r="E598" t="n">
        <v>20384</v>
      </c>
      <c r="F598" t="inlineStr">
        <is>
          <t>Skilled Nursing and Interm. Care Facility</t>
        </is>
      </c>
      <c r="G598" t="inlineStr">
        <is>
          <t>1821 E. Chapman Ave.</t>
        </is>
      </c>
      <c r="H598" t="inlineStr">
        <is>
          <t>Fullerton</t>
        </is>
      </c>
      <c r="I598" t="inlineStr">
        <is>
          <t>Orange</t>
        </is>
      </c>
      <c r="J598" t="inlineStr">
        <is>
          <t>Gordon Lane Care Center</t>
        </is>
      </c>
    </row>
    <row r="599">
      <c r="A599">
        <f>--ISNUMBER(IFERROR(SEARCH($C$5,Inputs!$D599,1),""))</f>
        <v/>
      </c>
      <c r="B599">
        <f>IF(A599=1,COUNTIF($A$6:A599,1),"")</f>
        <v/>
      </c>
      <c r="C599">
        <f>IFERROR(INDEX($D$6:$D$1750,MATCH(ROWS($B$6:B599),$B$6:$B$1750,0)),"")</f>
        <v/>
      </c>
      <c r="D599">
        <f>J599&amp;" ("&amp;E599&amp;")"</f>
        <v/>
      </c>
      <c r="E599" t="n">
        <v>20386</v>
      </c>
      <c r="F599" t="inlineStr">
        <is>
          <t>Skilled Nursing and Interm. Care Facility</t>
        </is>
      </c>
      <c r="G599" t="inlineStr">
        <is>
          <t>3067 W Orange Ave</t>
        </is>
      </c>
      <c r="H599" t="inlineStr">
        <is>
          <t>Anaheim</t>
        </is>
      </c>
      <c r="I599" t="inlineStr">
        <is>
          <t>Orange</t>
        </is>
      </c>
      <c r="J599" t="inlineStr">
        <is>
          <t>Anaheim Crest Nursing Center</t>
        </is>
      </c>
    </row>
    <row r="600">
      <c r="A600">
        <f>--ISNUMBER(IFERROR(SEARCH($C$5,Inputs!$D600,1),""))</f>
        <v/>
      </c>
      <c r="B600">
        <f>IF(A600=1,COUNTIF($A$6:A600,1),"")</f>
        <v/>
      </c>
      <c r="C600">
        <f>IFERROR(INDEX($D$6:$D$1750,MATCH(ROWS($B$6:B600),$B$6:$B$1750,0)),"")</f>
        <v/>
      </c>
      <c r="D600">
        <f>J600&amp;" ("&amp;E600&amp;")"</f>
        <v/>
      </c>
      <c r="E600" t="n">
        <v>20387</v>
      </c>
      <c r="F600" t="inlineStr">
        <is>
          <t>Skilled Nursing and Interm. Care Facility</t>
        </is>
      </c>
      <c r="G600" t="inlineStr">
        <is>
          <t>340 Victoria St</t>
        </is>
      </c>
      <c r="H600" t="inlineStr">
        <is>
          <t>Costa Mesa</t>
        </is>
      </c>
      <c r="I600" t="inlineStr">
        <is>
          <t>Orange</t>
        </is>
      </c>
      <c r="J600" t="inlineStr">
        <is>
          <t>Victoria Healthcare and Rehabilitation Center</t>
        </is>
      </c>
    </row>
    <row r="601">
      <c r="A601">
        <f>--ISNUMBER(IFERROR(SEARCH($C$5,Inputs!$D601,1),""))</f>
        <v/>
      </c>
      <c r="B601">
        <f>IF(A601=1,COUNTIF($A$6:A601,1),"")</f>
        <v/>
      </c>
      <c r="C601">
        <f>IFERROR(INDEX($D$6:$D$1750,MATCH(ROWS($B$6:B601),$B$6:$B$1750,0)),"")</f>
        <v/>
      </c>
      <c r="D601">
        <f>J601&amp;" ("&amp;E601&amp;")"</f>
        <v/>
      </c>
      <c r="E601" t="n">
        <v>20388</v>
      </c>
      <c r="F601" t="inlineStr">
        <is>
          <t>Skilled Nursing and Interm. Care Facility</t>
        </is>
      </c>
      <c r="G601" t="inlineStr">
        <is>
          <t>3000 N. Gate Road</t>
        </is>
      </c>
      <c r="H601" t="inlineStr">
        <is>
          <t>Seal Beach</t>
        </is>
      </c>
      <c r="I601" t="inlineStr">
        <is>
          <t>Orange</t>
        </is>
      </c>
      <c r="J601" t="inlineStr">
        <is>
          <t>Seal Beach Health And Rehabilitation Center</t>
        </is>
      </c>
    </row>
    <row r="602">
      <c r="A602">
        <f>--ISNUMBER(IFERROR(SEARCH($C$5,Inputs!$D602,1),""))</f>
        <v/>
      </c>
      <c r="B602">
        <f>IF(A602=1,COUNTIF($A$6:A602,1),"")</f>
        <v/>
      </c>
      <c r="C602">
        <f>IFERROR(INDEX($D$6:$D$1750,MATCH(ROWS($B$6:B602),$B$6:$B$1750,0)),"")</f>
        <v/>
      </c>
      <c r="D602">
        <f>J602&amp;" ("&amp;E602&amp;")"</f>
        <v/>
      </c>
      <c r="E602" t="n">
        <v>20393</v>
      </c>
      <c r="F602" t="inlineStr">
        <is>
          <t>Skilled Nursing and Interm. Care Facility</t>
        </is>
      </c>
      <c r="G602" t="inlineStr">
        <is>
          <t>35410 Del Rey</t>
        </is>
      </c>
      <c r="H602" t="inlineStr">
        <is>
          <t>Capistrano Beach</t>
        </is>
      </c>
      <c r="I602" t="inlineStr">
        <is>
          <t>Orange</t>
        </is>
      </c>
      <c r="J602" t="inlineStr">
        <is>
          <t>Capistrano Beach Care Center</t>
        </is>
      </c>
    </row>
    <row r="603">
      <c r="A603">
        <f>--ISNUMBER(IFERROR(SEARCH($C$5,Inputs!$D603,1),""))</f>
        <v/>
      </c>
      <c r="B603">
        <f>IF(A603=1,COUNTIF($A$6:A603,1),"")</f>
        <v/>
      </c>
      <c r="C603">
        <f>IFERROR(INDEX($D$6:$D$1750,MATCH(ROWS($B$6:B603),$B$6:$B$1750,0)),"")</f>
        <v/>
      </c>
      <c r="D603">
        <f>J603&amp;" ("&amp;E603&amp;")"</f>
        <v/>
      </c>
      <c r="E603" t="n">
        <v>20395</v>
      </c>
      <c r="F603" t="inlineStr">
        <is>
          <t>Skilled Nursing and Interm. Care Facility</t>
        </is>
      </c>
      <c r="G603" t="inlineStr">
        <is>
          <t>1440 S Euclid St</t>
        </is>
      </c>
      <c r="H603" t="inlineStr">
        <is>
          <t>Anaheim</t>
        </is>
      </c>
      <c r="I603" t="inlineStr">
        <is>
          <t>Orange</t>
        </is>
      </c>
      <c r="J603" t="inlineStr">
        <is>
          <t>Buena Vista Care Center</t>
        </is>
      </c>
    </row>
    <row r="604">
      <c r="A604">
        <f>--ISNUMBER(IFERROR(SEARCH($C$5,Inputs!$D604,1),""))</f>
        <v/>
      </c>
      <c r="B604">
        <f>IF(A604=1,COUNTIF($A$6:A604,1),"")</f>
        <v/>
      </c>
      <c r="C604">
        <f>IFERROR(INDEX($D$6:$D$1750,MATCH(ROWS($B$6:B604),$B$6:$B$1750,0)),"")</f>
        <v/>
      </c>
      <c r="D604">
        <f>J604&amp;" ("&amp;E604&amp;")"</f>
        <v/>
      </c>
      <c r="E604" t="n">
        <v>20399</v>
      </c>
      <c r="F604" t="inlineStr">
        <is>
          <t>Skilled Nursing and Interm. Care Facility</t>
        </is>
      </c>
      <c r="G604" t="inlineStr">
        <is>
          <t>861 S Harbor Blvd</t>
        </is>
      </c>
      <c r="H604" t="inlineStr">
        <is>
          <t>Anaheim</t>
        </is>
      </c>
      <c r="I604" t="inlineStr">
        <is>
          <t>Orange</t>
        </is>
      </c>
      <c r="J604" t="inlineStr">
        <is>
          <t>Harbor Villa Care Center</t>
        </is>
      </c>
    </row>
    <row r="605">
      <c r="A605">
        <f>--ISNUMBER(IFERROR(SEARCH($C$5,Inputs!$D605,1),""))</f>
        <v/>
      </c>
      <c r="B605">
        <f>IF(A605=1,COUNTIF($A$6:A605,1),"")</f>
        <v/>
      </c>
      <c r="C605">
        <f>IFERROR(INDEX($D$6:$D$1750,MATCH(ROWS($B$6:B605),$B$6:$B$1750,0)),"")</f>
        <v/>
      </c>
      <c r="D605">
        <f>J605&amp;" ("&amp;E605&amp;")"</f>
        <v/>
      </c>
      <c r="E605" t="n">
        <v>20401</v>
      </c>
      <c r="F605" t="inlineStr">
        <is>
          <t>Skilled Nursing and Interm. Care Facility</t>
        </is>
      </c>
      <c r="G605" t="inlineStr">
        <is>
          <t>12232 Chapman Ave</t>
        </is>
      </c>
      <c r="H605" t="inlineStr">
        <is>
          <t>Garden Grove</t>
        </is>
      </c>
      <c r="I605" t="inlineStr">
        <is>
          <t>Orange</t>
        </is>
      </c>
      <c r="J605" t="inlineStr">
        <is>
          <t>Chapman Care Center</t>
        </is>
      </c>
    </row>
    <row r="606">
      <c r="A606">
        <f>--ISNUMBER(IFERROR(SEARCH($C$5,Inputs!$D606,1),""))</f>
        <v/>
      </c>
      <c r="B606">
        <f>IF(A606=1,COUNTIF($A$6:A606,1),"")</f>
        <v/>
      </c>
      <c r="C606">
        <f>IFERROR(INDEX($D$6:$D$1750,MATCH(ROWS($B$6:B606),$B$6:$B$1750,0)),"")</f>
        <v/>
      </c>
      <c r="D606">
        <f>J606&amp;" ("&amp;E606&amp;")"</f>
        <v/>
      </c>
      <c r="E606" t="n">
        <v>20403</v>
      </c>
      <c r="F606" t="inlineStr">
        <is>
          <t>Skilled Nursing and Interm. Care Facility</t>
        </is>
      </c>
      <c r="G606" t="inlineStr">
        <is>
          <t>2040 South Euclid Street</t>
        </is>
      </c>
      <c r="H606" t="inlineStr">
        <is>
          <t>Anaheim</t>
        </is>
      </c>
      <c r="I606" t="inlineStr">
        <is>
          <t>Orange</t>
        </is>
      </c>
      <c r="J606" t="inlineStr">
        <is>
          <t>Coventry Court Health Center</t>
        </is>
      </c>
    </row>
    <row r="607">
      <c r="A607">
        <f>--ISNUMBER(IFERROR(SEARCH($C$5,Inputs!$D607,1),""))</f>
        <v/>
      </c>
      <c r="B607">
        <f>IF(A607=1,COUNTIF($A$6:A607,1),"")</f>
        <v/>
      </c>
      <c r="C607">
        <f>IFERROR(INDEX($D$6:$D$1750,MATCH(ROWS($B$6:B607),$B$6:$B$1750,0)),"")</f>
        <v/>
      </c>
      <c r="D607">
        <f>J607&amp;" ("&amp;E607&amp;")"</f>
        <v/>
      </c>
      <c r="E607" t="n">
        <v>20404</v>
      </c>
      <c r="F607" t="inlineStr">
        <is>
          <t>Skilled Nursing and Interm. Care Facility</t>
        </is>
      </c>
      <c r="G607" t="inlineStr">
        <is>
          <t>661 Center St</t>
        </is>
      </c>
      <c r="H607" t="inlineStr">
        <is>
          <t>Costa Mesa</t>
        </is>
      </c>
      <c r="I607" t="inlineStr">
        <is>
          <t>Orange</t>
        </is>
      </c>
      <c r="J607" t="inlineStr">
        <is>
          <t>Mesa Verde Post Acute Care Center</t>
        </is>
      </c>
    </row>
    <row r="608">
      <c r="A608">
        <f>--ISNUMBER(IFERROR(SEARCH($C$5,Inputs!$D608,1),""))</f>
        <v/>
      </c>
      <c r="B608">
        <f>IF(A608=1,COUNTIF($A$6:A608,1),"")</f>
        <v/>
      </c>
      <c r="C608">
        <f>IFERROR(INDEX($D$6:$D$1750,MATCH(ROWS($B$6:B608),$B$6:$B$1750,0)),"")</f>
        <v/>
      </c>
      <c r="D608">
        <f>J608&amp;" ("&amp;E608&amp;")"</f>
        <v/>
      </c>
      <c r="E608" t="n">
        <v>20409</v>
      </c>
      <c r="F608" t="inlineStr">
        <is>
          <t>Skilled Nursing and Interm. Care Facility</t>
        </is>
      </c>
      <c r="G608" t="inlineStr">
        <is>
          <t>8520 Western Ave</t>
        </is>
      </c>
      <c r="H608" t="inlineStr">
        <is>
          <t>Buena Park</t>
        </is>
      </c>
      <c r="I608" t="inlineStr">
        <is>
          <t>Orange</t>
        </is>
      </c>
      <c r="J608" t="inlineStr">
        <is>
          <t>Buena Park Nursing Center</t>
        </is>
      </c>
    </row>
    <row r="609">
      <c r="A609">
        <f>--ISNUMBER(IFERROR(SEARCH($C$5,Inputs!$D609,1),""))</f>
        <v/>
      </c>
      <c r="B609">
        <f>IF(A609=1,COUNTIF($A$6:A609,1),"")</f>
        <v/>
      </c>
      <c r="C609">
        <f>IFERROR(INDEX($D$6:$D$1750,MATCH(ROWS($B$6:B609),$B$6:$B$1750,0)),"")</f>
        <v/>
      </c>
      <c r="D609">
        <f>J609&amp;" ("&amp;E609&amp;")"</f>
        <v/>
      </c>
      <c r="E609" t="n">
        <v>20411</v>
      </c>
      <c r="F609" t="inlineStr">
        <is>
          <t>Skilled Nursing and Interm. Care Facility</t>
        </is>
      </c>
      <c r="G609" t="inlineStr">
        <is>
          <t>1835 W La Veta Ave</t>
        </is>
      </c>
      <c r="H609" t="inlineStr">
        <is>
          <t>Orange</t>
        </is>
      </c>
      <c r="I609" t="inlineStr">
        <is>
          <t>Orange</t>
        </is>
      </c>
      <c r="J609" t="inlineStr">
        <is>
          <t>Mainplace Post Acute</t>
        </is>
      </c>
    </row>
    <row r="610">
      <c r="A610">
        <f>--ISNUMBER(IFERROR(SEARCH($C$5,Inputs!$D610,1),""))</f>
        <v/>
      </c>
      <c r="B610">
        <f>IF(A610=1,COUNTIF($A$6:A610,1),"")</f>
        <v/>
      </c>
      <c r="C610">
        <f>IFERROR(INDEX($D$6:$D$1750,MATCH(ROWS($B$6:B610),$B$6:$B$1750,0)),"")</f>
        <v/>
      </c>
      <c r="D610">
        <f>J610&amp;" ("&amp;E610&amp;")"</f>
        <v/>
      </c>
      <c r="E610" t="n">
        <v>20418</v>
      </c>
      <c r="F610" t="inlineStr">
        <is>
          <t>Skilled Nursing and Interm. Care Facility</t>
        </is>
      </c>
      <c r="G610" t="inlineStr">
        <is>
          <t>7781 Garfield Ave</t>
        </is>
      </c>
      <c r="H610" t="inlineStr">
        <is>
          <t>Huntington Beach</t>
        </is>
      </c>
      <c r="I610" t="inlineStr">
        <is>
          <t>Orange</t>
        </is>
      </c>
      <c r="J610" t="inlineStr">
        <is>
          <t>Beachside Nursing Center</t>
        </is>
      </c>
    </row>
    <row r="611">
      <c r="A611">
        <f>--ISNUMBER(IFERROR(SEARCH($C$5,Inputs!$D611,1),""))</f>
        <v/>
      </c>
      <c r="B611">
        <f>IF(A611=1,COUNTIF($A$6:A611,1),"")</f>
        <v/>
      </c>
      <c r="C611">
        <f>IFERROR(INDEX($D$6:$D$1750,MATCH(ROWS($B$6:B611),$B$6:$B$1750,0)),"")</f>
        <v/>
      </c>
      <c r="D611">
        <f>J611&amp;" ("&amp;E611&amp;")"</f>
        <v/>
      </c>
      <c r="E611" t="n">
        <v>20419</v>
      </c>
      <c r="F611" t="inlineStr">
        <is>
          <t>Skilled Nursing and Interm. Care Facility</t>
        </is>
      </c>
      <c r="G611" t="inlineStr">
        <is>
          <t>1130 W La Palma Ave</t>
        </is>
      </c>
      <c r="H611" t="inlineStr">
        <is>
          <t>Anaheim</t>
        </is>
      </c>
      <c r="I611" t="inlineStr">
        <is>
          <t>Orange</t>
        </is>
      </c>
      <c r="J611" t="inlineStr">
        <is>
          <t>La Palma Nursing Center</t>
        </is>
      </c>
    </row>
    <row r="612">
      <c r="A612">
        <f>--ISNUMBER(IFERROR(SEARCH($C$5,Inputs!$D612,1),""))</f>
        <v/>
      </c>
      <c r="B612">
        <f>IF(A612=1,COUNTIF($A$6:A612,1),"")</f>
        <v/>
      </c>
      <c r="C612">
        <f>IFERROR(INDEX($D$6:$D$1750,MATCH(ROWS($B$6:B612),$B$6:$B$1750,0)),"")</f>
        <v/>
      </c>
      <c r="D612">
        <f>J612&amp;" ("&amp;E612&amp;")"</f>
        <v/>
      </c>
      <c r="E612" t="n">
        <v>20420</v>
      </c>
      <c r="F612" t="inlineStr">
        <is>
          <t>Skilled Nursing and Interm. Care Facility</t>
        </is>
      </c>
      <c r="G612" t="inlineStr">
        <is>
          <t>1135 N Leisure Ct</t>
        </is>
      </c>
      <c r="H612" t="inlineStr">
        <is>
          <t>Anaheim</t>
        </is>
      </c>
      <c r="I612" t="inlineStr">
        <is>
          <t>Orange</t>
        </is>
      </c>
      <c r="J612" t="inlineStr">
        <is>
          <t>Leisure Court Nursing Center</t>
        </is>
      </c>
    </row>
    <row r="613">
      <c r="A613">
        <f>--ISNUMBER(IFERROR(SEARCH($C$5,Inputs!$D613,1),""))</f>
        <v/>
      </c>
      <c r="B613">
        <f>IF(A613=1,COUNTIF($A$6:A613,1),"")</f>
        <v/>
      </c>
      <c r="C613">
        <f>IFERROR(INDEX($D$6:$D$1750,MATCH(ROWS($B$6:B613),$B$6:$B$1750,0)),"")</f>
        <v/>
      </c>
      <c r="D613">
        <f>J613&amp;" ("&amp;E613&amp;")"</f>
        <v/>
      </c>
      <c r="E613" t="n">
        <v>20425</v>
      </c>
      <c r="F613" t="inlineStr">
        <is>
          <t>Skilled Nursing and Interm. Care Facility</t>
        </is>
      </c>
      <c r="G613" t="inlineStr">
        <is>
          <t>920 W La Veta Ave</t>
        </is>
      </c>
      <c r="H613" t="inlineStr">
        <is>
          <t>Orange</t>
        </is>
      </c>
      <c r="I613" t="inlineStr">
        <is>
          <t>Orange</t>
        </is>
      </c>
      <c r="J613" t="inlineStr">
        <is>
          <t>Orange Healthcare &amp; Wellness Centre, LLC</t>
        </is>
      </c>
    </row>
    <row r="614">
      <c r="A614">
        <f>--ISNUMBER(IFERROR(SEARCH($C$5,Inputs!$D614,1),""))</f>
        <v/>
      </c>
      <c r="B614">
        <f>IF(A614=1,COUNTIF($A$6:A614,1),"")</f>
        <v/>
      </c>
      <c r="C614">
        <f>IFERROR(INDEX($D$6:$D$1750,MATCH(ROWS($B$6:B614),$B$6:$B$1750,0)),"")</f>
        <v/>
      </c>
      <c r="D614">
        <f>J614&amp;" ("&amp;E614&amp;")"</f>
        <v/>
      </c>
      <c r="E614" t="n">
        <v>20426</v>
      </c>
      <c r="F614" t="inlineStr">
        <is>
          <t>Skilled Nursing and Interm. Care Facility</t>
        </is>
      </c>
      <c r="G614" t="inlineStr">
        <is>
          <t>2210 E 1st St</t>
        </is>
      </c>
      <c r="H614" t="inlineStr">
        <is>
          <t>Santa Ana</t>
        </is>
      </c>
      <c r="I614" t="inlineStr">
        <is>
          <t>Orange</t>
        </is>
      </c>
      <c r="J614" t="inlineStr">
        <is>
          <t>Advanced Rehab Center Of Tustin</t>
        </is>
      </c>
    </row>
    <row r="615">
      <c r="A615">
        <f>--ISNUMBER(IFERROR(SEARCH($C$5,Inputs!$D615,1),""))</f>
        <v/>
      </c>
      <c r="B615">
        <f>IF(A615=1,COUNTIF($A$6:A615,1),"")</f>
        <v/>
      </c>
      <c r="C615">
        <f>IFERROR(INDEX($D$6:$D$1750,MATCH(ROWS($B$6:B615),$B$6:$B$1750,0)),"")</f>
        <v/>
      </c>
      <c r="D615">
        <f>J615&amp;" ("&amp;E615&amp;")"</f>
        <v/>
      </c>
      <c r="E615" t="n">
        <v>20432</v>
      </c>
      <c r="F615" t="inlineStr">
        <is>
          <t>Skilled Nursing and Interm. Care Facility</t>
        </is>
      </c>
      <c r="G615" t="inlineStr">
        <is>
          <t>12681 Haster St</t>
        </is>
      </c>
      <c r="H615" t="inlineStr">
        <is>
          <t>Garden Grove</t>
        </is>
      </c>
      <c r="I615" t="inlineStr">
        <is>
          <t>Orange</t>
        </is>
      </c>
      <c r="J615" t="inlineStr">
        <is>
          <t>Garden Park Care Center</t>
        </is>
      </c>
    </row>
    <row r="616">
      <c r="A616">
        <f>--ISNUMBER(IFERROR(SEARCH($C$5,Inputs!$D616,1),""))</f>
        <v/>
      </c>
      <c r="B616">
        <f>IF(A616=1,COUNTIF($A$6:A616,1),"")</f>
        <v/>
      </c>
      <c r="C616">
        <f>IFERROR(INDEX($D$6:$D$1750,MATCH(ROWS($B$6:B616),$B$6:$B$1750,0)),"")</f>
        <v/>
      </c>
      <c r="D616">
        <f>J616&amp;" ("&amp;E616&amp;")"</f>
        <v/>
      </c>
      <c r="E616" t="n">
        <v>20433</v>
      </c>
      <c r="F616" t="inlineStr">
        <is>
          <t>Skilled Nursing and Interm. Care Facility</t>
        </is>
      </c>
      <c r="G616" t="inlineStr">
        <is>
          <t>8382 Newman Ave</t>
        </is>
      </c>
      <c r="H616" t="inlineStr">
        <is>
          <t>Huntington Beach</t>
        </is>
      </c>
      <c r="I616" t="inlineStr">
        <is>
          <t>Orange</t>
        </is>
      </c>
      <c r="J616" t="inlineStr">
        <is>
          <t>Huntington Valley Healthcare Center</t>
        </is>
      </c>
    </row>
    <row r="617">
      <c r="A617">
        <f>--ISNUMBER(IFERROR(SEARCH($C$5,Inputs!$D617,1),""))</f>
        <v/>
      </c>
      <c r="B617">
        <f>IF(A617=1,COUNTIF($A$6:A617,1),"")</f>
        <v/>
      </c>
      <c r="C617">
        <f>IFERROR(INDEX($D$6:$D$1750,MATCH(ROWS($B$6:B617),$B$6:$B$1750,0)),"")</f>
        <v/>
      </c>
      <c r="D617">
        <f>J617&amp;" ("&amp;E617&amp;")"</f>
        <v/>
      </c>
      <c r="E617" t="n">
        <v>20435</v>
      </c>
      <c r="F617" t="inlineStr">
        <is>
          <t>Skilled Nursing and Interm. Care Facility</t>
        </is>
      </c>
      <c r="G617" t="inlineStr">
        <is>
          <t>1030 W Warner Ave</t>
        </is>
      </c>
      <c r="H617" t="inlineStr">
        <is>
          <t>Santa Ana</t>
        </is>
      </c>
      <c r="I617" t="inlineStr">
        <is>
          <t>Orange</t>
        </is>
      </c>
      <c r="J617" t="inlineStr">
        <is>
          <t>South Coast Post Acute</t>
        </is>
      </c>
    </row>
    <row r="618">
      <c r="A618">
        <f>--ISNUMBER(IFERROR(SEARCH($C$5,Inputs!$D618,1),""))</f>
        <v/>
      </c>
      <c r="B618">
        <f>IF(A618=1,COUNTIF($A$6:A618,1),"")</f>
        <v/>
      </c>
      <c r="C618">
        <f>IFERROR(INDEX($D$6:$D$1750,MATCH(ROWS($B$6:B618),$B$6:$B$1750,0)),"")</f>
        <v/>
      </c>
      <c r="D618">
        <f>J618&amp;" ("&amp;E618&amp;")"</f>
        <v/>
      </c>
      <c r="E618" t="n">
        <v>20437</v>
      </c>
      <c r="F618" t="inlineStr">
        <is>
          <t>Skilled Nursing and Interm. Care Facility</t>
        </is>
      </c>
      <c r="G618" t="inlineStr">
        <is>
          <t>1233 W La Habra Blvd</t>
        </is>
      </c>
      <c r="H618" t="inlineStr">
        <is>
          <t>La Habra</t>
        </is>
      </c>
      <c r="I618" t="inlineStr">
        <is>
          <t>Orange</t>
        </is>
      </c>
      <c r="J618" t="inlineStr">
        <is>
          <t>La Habra Convalescent Hospital</t>
        </is>
      </c>
    </row>
    <row r="619">
      <c r="A619">
        <f>--ISNUMBER(IFERROR(SEARCH($C$5,Inputs!$D619,1),""))</f>
        <v/>
      </c>
      <c r="B619">
        <f>IF(A619=1,COUNTIF($A$6:A619,1),"")</f>
        <v/>
      </c>
      <c r="C619">
        <f>IFERROR(INDEX($D$6:$D$1750,MATCH(ROWS($B$6:B619),$B$6:$B$1750,0)),"")</f>
        <v/>
      </c>
      <c r="D619">
        <f>J619&amp;" ("&amp;E619&amp;")"</f>
        <v/>
      </c>
      <c r="E619" t="n">
        <v>20447</v>
      </c>
      <c r="F619" t="inlineStr">
        <is>
          <t>Skilled Nursing and Interm. Care Facility</t>
        </is>
      </c>
      <c r="G619" t="inlineStr">
        <is>
          <t>1720 W Orange Ave</t>
        </is>
      </c>
      <c r="H619" t="inlineStr">
        <is>
          <t>Anaheim</t>
        </is>
      </c>
      <c r="I619" t="inlineStr">
        <is>
          <t>Orange</t>
        </is>
      </c>
      <c r="J619" t="inlineStr">
        <is>
          <t>Sun Mar Nursing Center</t>
        </is>
      </c>
    </row>
    <row r="620">
      <c r="A620">
        <f>--ISNUMBER(IFERROR(SEARCH($C$5,Inputs!$D620,1),""))</f>
        <v/>
      </c>
      <c r="B620">
        <f>IF(A620=1,COUNTIF($A$6:A620,1),"")</f>
        <v/>
      </c>
      <c r="C620">
        <f>IFERROR(INDEX($D$6:$D$1750,MATCH(ROWS($B$6:B620),$B$6:$B$1750,0)),"")</f>
        <v/>
      </c>
      <c r="D620">
        <f>J620&amp;" ("&amp;E620&amp;")"</f>
        <v/>
      </c>
      <c r="E620" t="n">
        <v>20448</v>
      </c>
      <c r="F620" t="inlineStr">
        <is>
          <t>Skilled Nursing and Interm. Care Facility</t>
        </is>
      </c>
      <c r="G620" t="inlineStr">
        <is>
          <t>9021 Knott Ave</t>
        </is>
      </c>
      <c r="H620" t="inlineStr">
        <is>
          <t>Buena Park</t>
        </is>
      </c>
      <c r="I620" t="inlineStr">
        <is>
          <t>Orange</t>
        </is>
      </c>
      <c r="J620" t="inlineStr">
        <is>
          <t>Healthcare Center Of Orange County</t>
        </is>
      </c>
    </row>
    <row r="621">
      <c r="A621">
        <f>--ISNUMBER(IFERROR(SEARCH($C$5,Inputs!$D621,1),""))</f>
        <v/>
      </c>
      <c r="B621">
        <f>IF(A621=1,COUNTIF($A$6:A621,1),"")</f>
        <v/>
      </c>
      <c r="C621">
        <f>IFERROR(INDEX($D$6:$D$1750,MATCH(ROWS($B$6:B621),$B$6:$B$1750,0)),"")</f>
        <v/>
      </c>
      <c r="D621">
        <f>J621&amp;" ("&amp;E621&amp;")"</f>
        <v/>
      </c>
      <c r="E621" t="n">
        <v>20449</v>
      </c>
      <c r="F621" t="inlineStr">
        <is>
          <t>Skilled Nursing and Interm. Care Facility</t>
        </is>
      </c>
      <c r="G621" t="inlineStr">
        <is>
          <t>13075 Blackbird Street</t>
        </is>
      </c>
      <c r="H621" t="inlineStr">
        <is>
          <t>Garden Grove</t>
        </is>
      </c>
      <c r="I621" t="inlineStr">
        <is>
          <t>Orange</t>
        </is>
      </c>
      <c r="J621" t="inlineStr">
        <is>
          <t>Alta Gardens Care Center</t>
        </is>
      </c>
    </row>
    <row r="622">
      <c r="A622">
        <f>--ISNUMBER(IFERROR(SEARCH($C$5,Inputs!$D622,1),""))</f>
        <v/>
      </c>
      <c r="B622">
        <f>IF(A622=1,COUNTIF($A$6:A622,1),"")</f>
        <v/>
      </c>
      <c r="C622">
        <f>IFERROR(INDEX($D$6:$D$1750,MATCH(ROWS($B$6:B622),$B$6:$B$1750,0)),"")</f>
        <v/>
      </c>
      <c r="D622">
        <f>J622&amp;" ("&amp;E622&amp;")"</f>
        <v/>
      </c>
      <c r="E622" t="n">
        <v>20451</v>
      </c>
      <c r="F622" t="inlineStr">
        <is>
          <t>Skilled Nursing and Interm. Care Facility</t>
        </is>
      </c>
      <c r="G622" t="inlineStr">
        <is>
          <t>1445 Superior Avenue</t>
        </is>
      </c>
      <c r="H622" t="inlineStr">
        <is>
          <t>Newport Beach</t>
        </is>
      </c>
      <c r="I622" t="inlineStr">
        <is>
          <t>Orange</t>
        </is>
      </c>
      <c r="J622" t="inlineStr">
        <is>
          <t>Crystal Cove Care Center</t>
        </is>
      </c>
    </row>
    <row r="623">
      <c r="A623">
        <f>--ISNUMBER(IFERROR(SEARCH($C$5,Inputs!$D623,1),""))</f>
        <v/>
      </c>
      <c r="B623">
        <f>IF(A623=1,COUNTIF($A$6:A623,1),"")</f>
        <v/>
      </c>
      <c r="C623">
        <f>IFERROR(INDEX($D$6:$D$1750,MATCH(ROWS($B$6:B623),$B$6:$B$1750,0)),"")</f>
        <v/>
      </c>
      <c r="D623">
        <f>J623&amp;" ("&amp;E623&amp;")"</f>
        <v/>
      </c>
      <c r="E623" t="n">
        <v>20452</v>
      </c>
      <c r="F623" t="inlineStr">
        <is>
          <t>Skilled Nursing and Interm. Care Facility</t>
        </is>
      </c>
      <c r="G623" t="inlineStr">
        <is>
          <t>1514 E Lincoln Ave</t>
        </is>
      </c>
      <c r="H623" t="inlineStr">
        <is>
          <t>Anaheim</t>
        </is>
      </c>
      <c r="I623" t="inlineStr">
        <is>
          <t>Orange</t>
        </is>
      </c>
      <c r="J623" t="inlineStr">
        <is>
          <t>Parkview Healthcare Center</t>
        </is>
      </c>
    </row>
    <row r="624">
      <c r="A624">
        <f>--ISNUMBER(IFERROR(SEARCH($C$5,Inputs!$D624,1),""))</f>
        <v/>
      </c>
      <c r="B624">
        <f>IF(A624=1,COUNTIF($A$6:A624,1),"")</f>
        <v/>
      </c>
      <c r="C624">
        <f>IFERROR(INDEX($D$6:$D$1750,MATCH(ROWS($B$6:B624),$B$6:$B$1750,0)),"")</f>
        <v/>
      </c>
      <c r="D624">
        <f>J624&amp;" ("&amp;E624&amp;")"</f>
        <v/>
      </c>
      <c r="E624" t="n">
        <v>20453</v>
      </c>
      <c r="F624" t="inlineStr">
        <is>
          <t>Skilled Nursing and Interm. Care Facility</t>
        </is>
      </c>
      <c r="G624" t="inlineStr">
        <is>
          <t>466 Flagship Road</t>
        </is>
      </c>
      <c r="H624" t="inlineStr">
        <is>
          <t>Newport Beach</t>
        </is>
      </c>
      <c r="I624" t="inlineStr">
        <is>
          <t>Orange</t>
        </is>
      </c>
      <c r="J624" t="inlineStr">
        <is>
          <t>Pelican Ridge Post Acute</t>
        </is>
      </c>
    </row>
    <row r="625">
      <c r="A625">
        <f>--ISNUMBER(IFERROR(SEARCH($C$5,Inputs!$D625,1),""))</f>
        <v/>
      </c>
      <c r="B625">
        <f>IF(A625=1,COUNTIF($A$6:A625,1),"")</f>
        <v/>
      </c>
      <c r="C625">
        <f>IFERROR(INDEX($D$6:$D$1750,MATCH(ROWS($B$6:B625),$B$6:$B$1750,0)),"")</f>
        <v/>
      </c>
      <c r="D625">
        <f>J625&amp;" ("&amp;E625&amp;")"</f>
        <v/>
      </c>
      <c r="E625" t="n">
        <v>20454</v>
      </c>
      <c r="F625" t="inlineStr">
        <is>
          <t>Skilled Nursing and Interm. Care Facility</t>
        </is>
      </c>
      <c r="G625" t="inlineStr">
        <is>
          <t>12151 Dale St</t>
        </is>
      </c>
      <c r="H625" t="inlineStr">
        <is>
          <t>Stanton</t>
        </is>
      </c>
      <c r="I625" t="inlineStr">
        <is>
          <t>Orange</t>
        </is>
      </c>
      <c r="J625" t="inlineStr">
        <is>
          <t>Rowntree Gardens</t>
        </is>
      </c>
    </row>
    <row r="626">
      <c r="A626">
        <f>--ISNUMBER(IFERROR(SEARCH($C$5,Inputs!$D626,1),""))</f>
        <v/>
      </c>
      <c r="B626">
        <f>IF(A626=1,COUNTIF($A$6:A626,1),"")</f>
        <v/>
      </c>
      <c r="C626">
        <f>IFERROR(INDEX($D$6:$D$1750,MATCH(ROWS($B$6:B626),$B$6:$B$1750,0)),"")</f>
        <v/>
      </c>
      <c r="D626">
        <f>J626&amp;" ("&amp;E626&amp;")"</f>
        <v/>
      </c>
      <c r="E626" t="n">
        <v>20459</v>
      </c>
      <c r="F626" t="inlineStr">
        <is>
          <t>Skilled Nursing and Interm. Care Facility</t>
        </is>
      </c>
      <c r="G626" t="inlineStr">
        <is>
          <t>1209 W Hemlock Way</t>
        </is>
      </c>
      <c r="H626" t="inlineStr">
        <is>
          <t>Santa Ana</t>
        </is>
      </c>
      <c r="I626" t="inlineStr">
        <is>
          <t>Orange</t>
        </is>
      </c>
      <c r="J626" t="inlineStr">
        <is>
          <t>Country Villa Plaza Convalescent Center</t>
        </is>
      </c>
    </row>
    <row r="627">
      <c r="A627">
        <f>--ISNUMBER(IFERROR(SEARCH($C$5,Inputs!$D627,1),""))</f>
        <v/>
      </c>
      <c r="B627">
        <f>IF(A627=1,COUNTIF($A$6:A627,1),"")</f>
        <v/>
      </c>
      <c r="C627">
        <f>IFERROR(INDEX($D$6:$D$1750,MATCH(ROWS($B$6:B627),$B$6:$B$1750,0)),"")</f>
        <v/>
      </c>
      <c r="D627">
        <f>J627&amp;" ("&amp;E627&amp;")"</f>
        <v/>
      </c>
      <c r="E627" t="n">
        <v>20462</v>
      </c>
      <c r="F627" t="inlineStr">
        <is>
          <t>Skilled Nursing and Interm. Care Facility</t>
        </is>
      </c>
      <c r="G627" t="inlineStr">
        <is>
          <t>1555 Superior Avenue</t>
        </is>
      </c>
      <c r="H627" t="inlineStr">
        <is>
          <t>Newport Beach</t>
        </is>
      </c>
      <c r="I627" t="inlineStr">
        <is>
          <t>Orange</t>
        </is>
      </c>
      <c r="J627" t="inlineStr">
        <is>
          <t>Newport Nursing and Rehabilitation Center</t>
        </is>
      </c>
    </row>
    <row r="628">
      <c r="A628">
        <f>--ISNUMBER(IFERROR(SEARCH($C$5,Inputs!$D628,1),""))</f>
        <v/>
      </c>
      <c r="B628">
        <f>IF(A628=1,COUNTIF($A$6:A628,1),"")</f>
        <v/>
      </c>
      <c r="C628">
        <f>IFERROR(INDEX($D$6:$D$1750,MATCH(ROWS($B$6:B628),$B$6:$B$1750,0)),"")</f>
        <v/>
      </c>
      <c r="D628">
        <f>J628&amp;" ("&amp;E628&amp;")"</f>
        <v/>
      </c>
      <c r="E628" t="n">
        <v>20465</v>
      </c>
      <c r="F628" t="inlineStr">
        <is>
          <t>Skilled Nursing and Interm. Care Facility</t>
        </is>
      </c>
      <c r="G628" t="inlineStr">
        <is>
          <t>2800 N Harbor Blvd</t>
        </is>
      </c>
      <c r="H628" t="inlineStr">
        <is>
          <t>Fullerton</t>
        </is>
      </c>
      <c r="I628" t="inlineStr">
        <is>
          <t>Orange</t>
        </is>
      </c>
      <c r="J628" t="inlineStr">
        <is>
          <t>St. Elizabeth Healthcare Center</t>
        </is>
      </c>
    </row>
    <row r="629">
      <c r="A629">
        <f>--ISNUMBER(IFERROR(SEARCH($C$5,Inputs!$D629,1),""))</f>
        <v/>
      </c>
      <c r="B629">
        <f>IF(A629=1,COUNTIF($A$6:A629,1),"")</f>
        <v/>
      </c>
      <c r="C629">
        <f>IFERROR(INDEX($D$6:$D$1750,MATCH(ROWS($B$6:B629),$B$6:$B$1750,0)),"")</f>
        <v/>
      </c>
      <c r="D629">
        <f>J629&amp;" ("&amp;E629&amp;")"</f>
        <v/>
      </c>
      <c r="E629" t="n">
        <v>20467</v>
      </c>
      <c r="F629" t="inlineStr">
        <is>
          <t>Skilled Nursing and Interm. Care Facility</t>
        </is>
      </c>
      <c r="G629" t="inlineStr">
        <is>
          <t>12072 Trask Ave</t>
        </is>
      </c>
      <c r="H629" t="inlineStr">
        <is>
          <t>Garden Grove</t>
        </is>
      </c>
      <c r="I629" t="inlineStr">
        <is>
          <t>Orange</t>
        </is>
      </c>
      <c r="J629" t="inlineStr">
        <is>
          <t>Pacific Haven Subacute And Healthcare Center</t>
        </is>
      </c>
    </row>
    <row r="630">
      <c r="A630">
        <f>--ISNUMBER(IFERROR(SEARCH($C$5,Inputs!$D630,1),""))</f>
        <v/>
      </c>
      <c r="B630">
        <f>IF(A630=1,COUNTIF($A$6:A630,1),"")</f>
        <v/>
      </c>
      <c r="C630">
        <f>IFERROR(INDEX($D$6:$D$1750,MATCH(ROWS($B$6:B630),$B$6:$B$1750,0)),"")</f>
        <v/>
      </c>
      <c r="D630">
        <f>J630&amp;" ("&amp;E630&amp;")"</f>
        <v/>
      </c>
      <c r="E630" t="n">
        <v>20469</v>
      </c>
      <c r="F630" t="inlineStr">
        <is>
          <t>Skilled Nursing and Interm. Care Facility</t>
        </is>
      </c>
      <c r="G630" t="inlineStr">
        <is>
          <t>14102 Springdale St</t>
        </is>
      </c>
      <c r="H630" t="inlineStr">
        <is>
          <t>Westminster</t>
        </is>
      </c>
      <c r="I630" t="inlineStr">
        <is>
          <t>Orange</t>
        </is>
      </c>
      <c r="J630" t="inlineStr">
        <is>
          <t>Stanley Healthcare Center</t>
        </is>
      </c>
    </row>
    <row r="631">
      <c r="A631">
        <f>--ISNUMBER(IFERROR(SEARCH($C$5,Inputs!$D631,1),""))</f>
        <v/>
      </c>
      <c r="B631">
        <f>IF(A631=1,COUNTIF($A$6:A631,1),"")</f>
        <v/>
      </c>
      <c r="C631">
        <f>IFERROR(INDEX($D$6:$D$1750,MATCH(ROWS($B$6:B631),$B$6:$B$1750,0)),"")</f>
        <v/>
      </c>
      <c r="D631">
        <f>J631&amp;" ("&amp;E631&amp;")"</f>
        <v/>
      </c>
      <c r="E631" t="n">
        <v>20470</v>
      </c>
      <c r="F631" t="inlineStr">
        <is>
          <t>Skilled Nursing and Interm. Care Facility</t>
        </is>
      </c>
      <c r="G631" t="inlineStr">
        <is>
          <t>201 E Bastanchury Road</t>
        </is>
      </c>
      <c r="H631" t="inlineStr">
        <is>
          <t>Fullerton</t>
        </is>
      </c>
      <c r="I631" t="inlineStr">
        <is>
          <t>Orange</t>
        </is>
      </c>
      <c r="J631" t="inlineStr">
        <is>
          <t>Terrace View Care Center</t>
        </is>
      </c>
    </row>
    <row r="632">
      <c r="A632">
        <f>--ISNUMBER(IFERROR(SEARCH($C$5,Inputs!$D632,1),""))</f>
        <v/>
      </c>
      <c r="B632">
        <f>IF(A632=1,COUNTIF($A$6:A632,1),"")</f>
        <v/>
      </c>
      <c r="C632">
        <f>IFERROR(INDEX($D$6:$D$1750,MATCH(ROWS($B$6:B632),$B$6:$B$1750,0)),"")</f>
        <v/>
      </c>
      <c r="D632">
        <f>J632&amp;" ("&amp;E632&amp;")"</f>
        <v/>
      </c>
      <c r="E632" t="n">
        <v>20479</v>
      </c>
      <c r="F632" t="inlineStr">
        <is>
          <t>Skilled Nursing and Interm. Care Facility</t>
        </is>
      </c>
      <c r="G632" t="inlineStr">
        <is>
          <t>245 E Wilshire Ave</t>
        </is>
      </c>
      <c r="H632" t="inlineStr">
        <is>
          <t>Fullerton</t>
        </is>
      </c>
      <c r="I632" t="inlineStr">
        <is>
          <t>Orange</t>
        </is>
      </c>
      <c r="J632" t="inlineStr">
        <is>
          <t>St. Catherine Healthcare</t>
        </is>
      </c>
    </row>
    <row r="633">
      <c r="A633">
        <f>--ISNUMBER(IFERROR(SEARCH($C$5,Inputs!$D633,1),""))</f>
        <v/>
      </c>
      <c r="B633">
        <f>IF(A633=1,COUNTIF($A$6:A633,1),"")</f>
        <v/>
      </c>
      <c r="C633">
        <f>IFERROR(INDEX($D$6:$D$1750,MATCH(ROWS($B$6:B633),$B$6:$B$1750,0)),"")</f>
        <v/>
      </c>
      <c r="D633">
        <f>J633&amp;" ("&amp;E633&amp;")"</f>
        <v/>
      </c>
      <c r="E633" t="n">
        <v>20480</v>
      </c>
      <c r="F633" t="inlineStr">
        <is>
          <t>Skilled Nursing and Interm. Care Facility</t>
        </is>
      </c>
      <c r="G633" t="inlineStr">
        <is>
          <t>3902 Katella Avenue</t>
        </is>
      </c>
      <c r="H633" t="inlineStr">
        <is>
          <t>Los Alamitos</t>
        </is>
      </c>
      <c r="I633" t="inlineStr">
        <is>
          <t>Orange</t>
        </is>
      </c>
      <c r="J633" t="inlineStr">
        <is>
          <t>Alamitos West Health &amp; Rehabilitation</t>
        </is>
      </c>
    </row>
    <row r="634">
      <c r="A634">
        <f>--ISNUMBER(IFERROR(SEARCH($C$5,Inputs!$D634,1),""))</f>
        <v/>
      </c>
      <c r="B634">
        <f>IF(A634=1,COUNTIF($A$6:A634,1),"")</f>
        <v/>
      </c>
      <c r="C634">
        <f>IFERROR(INDEX($D$6:$D$1750,MATCH(ROWS($B$6:B634),$B$6:$B$1750,0)),"")</f>
        <v/>
      </c>
      <c r="D634">
        <f>J634&amp;" ("&amp;E634&amp;")"</f>
        <v/>
      </c>
      <c r="E634" t="n">
        <v>20481</v>
      </c>
      <c r="F634" t="inlineStr">
        <is>
          <t>Skilled Nursing and Interm. Care Facility</t>
        </is>
      </c>
      <c r="G634" t="inlineStr">
        <is>
          <t>330 W Bastanchury Rd</t>
        </is>
      </c>
      <c r="H634" t="inlineStr">
        <is>
          <t>Fullerton</t>
        </is>
      </c>
      <c r="I634" t="inlineStr">
        <is>
          <t>Orange</t>
        </is>
      </c>
      <c r="J634" t="inlineStr">
        <is>
          <t>Greenfield Care Center Of Fullerton, LLC</t>
        </is>
      </c>
    </row>
    <row r="635">
      <c r="A635">
        <f>--ISNUMBER(IFERROR(SEARCH($C$5,Inputs!$D635,1),""))</f>
        <v/>
      </c>
      <c r="B635">
        <f>IF(A635=1,COUNTIF($A$6:A635,1),"")</f>
        <v/>
      </c>
      <c r="C635">
        <f>IFERROR(INDEX($D$6:$D$1750,MATCH(ROWS($B$6:B635),$B$6:$B$1750,0)),"")</f>
        <v/>
      </c>
      <c r="D635">
        <f>J635&amp;" ("&amp;E635&amp;")"</f>
        <v/>
      </c>
      <c r="E635" t="n">
        <v>20482</v>
      </c>
      <c r="F635" t="inlineStr">
        <is>
          <t>Skilled Nursing and Interm. Care Facility</t>
        </is>
      </c>
      <c r="G635" t="inlineStr">
        <is>
          <t>1929 N Fairview St</t>
        </is>
      </c>
      <c r="H635" t="inlineStr">
        <is>
          <t>Santa Ana</t>
        </is>
      </c>
      <c r="I635" t="inlineStr">
        <is>
          <t>Orange</t>
        </is>
      </c>
      <c r="J635" t="inlineStr">
        <is>
          <t>St. Edna Subacute And Rehabilitation Center</t>
        </is>
      </c>
    </row>
    <row r="636">
      <c r="A636">
        <f>--ISNUMBER(IFERROR(SEARCH($C$5,Inputs!$D636,1),""))</f>
        <v/>
      </c>
      <c r="B636">
        <f>IF(A636=1,COUNTIF($A$6:A636,1),"")</f>
        <v/>
      </c>
      <c r="C636">
        <f>IFERROR(INDEX($D$6:$D$1750,MATCH(ROWS($B$6:B636),$B$6:$B$1750,0)),"")</f>
        <v/>
      </c>
      <c r="D636">
        <f>J636&amp;" ("&amp;E636&amp;")"</f>
        <v/>
      </c>
      <c r="E636" t="n">
        <v>20483</v>
      </c>
      <c r="F636" t="inlineStr">
        <is>
          <t>Skilled Nursing and Interm. Care Facility</t>
        </is>
      </c>
      <c r="G636" t="inlineStr">
        <is>
          <t>12882 Shackleford Ln</t>
        </is>
      </c>
      <c r="H636" t="inlineStr">
        <is>
          <t>Garden Grove</t>
        </is>
      </c>
      <c r="I636" t="inlineStr">
        <is>
          <t>Orange</t>
        </is>
      </c>
      <c r="J636" t="inlineStr">
        <is>
          <t>Garden Grove Post Acute</t>
        </is>
      </c>
    </row>
    <row r="637">
      <c r="A637">
        <f>--ISNUMBER(IFERROR(SEARCH($C$5,Inputs!$D637,1),""))</f>
        <v/>
      </c>
      <c r="B637">
        <f>IF(A637=1,COUNTIF($A$6:A637,1),"")</f>
        <v/>
      </c>
      <c r="C637">
        <f>IFERROR(INDEX($D$6:$D$1750,MATCH(ROWS($B$6:B637),$B$6:$B$1750,0)),"")</f>
        <v/>
      </c>
      <c r="D637">
        <f>J637&amp;" ("&amp;E637&amp;")"</f>
        <v/>
      </c>
      <c r="E637" t="n">
        <v>20484</v>
      </c>
      <c r="F637" t="inlineStr">
        <is>
          <t>Skilled Nursing and Interm. Care Facility</t>
        </is>
      </c>
      <c r="G637" t="inlineStr">
        <is>
          <t>141 S Knott Ave</t>
        </is>
      </c>
      <c r="H637" t="inlineStr">
        <is>
          <t>Anaheim</t>
        </is>
      </c>
      <c r="I637" t="inlineStr">
        <is>
          <t>Orange</t>
        </is>
      </c>
      <c r="J637" t="inlineStr">
        <is>
          <t>Anaheim Terrace Care Center</t>
        </is>
      </c>
    </row>
    <row r="638">
      <c r="A638">
        <f>--ISNUMBER(IFERROR(SEARCH($C$5,Inputs!$D638,1),""))</f>
        <v/>
      </c>
      <c r="B638">
        <f>IF(A638=1,COUNTIF($A$6:A638,1),"")</f>
        <v/>
      </c>
      <c r="C638">
        <f>IFERROR(INDEX($D$6:$D$1750,MATCH(ROWS($B$6:B638),$B$6:$B$1750,0)),"")</f>
        <v/>
      </c>
      <c r="D638">
        <f>J638&amp;" ("&amp;E638&amp;")"</f>
        <v/>
      </c>
      <c r="E638" t="n">
        <v>20486</v>
      </c>
      <c r="F638" t="inlineStr">
        <is>
          <t>Skilled Nursing and Interm. Care Facility</t>
        </is>
      </c>
      <c r="G638" t="inlineStr">
        <is>
          <t>24452 Health Center Dr</t>
        </is>
      </c>
      <c r="H638" t="inlineStr">
        <is>
          <t>Laguna Hills</t>
        </is>
      </c>
      <c r="I638" t="inlineStr">
        <is>
          <t>Orange</t>
        </is>
      </c>
      <c r="J638" t="inlineStr">
        <is>
          <t>Laguna Hills Health And Rehabilitation Center</t>
        </is>
      </c>
    </row>
    <row r="639">
      <c r="A639">
        <f>--ISNUMBER(IFERROR(SEARCH($C$5,Inputs!$D639,1),""))</f>
        <v/>
      </c>
      <c r="B639">
        <f>IF(A639=1,COUNTIF($A$6:A639,1),"")</f>
        <v/>
      </c>
      <c r="C639">
        <f>IFERROR(INDEX($D$6:$D$1750,MATCH(ROWS($B$6:B639),$B$6:$B$1750,0)),"")</f>
        <v/>
      </c>
      <c r="D639">
        <f>J639&amp;" ("&amp;E639&amp;")"</f>
        <v/>
      </c>
      <c r="E639" t="n">
        <v>20493</v>
      </c>
      <c r="F639" t="inlineStr">
        <is>
          <t>Skilled Nursing and Interm. Care Facility</t>
        </is>
      </c>
      <c r="G639" t="inlineStr">
        <is>
          <t>260 Racetrack Street</t>
        </is>
      </c>
      <c r="H639" t="inlineStr">
        <is>
          <t>Auburn</t>
        </is>
      </c>
      <c r="I639" t="inlineStr">
        <is>
          <t>Placer</t>
        </is>
      </c>
      <c r="J639" t="inlineStr">
        <is>
          <t>Rock Creek Care Center</t>
        </is>
      </c>
    </row>
    <row r="640">
      <c r="A640">
        <f>--ISNUMBER(IFERROR(SEARCH($C$5,Inputs!$D640,1),""))</f>
        <v/>
      </c>
      <c r="B640">
        <f>IF(A640=1,COUNTIF($A$6:A640,1),"")</f>
        <v/>
      </c>
      <c r="C640">
        <f>IFERROR(INDEX($D$6:$D$1750,MATCH(ROWS($B$6:B640),$B$6:$B$1750,0)),"")</f>
        <v/>
      </c>
      <c r="D640">
        <f>J640&amp;" ("&amp;E640&amp;")"</f>
        <v/>
      </c>
      <c r="E640" t="n">
        <v>20502</v>
      </c>
      <c r="F640" t="inlineStr">
        <is>
          <t>Skilled Nursing and Interm. Care Facility</t>
        </is>
      </c>
      <c r="G640" t="inlineStr">
        <is>
          <t>1161 Cirby Way</t>
        </is>
      </c>
      <c r="H640" t="inlineStr">
        <is>
          <t>Roseville</t>
        </is>
      </c>
      <c r="I640" t="inlineStr">
        <is>
          <t>Placer</t>
        </is>
      </c>
      <c r="J640" t="inlineStr">
        <is>
          <t>Roseville Care Center</t>
        </is>
      </c>
    </row>
    <row r="641">
      <c r="A641">
        <f>--ISNUMBER(IFERROR(SEARCH($C$5,Inputs!$D641,1),""))</f>
        <v/>
      </c>
      <c r="B641">
        <f>IF(A641=1,COUNTIF($A$6:A641,1),"")</f>
        <v/>
      </c>
      <c r="C641">
        <f>IFERROR(INDEX($D$6:$D$1750,MATCH(ROWS($B$6:B641),$B$6:$B$1750,0)),"")</f>
        <v/>
      </c>
      <c r="D641">
        <f>J641&amp;" ("&amp;E641&amp;")"</f>
        <v/>
      </c>
      <c r="E641" t="n">
        <v>20505</v>
      </c>
      <c r="F641" t="inlineStr">
        <is>
          <t>Skilled Nursing and Interm. Care Facility</t>
        </is>
      </c>
      <c r="G641" t="inlineStr">
        <is>
          <t>310 Oak Ridge Drive</t>
        </is>
      </c>
      <c r="H641" t="inlineStr">
        <is>
          <t>Roseville</t>
        </is>
      </c>
      <c r="I641" t="inlineStr">
        <is>
          <t>Placer</t>
        </is>
      </c>
      <c r="J641" t="inlineStr">
        <is>
          <t>Oak Ridge Healthcare Center</t>
        </is>
      </c>
    </row>
    <row r="642">
      <c r="A642">
        <f>--ISNUMBER(IFERROR(SEARCH($C$5,Inputs!$D642,1),""))</f>
        <v/>
      </c>
      <c r="B642">
        <f>IF(A642=1,COUNTIF($A$6:A642,1),"")</f>
        <v/>
      </c>
      <c r="C642">
        <f>IFERROR(INDEX($D$6:$D$1750,MATCH(ROWS($B$6:B642),$B$6:$B$1750,0)),"")</f>
        <v/>
      </c>
      <c r="D642">
        <f>J642&amp;" ("&amp;E642&amp;")"</f>
        <v/>
      </c>
      <c r="E642" t="n">
        <v>20515</v>
      </c>
      <c r="F642" t="inlineStr">
        <is>
          <t>Skilled Nursing and Interm. Care Facility</t>
        </is>
      </c>
      <c r="G642" t="inlineStr">
        <is>
          <t>9020 Garfield St</t>
        </is>
      </c>
      <c r="H642" t="inlineStr">
        <is>
          <t>Riverside</t>
        </is>
      </c>
      <c r="I642" t="inlineStr">
        <is>
          <t>Riverside</t>
        </is>
      </c>
      <c r="J642" t="inlineStr">
        <is>
          <t>Alta Vista Healthcare &amp; Wellness Centre</t>
        </is>
      </c>
    </row>
    <row r="643">
      <c r="A643">
        <f>--ISNUMBER(IFERROR(SEARCH($C$5,Inputs!$D643,1),""))</f>
        <v/>
      </c>
      <c r="B643">
        <f>IF(A643=1,COUNTIF($A$6:A643,1),"")</f>
        <v/>
      </c>
      <c r="C643">
        <f>IFERROR(INDEX($D$6:$D$1750,MATCH(ROWS($B$6:B643),$B$6:$B$1750,0)),"")</f>
        <v/>
      </c>
      <c r="D643">
        <f>J643&amp;" ("&amp;E643&amp;")"</f>
        <v/>
      </c>
      <c r="E643" t="n">
        <v>20519</v>
      </c>
      <c r="F643" t="inlineStr">
        <is>
          <t>Skilled Nursing and Interm. Care Facility</t>
        </is>
      </c>
      <c r="G643" t="inlineStr">
        <is>
          <t>4768 Palm Avenue</t>
        </is>
      </c>
      <c r="H643" t="inlineStr">
        <is>
          <t>Riverside</t>
        </is>
      </c>
      <c r="I643" t="inlineStr">
        <is>
          <t>Riverside</t>
        </is>
      </c>
      <c r="J643" t="inlineStr">
        <is>
          <t>Community Care on Palm</t>
        </is>
      </c>
    </row>
    <row r="644">
      <c r="A644">
        <f>--ISNUMBER(IFERROR(SEARCH($C$5,Inputs!$D644,1),""))</f>
        <v/>
      </c>
      <c r="B644">
        <f>IF(A644=1,COUNTIF($A$6:A644,1),"")</f>
        <v/>
      </c>
      <c r="C644">
        <f>IFERROR(INDEX($D$6:$D$1750,MATCH(ROWS($B$6:B644),$B$6:$B$1750,0)),"")</f>
        <v/>
      </c>
      <c r="D644">
        <f>J644&amp;" ("&amp;E644&amp;")"</f>
        <v/>
      </c>
      <c r="E644" t="n">
        <v>20520</v>
      </c>
      <c r="F644" t="inlineStr">
        <is>
          <t>Skilled Nursing and Interm. Care Facility</t>
        </is>
      </c>
      <c r="G644" t="inlineStr">
        <is>
          <t>1441 Michigan Ave</t>
        </is>
      </c>
      <c r="H644" t="inlineStr">
        <is>
          <t>Beaumont</t>
        </is>
      </c>
      <c r="I644" t="inlineStr">
        <is>
          <t>Riverside</t>
        </is>
      </c>
      <c r="J644" t="inlineStr">
        <is>
          <t>Highland Springs Care Center</t>
        </is>
      </c>
    </row>
    <row r="645">
      <c r="A645">
        <f>--ISNUMBER(IFERROR(SEARCH($C$5,Inputs!$D645,1),""))</f>
        <v/>
      </c>
      <c r="B645">
        <f>IF(A645=1,COUNTIF($A$6:A645,1),"")</f>
        <v/>
      </c>
      <c r="C645">
        <f>IFERROR(INDEX($D$6:$D$1750,MATCH(ROWS($B$6:B645),$B$6:$B$1750,0)),"")</f>
        <v/>
      </c>
      <c r="D645">
        <f>J645&amp;" ("&amp;E645&amp;")"</f>
        <v/>
      </c>
      <c r="E645" t="n">
        <v>20521</v>
      </c>
      <c r="F645" t="inlineStr">
        <is>
          <t>Skilled Nursing and Interm. Care Facility</t>
        </is>
      </c>
      <c r="G645" t="inlineStr">
        <is>
          <t>3674 Pacific Avenue</t>
        </is>
      </c>
      <c r="H645" t="inlineStr">
        <is>
          <t>Riverside</t>
        </is>
      </c>
      <c r="I645" t="inlineStr">
        <is>
          <t>Riverside</t>
        </is>
      </c>
      <c r="J645" t="inlineStr">
        <is>
          <t>Vista Pacifica Center</t>
        </is>
      </c>
    </row>
    <row r="646">
      <c r="A646">
        <f>--ISNUMBER(IFERROR(SEARCH($C$5,Inputs!$D646,1),""))</f>
        <v/>
      </c>
      <c r="B646">
        <f>IF(A646=1,COUNTIF($A$6:A646,1),"")</f>
        <v/>
      </c>
      <c r="C646">
        <f>IFERROR(INDEX($D$6:$D$1750,MATCH(ROWS($B$6:B646),$B$6:$B$1750,0)),"")</f>
        <v/>
      </c>
      <c r="D646">
        <f>J646&amp;" ("&amp;E646&amp;")"</f>
        <v/>
      </c>
      <c r="E646" t="n">
        <v>20522</v>
      </c>
      <c r="F646" t="inlineStr">
        <is>
          <t>Skilled Nursing and Interm. Care Facility</t>
        </is>
      </c>
      <c r="G646" t="inlineStr">
        <is>
          <t>3662 Pacific Avenue</t>
        </is>
      </c>
      <c r="H646" t="inlineStr">
        <is>
          <t>Riverside</t>
        </is>
      </c>
      <c r="I646" t="inlineStr">
        <is>
          <t>Riverside</t>
        </is>
      </c>
      <c r="J646" t="inlineStr">
        <is>
          <t>Vista Pacifica Convalescent Hospital</t>
        </is>
      </c>
    </row>
    <row r="647">
      <c r="A647">
        <f>--ISNUMBER(IFERROR(SEARCH($C$5,Inputs!$D647,1),""))</f>
        <v/>
      </c>
      <c r="B647">
        <f>IF(A647=1,COUNTIF($A$6:A647,1),"")</f>
        <v/>
      </c>
      <c r="C647">
        <f>IFERROR(INDEX($D$6:$D$1750,MATCH(ROWS($B$6:B647),$B$6:$B$1750,0)),"")</f>
        <v/>
      </c>
      <c r="D647">
        <f>J647&amp;" ("&amp;E647&amp;")"</f>
        <v/>
      </c>
      <c r="E647" t="n">
        <v>20523</v>
      </c>
      <c r="F647" t="inlineStr">
        <is>
          <t>Skilled Nursing and Interm. Care Facility</t>
        </is>
      </c>
      <c r="G647" t="inlineStr">
        <is>
          <t>285 West Chanslor Way</t>
        </is>
      </c>
      <c r="H647" t="inlineStr">
        <is>
          <t>Blythe</t>
        </is>
      </c>
      <c r="I647" t="inlineStr">
        <is>
          <t>Riverside</t>
        </is>
      </c>
      <c r="J647" t="inlineStr">
        <is>
          <t>Blythe Post Acute LLC</t>
        </is>
      </c>
    </row>
    <row r="648">
      <c r="A648">
        <f>--ISNUMBER(IFERROR(SEARCH($C$5,Inputs!$D648,1),""))</f>
        <v/>
      </c>
      <c r="B648">
        <f>IF(A648=1,COUNTIF($A$6:A648,1),"")</f>
        <v/>
      </c>
      <c r="C648">
        <f>IFERROR(INDEX($D$6:$D$1750,MATCH(ROWS($B$6:B648),$B$6:$B$1750,0)),"")</f>
        <v/>
      </c>
      <c r="D648">
        <f>J648&amp;" ("&amp;E648&amp;")"</f>
        <v/>
      </c>
      <c r="E648" t="n">
        <v>20525</v>
      </c>
      <c r="F648" t="inlineStr">
        <is>
          <t>Skilled Nursing and Interm. Care Facility</t>
        </is>
      </c>
      <c r="G648" t="inlineStr">
        <is>
          <t>2299 N Indian Canyon Dr</t>
        </is>
      </c>
      <c r="H648" t="inlineStr">
        <is>
          <t>Palm Springs</t>
        </is>
      </c>
      <c r="I648" t="inlineStr">
        <is>
          <t>Riverside</t>
        </is>
      </c>
      <c r="J648" t="inlineStr">
        <is>
          <t>California Nursing &amp; Rehabilitation Center</t>
        </is>
      </c>
    </row>
    <row r="649">
      <c r="A649">
        <f>--ISNUMBER(IFERROR(SEARCH($C$5,Inputs!$D649,1),""))</f>
        <v/>
      </c>
      <c r="B649">
        <f>IF(A649=1,COUNTIF($A$6:A649,1),"")</f>
        <v/>
      </c>
      <c r="C649">
        <f>IFERROR(INDEX($D$6:$D$1750,MATCH(ROWS($B$6:B649),$B$6:$B$1750,0)),"")</f>
        <v/>
      </c>
      <c r="D649">
        <f>J649&amp;" ("&amp;E649&amp;")"</f>
        <v/>
      </c>
      <c r="E649" t="n">
        <v>20527</v>
      </c>
      <c r="F649" t="inlineStr">
        <is>
          <t>Skilled Nursing and Interm. Care Facility</t>
        </is>
      </c>
      <c r="G649" t="inlineStr">
        <is>
          <t>980 West 7th Street</t>
        </is>
      </c>
      <c r="H649" t="inlineStr">
        <is>
          <t>San Jacinto</t>
        </is>
      </c>
      <c r="I649" t="inlineStr">
        <is>
          <t>Riverside</t>
        </is>
      </c>
      <c r="J649" t="inlineStr">
        <is>
          <t>The Bradley Gardens</t>
        </is>
      </c>
    </row>
    <row r="650">
      <c r="A650">
        <f>--ISNUMBER(IFERROR(SEARCH($C$5,Inputs!$D650,1),""))</f>
        <v/>
      </c>
      <c r="B650">
        <f>IF(A650=1,COUNTIF($A$6:A650,1),"")</f>
        <v/>
      </c>
      <c r="C650">
        <f>IFERROR(INDEX($D$6:$D$1750,MATCH(ROWS($B$6:B650),$B$6:$B$1750,0)),"")</f>
        <v/>
      </c>
      <c r="D650">
        <f>J650&amp;" ("&amp;E650&amp;")"</f>
        <v/>
      </c>
      <c r="E650" t="n">
        <v>20528</v>
      </c>
      <c r="F650" t="inlineStr">
        <is>
          <t>Skilled Nursing and Interm. Care Facility</t>
        </is>
      </c>
      <c r="G650" t="inlineStr">
        <is>
          <t>4070 Jurapa Avenue</t>
        </is>
      </c>
      <c r="H650" t="inlineStr">
        <is>
          <t>Riverside</t>
        </is>
      </c>
      <c r="I650" t="inlineStr">
        <is>
          <t>Riverside</t>
        </is>
      </c>
      <c r="J650" t="inlineStr">
        <is>
          <t>Community Care And Rehabilitation Center</t>
        </is>
      </c>
    </row>
    <row r="651">
      <c r="A651">
        <f>--ISNUMBER(IFERROR(SEARCH($C$5,Inputs!$D651,1),""))</f>
        <v/>
      </c>
      <c r="B651">
        <f>IF(A651=1,COUNTIF($A$6:A651,1),"")</f>
        <v/>
      </c>
      <c r="C651">
        <f>IFERROR(INDEX($D$6:$D$1750,MATCH(ROWS($B$6:B651),$B$6:$B$1750,0)),"")</f>
        <v/>
      </c>
      <c r="D651">
        <f>J651&amp;" ("&amp;E651&amp;")"</f>
        <v/>
      </c>
      <c r="E651" t="n">
        <v>20530</v>
      </c>
      <c r="F651" t="inlineStr">
        <is>
          <t>Skilled Nursing and Interm. Care Facility</t>
        </is>
      </c>
      <c r="G651" t="inlineStr">
        <is>
          <t>1400 Circle City Dr</t>
        </is>
      </c>
      <c r="H651" t="inlineStr">
        <is>
          <t>Corona</t>
        </is>
      </c>
      <c r="I651" t="inlineStr">
        <is>
          <t>Riverside</t>
        </is>
      </c>
      <c r="J651" t="inlineStr">
        <is>
          <t>Corona Health Care Center</t>
        </is>
      </c>
    </row>
    <row r="652">
      <c r="A652">
        <f>--ISNUMBER(IFERROR(SEARCH($C$5,Inputs!$D652,1),""))</f>
        <v/>
      </c>
      <c r="B652">
        <f>IF(A652=1,COUNTIF($A$6:A652,1),"")</f>
        <v/>
      </c>
      <c r="C652">
        <f>IFERROR(INDEX($D$6:$D$1750,MATCH(ROWS($B$6:B652),$B$6:$B$1750,0)),"")</f>
        <v/>
      </c>
      <c r="D652">
        <f>J652&amp;" ("&amp;E652&amp;")"</f>
        <v/>
      </c>
      <c r="E652" t="n">
        <v>20532</v>
      </c>
      <c r="F652" t="inlineStr">
        <is>
          <t>Skilled Nursing and Interm. Care Facility</t>
        </is>
      </c>
      <c r="G652" t="inlineStr">
        <is>
          <t>9025 Colorado Ave</t>
        </is>
      </c>
      <c r="H652" t="inlineStr">
        <is>
          <t>Riverside</t>
        </is>
      </c>
      <c r="I652" t="inlineStr">
        <is>
          <t>Riverside</t>
        </is>
      </c>
      <c r="J652" t="inlineStr">
        <is>
          <t>Windsor Cypress Gardens</t>
        </is>
      </c>
    </row>
    <row r="653">
      <c r="A653">
        <f>--ISNUMBER(IFERROR(SEARCH($C$5,Inputs!$D653,1),""))</f>
        <v/>
      </c>
      <c r="B653">
        <f>IF(A653=1,COUNTIF($A$6:A653,1),"")</f>
        <v/>
      </c>
      <c r="C653">
        <f>IFERROR(INDEX($D$6:$D$1750,MATCH(ROWS($B$6:B653),$B$6:$B$1750,0)),"")</f>
        <v/>
      </c>
      <c r="D653">
        <f>J653&amp;" ("&amp;E653&amp;")"</f>
        <v/>
      </c>
      <c r="E653" t="n">
        <v>20534</v>
      </c>
      <c r="F653" t="inlineStr">
        <is>
          <t>Skilled Nursing and Interm. Care Facility</t>
        </is>
      </c>
      <c r="G653" t="inlineStr">
        <is>
          <t>275 N San Jacinto St</t>
        </is>
      </c>
      <c r="H653" t="inlineStr">
        <is>
          <t>Hemet</t>
        </is>
      </c>
      <c r="I653" t="inlineStr">
        <is>
          <t>Riverside</t>
        </is>
      </c>
      <c r="J653" t="inlineStr">
        <is>
          <t>San Jacinto Healthcare</t>
        </is>
      </c>
    </row>
    <row r="654">
      <c r="A654">
        <f>--ISNUMBER(IFERROR(SEARCH($C$5,Inputs!$D654,1),""))</f>
        <v/>
      </c>
      <c r="B654">
        <f>IF(A654=1,COUNTIF($A$6:A654,1),"")</f>
        <v/>
      </c>
      <c r="C654">
        <f>IFERROR(INDEX($D$6:$D$1750,MATCH(ROWS($B$6:B654),$B$6:$B$1750,0)),"")</f>
        <v/>
      </c>
      <c r="D654">
        <f>J654&amp;" ("&amp;E654&amp;")"</f>
        <v/>
      </c>
      <c r="E654" t="n">
        <v>20539</v>
      </c>
      <c r="F654" t="inlineStr">
        <is>
          <t>Skilled Nursing and Interm. Care Facility</t>
        </is>
      </c>
      <c r="G654" t="inlineStr">
        <is>
          <t>8781 Lakeview Avenue</t>
        </is>
      </c>
      <c r="H654" t="inlineStr">
        <is>
          <t>Riverside</t>
        </is>
      </c>
      <c r="I654" t="inlineStr">
        <is>
          <t>Riverside</t>
        </is>
      </c>
      <c r="J654" t="inlineStr">
        <is>
          <t>Riverside Postacute Care</t>
        </is>
      </c>
    </row>
    <row r="655">
      <c r="A655">
        <f>--ISNUMBER(IFERROR(SEARCH($C$5,Inputs!$D655,1),""))</f>
        <v/>
      </c>
      <c r="B655">
        <f>IF(A655=1,COUNTIF($A$6:A655,1),"")</f>
        <v/>
      </c>
      <c r="C655">
        <f>IFERROR(INDEX($D$6:$D$1750,MATCH(ROWS($B$6:B655),$B$6:$B$1750,0)),"")</f>
        <v/>
      </c>
      <c r="D655">
        <f>J655&amp;" ("&amp;E655&amp;")"</f>
        <v/>
      </c>
      <c r="E655" t="n">
        <v>20542</v>
      </c>
      <c r="F655" t="inlineStr">
        <is>
          <t>Skilled Nursing and Interm. Care Facility</t>
        </is>
      </c>
      <c r="G655" t="inlineStr">
        <is>
          <t>3476 W Wilson St</t>
        </is>
      </c>
      <c r="H655" t="inlineStr">
        <is>
          <t>Banning</t>
        </is>
      </c>
      <c r="I655" t="inlineStr">
        <is>
          <t>Riverside</t>
        </is>
      </c>
      <c r="J655" t="inlineStr">
        <is>
          <t>Banning Healthcare</t>
        </is>
      </c>
    </row>
    <row r="656">
      <c r="A656">
        <f>--ISNUMBER(IFERROR(SEARCH($C$5,Inputs!$D656,1),""))</f>
        <v/>
      </c>
      <c r="B656">
        <f>IF(A656=1,COUNTIF($A$6:A656,1),"")</f>
        <v/>
      </c>
      <c r="C656">
        <f>IFERROR(INDEX($D$6:$D$1750,MATCH(ROWS($B$6:B656),$B$6:$B$1750,0)),"")</f>
        <v/>
      </c>
      <c r="D656">
        <f>J656&amp;" ("&amp;E656&amp;")"</f>
        <v/>
      </c>
      <c r="E656" t="n">
        <v>20543</v>
      </c>
      <c r="F656" t="inlineStr">
        <is>
          <t>Skilled Nursing and Interm. Care Facility</t>
        </is>
      </c>
      <c r="G656" t="inlineStr">
        <is>
          <t>1665 East Eighth Street</t>
        </is>
      </c>
      <c r="H656" t="inlineStr">
        <is>
          <t>Beaumont</t>
        </is>
      </c>
      <c r="I656" t="inlineStr">
        <is>
          <t>Riverside</t>
        </is>
      </c>
      <c r="J656" t="inlineStr">
        <is>
          <t>Palm Grove Healthcare</t>
        </is>
      </c>
    </row>
    <row r="657">
      <c r="A657">
        <f>--ISNUMBER(IFERROR(SEARCH($C$5,Inputs!$D657,1),""))</f>
        <v/>
      </c>
      <c r="B657">
        <f>IF(A657=1,COUNTIF($A$6:A657,1),"")</f>
        <v/>
      </c>
      <c r="C657">
        <f>IFERROR(INDEX($D$6:$D$1750,MATCH(ROWS($B$6:B657),$B$6:$B$1750,0)),"")</f>
        <v/>
      </c>
      <c r="D657">
        <f>J657&amp;" ("&amp;E657&amp;")"</f>
        <v/>
      </c>
      <c r="E657" t="n">
        <v>20544</v>
      </c>
      <c r="F657" t="inlineStr">
        <is>
          <t>Skilled Nursing and Interm. Care Facility</t>
        </is>
      </c>
      <c r="G657" t="inlineStr">
        <is>
          <t>8487 Magnolia Ave</t>
        </is>
      </c>
      <c r="H657" t="inlineStr">
        <is>
          <t>Riverside</t>
        </is>
      </c>
      <c r="I657" t="inlineStr">
        <is>
          <t>Riverside</t>
        </is>
      </c>
      <c r="J657" t="inlineStr">
        <is>
          <t>Mission Care Center</t>
        </is>
      </c>
    </row>
    <row r="658">
      <c r="A658">
        <f>--ISNUMBER(IFERROR(SEARCH($C$5,Inputs!$D658,1),""))</f>
        <v/>
      </c>
      <c r="B658">
        <f>IF(A658=1,COUNTIF($A$6:A658,1),"")</f>
        <v/>
      </c>
      <c r="C658">
        <f>IFERROR(INDEX($D$6:$D$1750,MATCH(ROWS($B$6:B658),$B$6:$B$1750,0)),"")</f>
        <v/>
      </c>
      <c r="D658">
        <f>J658&amp;" ("&amp;E658&amp;")"</f>
        <v/>
      </c>
      <c r="E658" t="n">
        <v>20546</v>
      </c>
      <c r="F658" t="inlineStr">
        <is>
          <t>Skilled Nursing and Interm. Care Facility</t>
        </is>
      </c>
      <c r="G658" t="inlineStr">
        <is>
          <t>82262 Valencia Ave</t>
        </is>
      </c>
      <c r="H658" t="inlineStr">
        <is>
          <t>Indio</t>
        </is>
      </c>
      <c r="I658" t="inlineStr">
        <is>
          <t>Riverside</t>
        </is>
      </c>
      <c r="J658" t="inlineStr">
        <is>
          <t>Desert Springs Healthcare &amp; Wellness Centre</t>
        </is>
      </c>
    </row>
    <row r="659">
      <c r="A659">
        <f>--ISNUMBER(IFERROR(SEARCH($C$5,Inputs!$D659,1),""))</f>
        <v/>
      </c>
      <c r="B659">
        <f>IF(A659=1,COUNTIF($A$6:A659,1),"")</f>
        <v/>
      </c>
      <c r="C659">
        <f>IFERROR(INDEX($D$6:$D$1750,MATCH(ROWS($B$6:B659),$B$6:$B$1750,0)),"")</f>
        <v/>
      </c>
      <c r="D659">
        <f>J659&amp;" ("&amp;E659&amp;")"</f>
        <v/>
      </c>
      <c r="E659" t="n">
        <v>20550</v>
      </c>
      <c r="F659" t="inlineStr">
        <is>
          <t>Skilled Nursing and Interm. Care Facility</t>
        </is>
      </c>
      <c r="G659" t="inlineStr">
        <is>
          <t>461 E Johnston Ave</t>
        </is>
      </c>
      <c r="H659" t="inlineStr">
        <is>
          <t>Hemet</t>
        </is>
      </c>
      <c r="I659" t="inlineStr">
        <is>
          <t>Riverside</t>
        </is>
      </c>
      <c r="J659" t="inlineStr">
        <is>
          <t>Meadowbrook Post Acute</t>
        </is>
      </c>
    </row>
    <row r="660">
      <c r="A660">
        <f>--ISNUMBER(IFERROR(SEARCH($C$5,Inputs!$D660,1),""))</f>
        <v/>
      </c>
      <c r="B660">
        <f>IF(A660=1,COUNTIF($A$6:A660,1),"")</f>
        <v/>
      </c>
      <c r="C660">
        <f>IFERROR(INDEX($D$6:$D$1750,MATCH(ROWS($B$6:B660),$B$6:$B$1750,0)),"")</f>
        <v/>
      </c>
      <c r="D660">
        <f>J660&amp;" ("&amp;E660&amp;")"</f>
        <v/>
      </c>
      <c r="E660" t="n">
        <v>20551</v>
      </c>
      <c r="F660" t="inlineStr">
        <is>
          <t>Skilled Nursing and Interm. Care Facility</t>
        </is>
      </c>
      <c r="G660" t="inlineStr">
        <is>
          <t>6401 33rd St</t>
        </is>
      </c>
      <c r="H660" t="inlineStr">
        <is>
          <t>Riverside</t>
        </is>
      </c>
      <c r="I660" t="inlineStr">
        <is>
          <t>Riverside</t>
        </is>
      </c>
      <c r="J660" t="inlineStr">
        <is>
          <t>Jurupa Hills Post Acute</t>
        </is>
      </c>
    </row>
    <row r="661">
      <c r="A661">
        <f>--ISNUMBER(IFERROR(SEARCH($C$5,Inputs!$D661,1),""))</f>
        <v/>
      </c>
      <c r="B661">
        <f>IF(A661=1,COUNTIF($A$6:A661,1),"")</f>
        <v/>
      </c>
      <c r="C661">
        <f>IFERROR(INDEX($D$6:$D$1750,MATCH(ROWS($B$6:B661),$B$6:$B$1750,0)),"")</f>
        <v/>
      </c>
      <c r="D661">
        <f>J661&amp;" ("&amp;E661&amp;")"</f>
        <v/>
      </c>
      <c r="E661" t="n">
        <v>20552</v>
      </c>
      <c r="F661" t="inlineStr">
        <is>
          <t>Skilled Nursing and Interm. Care Facility</t>
        </is>
      </c>
      <c r="G661" t="inlineStr">
        <is>
          <t>11162 Palm Terrace Lane</t>
        </is>
      </c>
      <c r="H661" t="inlineStr">
        <is>
          <t>Riverside</t>
        </is>
      </c>
      <c r="I661" t="inlineStr">
        <is>
          <t>Riverside</t>
        </is>
      </c>
      <c r="J661" t="inlineStr">
        <is>
          <t>Palm Terrace Care Center</t>
        </is>
      </c>
    </row>
    <row r="662">
      <c r="A662">
        <f>--ISNUMBER(IFERROR(SEARCH($C$5,Inputs!$D662,1),""))</f>
        <v/>
      </c>
      <c r="B662">
        <f>IF(A662=1,COUNTIF($A$6:A662,1),"")</f>
        <v/>
      </c>
      <c r="C662">
        <f>IFERROR(INDEX($D$6:$D$1750,MATCH(ROWS($B$6:B662),$B$6:$B$1750,0)),"")</f>
        <v/>
      </c>
      <c r="D662">
        <f>J662&amp;" ("&amp;E662&amp;")"</f>
        <v/>
      </c>
      <c r="E662" t="n">
        <v>20560</v>
      </c>
      <c r="F662" t="inlineStr">
        <is>
          <t>Skilled Nursing and Interm. Care Facility</t>
        </is>
      </c>
      <c r="G662" t="inlineStr">
        <is>
          <t>8133 Magnolia Ave</t>
        </is>
      </c>
      <c r="H662" t="inlineStr">
        <is>
          <t>Riverside</t>
        </is>
      </c>
      <c r="I662" t="inlineStr">
        <is>
          <t>Riverside</t>
        </is>
      </c>
      <c r="J662" t="inlineStr">
        <is>
          <t>Magnolia Rehabilitation &amp; Nursing Center</t>
        </is>
      </c>
    </row>
    <row r="663">
      <c r="A663">
        <f>--ISNUMBER(IFERROR(SEARCH($C$5,Inputs!$D663,1),""))</f>
        <v/>
      </c>
      <c r="B663">
        <f>IF(A663=1,COUNTIF($A$6:A663,1),"")</f>
        <v/>
      </c>
      <c r="C663">
        <f>IFERROR(INDEX($D$6:$D$1750,MATCH(ROWS($B$6:B663),$B$6:$B$1750,0)),"")</f>
        <v/>
      </c>
      <c r="D663">
        <f>J663&amp;" ("&amp;E663&amp;")"</f>
        <v/>
      </c>
      <c r="E663" t="n">
        <v>20561</v>
      </c>
      <c r="F663" t="inlineStr">
        <is>
          <t>Skilled Nursing and Interm. Care Facility</t>
        </is>
      </c>
      <c r="G663" t="inlineStr">
        <is>
          <t>4301 Caroline Court</t>
        </is>
      </c>
      <c r="H663" t="inlineStr">
        <is>
          <t>Riverside</t>
        </is>
      </c>
      <c r="I663" t="inlineStr">
        <is>
          <t>Riverside</t>
        </is>
      </c>
      <c r="J663" t="inlineStr">
        <is>
          <t>Valencia Gardens Health Care Center</t>
        </is>
      </c>
    </row>
    <row r="664">
      <c r="A664">
        <f>--ISNUMBER(IFERROR(SEARCH($C$5,Inputs!$D664,1),""))</f>
        <v/>
      </c>
      <c r="B664">
        <f>IF(A664=1,COUNTIF($A$6:A664,1),"")</f>
        <v/>
      </c>
      <c r="C664">
        <f>IFERROR(INDEX($D$6:$D$1750,MATCH(ROWS($B$6:B664),$B$6:$B$1750,0)),"")</f>
        <v/>
      </c>
      <c r="D664">
        <f>J664&amp;" ("&amp;E664&amp;")"</f>
        <v/>
      </c>
      <c r="E664" t="n">
        <v>20564</v>
      </c>
      <c r="F664" t="inlineStr">
        <is>
          <t>Skilled Nursing and Interm. Care Facility</t>
        </is>
      </c>
      <c r="G664" t="inlineStr">
        <is>
          <t>8965 Magnolia Ave</t>
        </is>
      </c>
      <c r="H664" t="inlineStr">
        <is>
          <t>Riverside</t>
        </is>
      </c>
      <c r="I664" t="inlineStr">
        <is>
          <t>Riverside</t>
        </is>
      </c>
      <c r="J664" t="inlineStr">
        <is>
          <t>Villa Health Care Center</t>
        </is>
      </c>
    </row>
    <row r="665">
      <c r="A665">
        <f>--ISNUMBER(IFERROR(SEARCH($C$5,Inputs!$D665,1),""))</f>
        <v/>
      </c>
      <c r="B665">
        <f>IF(A665=1,COUNTIF($A$6:A665,1),"")</f>
        <v/>
      </c>
      <c r="C665">
        <f>IFERROR(INDEX($D$6:$D$1750,MATCH(ROWS($B$6:B665),$B$6:$B$1750,0)),"")</f>
        <v/>
      </c>
      <c r="D665">
        <f>J665&amp;" ("&amp;E665&amp;")"</f>
        <v/>
      </c>
      <c r="E665" t="n">
        <v>20565</v>
      </c>
      <c r="F665" t="inlineStr">
        <is>
          <t>Skilled Nursing and Interm. Care Facility</t>
        </is>
      </c>
      <c r="G665" t="inlineStr">
        <is>
          <t>9246 Avenida Miravilla</t>
        </is>
      </c>
      <c r="H665" t="inlineStr">
        <is>
          <t>Cherry Valley</t>
        </is>
      </c>
      <c r="I665" t="inlineStr">
        <is>
          <t>Riverside</t>
        </is>
      </c>
      <c r="J665" t="inlineStr">
        <is>
          <t>Miravilla Care Center</t>
        </is>
      </c>
    </row>
    <row r="666">
      <c r="A666">
        <f>--ISNUMBER(IFERROR(SEARCH($C$5,Inputs!$D666,1),""))</f>
        <v/>
      </c>
      <c r="B666">
        <f>IF(A666=1,COUNTIF($A$6:A666,1),"")</f>
        <v/>
      </c>
      <c r="C666">
        <f>IFERROR(INDEX($D$6:$D$1750,MATCH(ROWS($B$6:B666),$B$6:$B$1750,0)),"")</f>
        <v/>
      </c>
      <c r="D666">
        <f>J666&amp;" ("&amp;E666&amp;")"</f>
        <v/>
      </c>
      <c r="E666" t="n">
        <v>20566</v>
      </c>
      <c r="F666" t="inlineStr">
        <is>
          <t>Skilled Nursing and Interm. Care Facility</t>
        </is>
      </c>
      <c r="G666" t="inlineStr">
        <is>
          <t>8951 Granite Hill Drive</t>
        </is>
      </c>
      <c r="H666" t="inlineStr">
        <is>
          <t>Riverside</t>
        </is>
      </c>
      <c r="I666" t="inlineStr">
        <is>
          <t>Riverside</t>
        </is>
      </c>
      <c r="J666" t="inlineStr">
        <is>
          <t>Riverside Heights Healthcare Center, LLC</t>
        </is>
      </c>
    </row>
    <row r="667">
      <c r="A667">
        <f>--ISNUMBER(IFERROR(SEARCH($C$5,Inputs!$D667,1),""))</f>
        <v/>
      </c>
      <c r="B667">
        <f>IF(A667=1,COUNTIF($A$6:A667,1),"")</f>
        <v/>
      </c>
      <c r="C667">
        <f>IFERROR(INDEX($D$6:$D$1750,MATCH(ROWS($B$6:B667),$B$6:$B$1750,0)),"")</f>
        <v/>
      </c>
      <c r="D667">
        <f>J667&amp;" ("&amp;E667&amp;")"</f>
        <v/>
      </c>
      <c r="E667" t="n">
        <v>20571</v>
      </c>
      <c r="F667" t="inlineStr">
        <is>
          <t>Skilled Nursing and Interm. Care Facility</t>
        </is>
      </c>
      <c r="G667" t="inlineStr">
        <is>
          <t>27600 Encanto Drive</t>
        </is>
      </c>
      <c r="H667" t="inlineStr">
        <is>
          <t>Sun City</t>
        </is>
      </c>
      <c r="I667" t="inlineStr">
        <is>
          <t>Riverside</t>
        </is>
      </c>
      <c r="J667" t="inlineStr">
        <is>
          <t>Life Care Center Of Menifee</t>
        </is>
      </c>
    </row>
    <row r="668">
      <c r="A668">
        <f>--ISNUMBER(IFERROR(SEARCH($C$5,Inputs!$D668,1),""))</f>
        <v/>
      </c>
      <c r="B668">
        <f>IF(A668=1,COUNTIF($A$6:A668,1),"")</f>
        <v/>
      </c>
      <c r="C668">
        <f>IFERROR(INDEX($D$6:$D$1750,MATCH(ROWS($B$6:B668),$B$6:$B$1750,0)),"")</f>
        <v/>
      </c>
      <c r="D668">
        <f>J668&amp;" ("&amp;E668&amp;")"</f>
        <v/>
      </c>
      <c r="E668" t="n">
        <v>20572</v>
      </c>
      <c r="F668" t="inlineStr">
        <is>
          <t>Skilled Nursing and Interm. Care Facility</t>
        </is>
      </c>
      <c r="G668" t="inlineStr">
        <is>
          <t>1350 East Devonshire Avenue</t>
        </is>
      </c>
      <c r="H668" t="inlineStr">
        <is>
          <t>Hemet</t>
        </is>
      </c>
      <c r="I668" t="inlineStr">
        <is>
          <t>Riverside</t>
        </is>
      </c>
      <c r="J668" t="inlineStr">
        <is>
          <t>Devonshire Care Center</t>
        </is>
      </c>
    </row>
    <row r="669">
      <c r="A669">
        <f>--ISNUMBER(IFERROR(SEARCH($C$5,Inputs!$D669,1),""))</f>
        <v/>
      </c>
      <c r="B669">
        <f>IF(A669=1,COUNTIF($A$6:A669,1),"")</f>
        <v/>
      </c>
      <c r="C669">
        <f>IFERROR(INDEX($D$6:$D$1750,MATCH(ROWS($B$6:B669),$B$6:$B$1750,0)),"")</f>
        <v/>
      </c>
      <c r="D669">
        <f>J669&amp;" ("&amp;E669&amp;")"</f>
        <v/>
      </c>
      <c r="E669" t="n">
        <v>20578</v>
      </c>
      <c r="F669" t="inlineStr">
        <is>
          <t>Skilled Nursing and Interm. Care Facility</t>
        </is>
      </c>
      <c r="G669" t="inlineStr">
        <is>
          <t>3400 Alta Arden Expressway</t>
        </is>
      </c>
      <c r="H669" t="inlineStr">
        <is>
          <t>Sacramento</t>
        </is>
      </c>
      <c r="I669" t="inlineStr">
        <is>
          <t>Sacramento</t>
        </is>
      </c>
      <c r="J669" t="inlineStr">
        <is>
          <t>Arden Post Acute Rehab</t>
        </is>
      </c>
    </row>
    <row r="670">
      <c r="A670">
        <f>--ISNUMBER(IFERROR(SEARCH($C$5,Inputs!$D670,1),""))</f>
        <v/>
      </c>
      <c r="B670">
        <f>IF(A670=1,COUNTIF($A$6:A670,1),"")</f>
        <v/>
      </c>
      <c r="C670">
        <f>IFERROR(INDEX($D$6:$D$1750,MATCH(ROWS($B$6:B670),$B$6:$B$1750,0)),"")</f>
        <v/>
      </c>
      <c r="D670">
        <f>J670&amp;" ("&amp;E670&amp;")"</f>
        <v/>
      </c>
      <c r="E670" t="n">
        <v>20579</v>
      </c>
      <c r="F670" t="inlineStr">
        <is>
          <t>Skilled Nursing and Interm. Care Facility</t>
        </is>
      </c>
      <c r="G670" t="inlineStr">
        <is>
          <t>500 Jessie Ave</t>
        </is>
      </c>
      <c r="H670" t="inlineStr">
        <is>
          <t>Sacramento</t>
        </is>
      </c>
      <c r="I670" t="inlineStr">
        <is>
          <t>Sacramento</t>
        </is>
      </c>
      <c r="J670" t="inlineStr">
        <is>
          <t>Norwood Pines Alzheimers Center</t>
        </is>
      </c>
    </row>
    <row r="671">
      <c r="A671">
        <f>--ISNUMBER(IFERROR(SEARCH($C$5,Inputs!$D671,1),""))</f>
        <v/>
      </c>
      <c r="B671">
        <f>IF(A671=1,COUNTIF($A$6:A671,1),"")</f>
        <v/>
      </c>
      <c r="C671">
        <f>IFERROR(INDEX($D$6:$D$1750,MATCH(ROWS($B$6:B671),$B$6:$B$1750,0)),"")</f>
        <v/>
      </c>
      <c r="D671">
        <f>J671&amp;" ("&amp;E671&amp;")"</f>
        <v/>
      </c>
      <c r="E671" t="n">
        <v>20582</v>
      </c>
      <c r="F671" t="inlineStr">
        <is>
          <t>Skilled Nursing and Interm. Care Facility</t>
        </is>
      </c>
      <c r="G671" t="inlineStr">
        <is>
          <t>2257 Fair Oaks Boulevard</t>
        </is>
      </c>
      <c r="H671" t="inlineStr">
        <is>
          <t>Sacramento</t>
        </is>
      </c>
      <c r="I671" t="inlineStr">
        <is>
          <t>Sacramento</t>
        </is>
      </c>
      <c r="J671" t="inlineStr">
        <is>
          <t>Asbury Park Nursing And Rehabilitation Center</t>
        </is>
      </c>
    </row>
    <row r="672">
      <c r="A672">
        <f>--ISNUMBER(IFERROR(SEARCH($C$5,Inputs!$D672,1),""))</f>
        <v/>
      </c>
      <c r="B672">
        <f>IF(A672=1,COUNTIF($A$6:A672,1),"")</f>
        <v/>
      </c>
      <c r="C672">
        <f>IFERROR(INDEX($D$6:$D$1750,MATCH(ROWS($B$6:B672),$B$6:$B$1750,0)),"")</f>
        <v/>
      </c>
      <c r="D672">
        <f>J672&amp;" ("&amp;E672&amp;")"</f>
        <v/>
      </c>
      <c r="E672" t="n">
        <v>20585</v>
      </c>
      <c r="F672" t="inlineStr">
        <is>
          <t>Skilled Nursing and Interm. Care Facility</t>
        </is>
      </c>
      <c r="G672" t="inlineStr">
        <is>
          <t>2240 Northrop Ave</t>
        </is>
      </c>
      <c r="H672" t="inlineStr">
        <is>
          <t>Sacramento</t>
        </is>
      </c>
      <c r="I672" t="inlineStr">
        <is>
          <t>Sacramento</t>
        </is>
      </c>
      <c r="J672" t="inlineStr">
        <is>
          <t>Woodside Healthcare Center</t>
        </is>
      </c>
    </row>
    <row r="673">
      <c r="A673">
        <f>--ISNUMBER(IFERROR(SEARCH($C$5,Inputs!$D673,1),""))</f>
        <v/>
      </c>
      <c r="B673">
        <f>IF(A673=1,COUNTIF($A$6:A673,1),"")</f>
        <v/>
      </c>
      <c r="C673">
        <f>IFERROR(INDEX($D$6:$D$1750,MATCH(ROWS($B$6:B673),$B$6:$B$1750,0)),"")</f>
        <v/>
      </c>
      <c r="D673">
        <f>J673&amp;" ("&amp;E673&amp;")"</f>
        <v/>
      </c>
      <c r="E673" t="n">
        <v>20586</v>
      </c>
      <c r="F673" t="inlineStr">
        <is>
          <t>Skilled Nursing and Interm. Care Facility</t>
        </is>
      </c>
      <c r="G673" t="inlineStr">
        <is>
          <t>2120 Stockton Blvd</t>
        </is>
      </c>
      <c r="H673" t="inlineStr">
        <is>
          <t>Sacramento</t>
        </is>
      </c>
      <c r="I673" t="inlineStr">
        <is>
          <t>Sacramento</t>
        </is>
      </c>
      <c r="J673" t="inlineStr">
        <is>
          <t>University Post-Acute Rehab</t>
        </is>
      </c>
    </row>
    <row r="674">
      <c r="A674">
        <f>--ISNUMBER(IFERROR(SEARCH($C$5,Inputs!$D674,1),""))</f>
        <v/>
      </c>
      <c r="B674">
        <f>IF(A674=1,COUNTIF($A$6:A674,1),"")</f>
        <v/>
      </c>
      <c r="C674">
        <f>IFERROR(INDEX($D$6:$D$1750,MATCH(ROWS($B$6:B674),$B$6:$B$1750,0)),"")</f>
        <v/>
      </c>
      <c r="D674">
        <f>J674&amp;" ("&amp;E674&amp;")"</f>
        <v/>
      </c>
      <c r="E674" t="n">
        <v>20588</v>
      </c>
      <c r="F674" t="inlineStr">
        <is>
          <t>Skilled Nursing and Interm. Care Facility</t>
        </is>
      </c>
      <c r="G674" t="inlineStr">
        <is>
          <t>8336 Fair Oaks Boulevard</t>
        </is>
      </c>
      <c r="H674" t="inlineStr">
        <is>
          <t>Carmichael</t>
        </is>
      </c>
      <c r="I674" t="inlineStr">
        <is>
          <t>Sacramento</t>
        </is>
      </c>
      <c r="J674" t="inlineStr">
        <is>
          <t>Carmichael Post Acute, LLC</t>
        </is>
      </c>
    </row>
    <row r="675">
      <c r="A675">
        <f>--ISNUMBER(IFERROR(SEARCH($C$5,Inputs!$D675,1),""))</f>
        <v/>
      </c>
      <c r="B675">
        <f>IF(A675=1,COUNTIF($A$6:A675,1),"")</f>
        <v/>
      </c>
      <c r="C675">
        <f>IFERROR(INDEX($D$6:$D$1750,MATCH(ROWS($B$6:B675),$B$6:$B$1750,0)),"")</f>
        <v/>
      </c>
      <c r="D675">
        <f>J675&amp;" ("&amp;E675&amp;")"</f>
        <v/>
      </c>
      <c r="E675" t="n">
        <v>20593</v>
      </c>
      <c r="F675" t="inlineStr">
        <is>
          <t>Skilled Nursing and Interm. Care Facility</t>
        </is>
      </c>
      <c r="G675" t="inlineStr">
        <is>
          <t>2540 Carmichael Way</t>
        </is>
      </c>
      <c r="H675" t="inlineStr">
        <is>
          <t>Carmichael</t>
        </is>
      </c>
      <c r="I675" t="inlineStr">
        <is>
          <t>Sacramento</t>
        </is>
      </c>
      <c r="J675" t="inlineStr">
        <is>
          <t>Windsor El Camino Care Center</t>
        </is>
      </c>
    </row>
    <row r="676">
      <c r="A676">
        <f>--ISNUMBER(IFERROR(SEARCH($C$5,Inputs!$D676,1),""))</f>
        <v/>
      </c>
      <c r="B676">
        <f>IF(A676=1,COUNTIF($A$6:A676,1),"")</f>
        <v/>
      </c>
      <c r="C676">
        <f>IFERROR(INDEX($D$6:$D$1750,MATCH(ROWS($B$6:B676),$B$6:$B$1750,0)),"")</f>
        <v/>
      </c>
      <c r="D676">
        <f>J676&amp;" ("&amp;E676&amp;")"</f>
        <v/>
      </c>
      <c r="E676" t="n">
        <v>20594</v>
      </c>
      <c r="F676" t="inlineStr">
        <is>
          <t>Skilled Nursing and Interm. Care Facility</t>
        </is>
      </c>
      <c r="G676" t="inlineStr">
        <is>
          <t>9461 Batey Avenue</t>
        </is>
      </c>
      <c r="H676" t="inlineStr">
        <is>
          <t>Elk Grove</t>
        </is>
      </c>
      <c r="I676" t="inlineStr">
        <is>
          <t>Sacramento</t>
        </is>
      </c>
      <c r="J676" t="inlineStr">
        <is>
          <t>Windsor Elk Grove Care And Rehabilitation Center</t>
        </is>
      </c>
    </row>
    <row r="677">
      <c r="A677">
        <f>--ISNUMBER(IFERROR(SEARCH($C$5,Inputs!$D677,1),""))</f>
        <v/>
      </c>
      <c r="B677">
        <f>IF(A677=1,COUNTIF($A$6:A677,1),"")</f>
        <v/>
      </c>
      <c r="C677">
        <f>IFERROR(INDEX($D$6:$D$1750,MATCH(ROWS($B$6:B677),$B$6:$B$1750,0)),"")</f>
        <v/>
      </c>
      <c r="D677">
        <f>J677&amp;" ("&amp;E677&amp;")"</f>
        <v/>
      </c>
      <c r="E677" t="n">
        <v>20597</v>
      </c>
      <c r="F677" t="inlineStr">
        <is>
          <t>Skilled Nursing and Interm. Care Facility</t>
        </is>
      </c>
      <c r="G677" t="inlineStr">
        <is>
          <t>510 Mill Street</t>
        </is>
      </c>
      <c r="H677" t="inlineStr">
        <is>
          <t>Folsom</t>
        </is>
      </c>
      <c r="I677" t="inlineStr">
        <is>
          <t>Sacramento</t>
        </is>
      </c>
      <c r="J677" t="inlineStr">
        <is>
          <t>Folsom Care Center</t>
        </is>
      </c>
    </row>
    <row r="678">
      <c r="A678">
        <f>--ISNUMBER(IFERROR(SEARCH($C$5,Inputs!$D678,1),""))</f>
        <v/>
      </c>
      <c r="B678">
        <f>IF(A678=1,COUNTIF($A$6:A678,1),"")</f>
        <v/>
      </c>
      <c r="C678">
        <f>IFERROR(INDEX($D$6:$D$1750,MATCH(ROWS($B$6:B678),$B$6:$B$1750,0)),"")</f>
        <v/>
      </c>
      <c r="D678">
        <f>J678&amp;" ("&amp;E678&amp;")"</f>
        <v/>
      </c>
      <c r="E678" t="n">
        <v>20609</v>
      </c>
      <c r="F678" t="inlineStr">
        <is>
          <t>Skilled Nursing and Interm. Care Facility</t>
        </is>
      </c>
      <c r="G678" t="inlineStr">
        <is>
          <t>2600 L St</t>
        </is>
      </c>
      <c r="H678" t="inlineStr">
        <is>
          <t>Sacramento</t>
        </is>
      </c>
      <c r="I678" t="inlineStr">
        <is>
          <t>Sacramento</t>
        </is>
      </c>
      <c r="J678" t="inlineStr">
        <is>
          <t>Mid-Town Oaks Post-Acute</t>
        </is>
      </c>
    </row>
    <row r="679">
      <c r="A679">
        <f>--ISNUMBER(IFERROR(SEARCH($C$5,Inputs!$D679,1),""))</f>
        <v/>
      </c>
      <c r="B679">
        <f>IF(A679=1,COUNTIF($A$6:A679,1),"")</f>
        <v/>
      </c>
      <c r="C679">
        <f>IFERROR(INDEX($D$6:$D$1750,MATCH(ROWS($B$6:B679),$B$6:$B$1750,0)),"")</f>
        <v/>
      </c>
      <c r="D679">
        <f>J679&amp;" ("&amp;E679&amp;")"</f>
        <v/>
      </c>
      <c r="E679" t="n">
        <v>20611</v>
      </c>
      <c r="F679" t="inlineStr">
        <is>
          <t>Skilled Nursing and Interm. Care Facility</t>
        </is>
      </c>
      <c r="G679" t="inlineStr">
        <is>
          <t>415 P Street</t>
        </is>
      </c>
      <c r="H679" t="inlineStr">
        <is>
          <t>Sacramento</t>
        </is>
      </c>
      <c r="I679" t="inlineStr">
        <is>
          <t>Sacramento</t>
        </is>
      </c>
      <c r="J679" t="inlineStr">
        <is>
          <t>Pioneer House</t>
        </is>
      </c>
    </row>
    <row r="680">
      <c r="A680">
        <f>--ISNUMBER(IFERROR(SEARCH($C$5,Inputs!$D680,1),""))</f>
        <v/>
      </c>
      <c r="B680">
        <f>IF(A680=1,COUNTIF($A$6:A680,1),"")</f>
        <v/>
      </c>
      <c r="C680">
        <f>IFERROR(INDEX($D$6:$D$1750,MATCH(ROWS($B$6:B680),$B$6:$B$1750,0)),"")</f>
        <v/>
      </c>
      <c r="D680">
        <f>J680&amp;" ("&amp;E680&amp;")"</f>
        <v/>
      </c>
      <c r="E680" t="n">
        <v>20613</v>
      </c>
      <c r="F680" t="inlineStr">
        <is>
          <t>Skilled Nursing and Interm. Care Facility</t>
        </is>
      </c>
      <c r="G680" t="inlineStr">
        <is>
          <t>10410 Coloma Road</t>
        </is>
      </c>
      <c r="H680" t="inlineStr">
        <is>
          <t>Rancho Cordova</t>
        </is>
      </c>
      <c r="I680" t="inlineStr">
        <is>
          <t>Sacramento</t>
        </is>
      </c>
      <c r="J680" t="inlineStr">
        <is>
          <t>Casa Coloma Health Care Center</t>
        </is>
      </c>
    </row>
    <row r="681">
      <c r="A681">
        <f>--ISNUMBER(IFERROR(SEARCH($C$5,Inputs!$D681,1),""))</f>
        <v/>
      </c>
      <c r="B681">
        <f>IF(A681=1,COUNTIF($A$6:A681,1),"")</f>
        <v/>
      </c>
      <c r="C681">
        <f>IFERROR(INDEX($D$6:$D$1750,MATCH(ROWS($B$6:B681),$B$6:$B$1750,0)),"")</f>
        <v/>
      </c>
      <c r="D681">
        <f>J681&amp;" ("&amp;E681&amp;")"</f>
        <v/>
      </c>
      <c r="E681" t="n">
        <v>20614</v>
      </c>
      <c r="F681" t="inlineStr">
        <is>
          <t>Skilled Nursing and Interm. Care Facility</t>
        </is>
      </c>
      <c r="G681" t="inlineStr">
        <is>
          <t>1090 Rio Lane</t>
        </is>
      </c>
      <c r="H681" t="inlineStr">
        <is>
          <t>Sacramento</t>
        </is>
      </c>
      <c r="I681" t="inlineStr">
        <is>
          <t>Sacramento</t>
        </is>
      </c>
      <c r="J681" t="inlineStr">
        <is>
          <t>Applewood Post Acute</t>
        </is>
      </c>
    </row>
    <row r="682">
      <c r="A682">
        <f>--ISNUMBER(IFERROR(SEARCH($C$5,Inputs!$D682,1),""))</f>
        <v/>
      </c>
      <c r="B682">
        <f>IF(A682=1,COUNTIF($A$6:A682,1),"")</f>
        <v/>
      </c>
      <c r="C682">
        <f>IFERROR(INDEX($D$6:$D$1750,MATCH(ROWS($B$6:B682),$B$6:$B$1750,0)),"")</f>
        <v/>
      </c>
      <c r="D682">
        <f>J682&amp;" ("&amp;E682&amp;")"</f>
        <v/>
      </c>
      <c r="E682" t="n">
        <v>20615</v>
      </c>
      <c r="F682" t="inlineStr">
        <is>
          <t>Skilled Nursing and Interm. Care Facility</t>
        </is>
      </c>
      <c r="G682" t="inlineStr">
        <is>
          <t>5901 Lemon Hill Avenue</t>
        </is>
      </c>
      <c r="H682" t="inlineStr">
        <is>
          <t>Sacramento</t>
        </is>
      </c>
      <c r="I682" t="inlineStr">
        <is>
          <t>Sacramento</t>
        </is>
      </c>
      <c r="J682" t="inlineStr">
        <is>
          <t>Briarwood Post Acute</t>
        </is>
      </c>
    </row>
    <row r="683">
      <c r="A683">
        <f>--ISNUMBER(IFERROR(SEARCH($C$5,Inputs!$D683,1),""))</f>
        <v/>
      </c>
      <c r="B683">
        <f>IF(A683=1,COUNTIF($A$6:A683,1),"")</f>
        <v/>
      </c>
      <c r="C683">
        <f>IFERROR(INDEX($D$6:$D$1750,MATCH(ROWS($B$6:B683),$B$6:$B$1750,0)),"")</f>
        <v/>
      </c>
      <c r="D683">
        <f>J683&amp;" ("&amp;E683&amp;")"</f>
        <v/>
      </c>
      <c r="E683" t="n">
        <v>20616</v>
      </c>
      <c r="F683" t="inlineStr">
        <is>
          <t>Skilled Nursing and Interm. Care Facility</t>
        </is>
      </c>
      <c r="G683" t="inlineStr">
        <is>
          <t>144 F St</t>
        </is>
      </c>
      <c r="H683" t="inlineStr">
        <is>
          <t>Galt</t>
        </is>
      </c>
      <c r="I683" t="inlineStr">
        <is>
          <t>Sacramento</t>
        </is>
      </c>
      <c r="J683" t="inlineStr">
        <is>
          <t>Dycora Transitional Health - Galt</t>
        </is>
      </c>
    </row>
    <row r="684">
      <c r="A684">
        <f>--ISNUMBER(IFERROR(SEARCH($C$5,Inputs!$D684,1),""))</f>
        <v/>
      </c>
      <c r="B684">
        <f>IF(A684=1,COUNTIF($A$6:A684,1),"")</f>
        <v/>
      </c>
      <c r="C684">
        <f>IFERROR(INDEX($D$6:$D$1750,MATCH(ROWS($B$6:B684),$B$6:$B$1750,0)),"")</f>
        <v/>
      </c>
      <c r="D684">
        <f>J684&amp;" ("&amp;E684&amp;")"</f>
        <v/>
      </c>
      <c r="E684" t="n">
        <v>20617</v>
      </c>
      <c r="F684" t="inlineStr">
        <is>
          <t>Skilled Nursing and Interm. Care Facility</t>
        </is>
      </c>
      <c r="G684" t="inlineStr">
        <is>
          <t>3700 H St</t>
        </is>
      </c>
      <c r="H684" t="inlineStr">
        <is>
          <t>Sacramento</t>
        </is>
      </c>
      <c r="I684" t="inlineStr">
        <is>
          <t>Sacramento</t>
        </is>
      </c>
      <c r="J684" t="inlineStr">
        <is>
          <t>Mckinley Park Care Center</t>
        </is>
      </c>
    </row>
    <row r="685">
      <c r="A685">
        <f>--ISNUMBER(IFERROR(SEARCH($C$5,Inputs!$D685,1),""))</f>
        <v/>
      </c>
      <c r="B685">
        <f>IF(A685=1,COUNTIF($A$6:A685,1),"")</f>
        <v/>
      </c>
      <c r="C685">
        <f>IFERROR(INDEX($D$6:$D$1750,MATCH(ROWS($B$6:B685),$B$6:$B$1750,0)),"")</f>
        <v/>
      </c>
      <c r="D685">
        <f>J685&amp;" ("&amp;E685&amp;")"</f>
        <v/>
      </c>
      <c r="E685" t="n">
        <v>20620</v>
      </c>
      <c r="F685" t="inlineStr">
        <is>
          <t>Skilled Nursing and Interm. Care Facility</t>
        </is>
      </c>
      <c r="G685" t="inlineStr">
        <is>
          <t>3500 Folsom Boulevard</t>
        </is>
      </c>
      <c r="H685" t="inlineStr">
        <is>
          <t>Sacramento</t>
        </is>
      </c>
      <c r="I685" t="inlineStr">
        <is>
          <t>Sacramento</t>
        </is>
      </c>
      <c r="J685" t="inlineStr">
        <is>
          <t>Saylor Lane Healthcare Center</t>
        </is>
      </c>
    </row>
    <row r="686">
      <c r="A686">
        <f>--ISNUMBER(IFERROR(SEARCH($C$5,Inputs!$D686,1),""))</f>
        <v/>
      </c>
      <c r="B686">
        <f>IF(A686=1,COUNTIF($A$6:A686,1),"")</f>
        <v/>
      </c>
      <c r="C686">
        <f>IFERROR(INDEX($D$6:$D$1750,MATCH(ROWS($B$6:B686),$B$6:$B$1750,0)),"")</f>
        <v/>
      </c>
      <c r="D686">
        <f>J686&amp;" ("&amp;E686&amp;")"</f>
        <v/>
      </c>
      <c r="E686" t="n">
        <v>20621</v>
      </c>
      <c r="F686" t="inlineStr">
        <is>
          <t>Skilled Nursing and Interm. Care Facility</t>
        </is>
      </c>
      <c r="G686" t="inlineStr">
        <is>
          <t>4700 Elvas Avenue</t>
        </is>
      </c>
      <c r="H686" t="inlineStr">
        <is>
          <t>Sacramento</t>
        </is>
      </c>
      <c r="I686" t="inlineStr">
        <is>
          <t>Sacramento</t>
        </is>
      </c>
      <c r="J686" t="inlineStr">
        <is>
          <t>Sherwood Healthcare Center</t>
        </is>
      </c>
    </row>
    <row r="687">
      <c r="A687">
        <f>--ISNUMBER(IFERROR(SEARCH($C$5,Inputs!$D687,1),""))</f>
        <v/>
      </c>
      <c r="B687">
        <f>IF(A687=1,COUNTIF($A$6:A687,1),"")</f>
        <v/>
      </c>
      <c r="C687">
        <f>IFERROR(INDEX($D$6:$D$1750,MATCH(ROWS($B$6:B687),$B$6:$B$1750,0)),"")</f>
        <v/>
      </c>
      <c r="D687">
        <f>J687&amp;" ("&amp;E687&amp;")"</f>
        <v/>
      </c>
      <c r="E687" t="n">
        <v>20634</v>
      </c>
      <c r="F687" t="inlineStr">
        <is>
          <t>Skilled Nursing and Interm. Care Facility</t>
        </is>
      </c>
      <c r="G687" t="inlineStr">
        <is>
          <t>5255 Hemlock Street</t>
        </is>
      </c>
      <c r="H687" t="inlineStr">
        <is>
          <t>Sacramento</t>
        </is>
      </c>
      <c r="I687" t="inlineStr">
        <is>
          <t>Sacramento</t>
        </is>
      </c>
      <c r="J687" t="inlineStr">
        <is>
          <t>Sacramento Post-Acute</t>
        </is>
      </c>
    </row>
    <row r="688">
      <c r="A688">
        <f>--ISNUMBER(IFERROR(SEARCH($C$5,Inputs!$D688,1),""))</f>
        <v/>
      </c>
      <c r="B688">
        <f>IF(A688=1,COUNTIF($A$6:A688,1),"")</f>
        <v/>
      </c>
      <c r="C688">
        <f>IFERROR(INDEX($D$6:$D$1750,MATCH(ROWS($B$6:B688),$B$6:$B$1750,0)),"")</f>
        <v/>
      </c>
      <c r="D688">
        <f>J688&amp;" ("&amp;E688&amp;")"</f>
        <v/>
      </c>
      <c r="E688" t="n">
        <v>20635</v>
      </c>
      <c r="F688" t="inlineStr">
        <is>
          <t>Skilled Nursing and Interm. Care Facility</t>
        </is>
      </c>
      <c r="G688" t="inlineStr">
        <is>
          <t>6041 Fair Oaks Blvd</t>
        </is>
      </c>
      <c r="H688" t="inlineStr">
        <is>
          <t>Carmichael</t>
        </is>
      </c>
      <c r="I688" t="inlineStr">
        <is>
          <t>Sacramento</t>
        </is>
      </c>
      <c r="J688" t="inlineStr">
        <is>
          <t>River Pointe Post-Acute</t>
        </is>
      </c>
    </row>
    <row r="689">
      <c r="A689">
        <f>--ISNUMBER(IFERROR(SEARCH($C$5,Inputs!$D689,1),""))</f>
        <v/>
      </c>
      <c r="B689">
        <f>IF(A689=1,COUNTIF($A$6:A689,1),"")</f>
        <v/>
      </c>
      <c r="C689">
        <f>IFERROR(INDEX($D$6:$D$1750,MATCH(ROWS($B$6:B689),$B$6:$B$1750,0)),"")</f>
        <v/>
      </c>
      <c r="D689">
        <f>J689&amp;" ("&amp;E689&amp;")"</f>
        <v/>
      </c>
      <c r="E689" t="n">
        <v>20636</v>
      </c>
      <c r="F689" t="inlineStr">
        <is>
          <t>Skilled Nursing and Interm. Care Facility</t>
        </is>
      </c>
      <c r="G689" t="inlineStr">
        <is>
          <t>6821 24th Street</t>
        </is>
      </c>
      <c r="H689" t="inlineStr">
        <is>
          <t>Sacramento</t>
        </is>
      </c>
      <c r="I689" t="inlineStr">
        <is>
          <t>Sacramento</t>
        </is>
      </c>
      <c r="J689" t="inlineStr">
        <is>
          <t>Capital Transitional Care</t>
        </is>
      </c>
    </row>
    <row r="690">
      <c r="A690">
        <f>--ISNUMBER(IFERROR(SEARCH($C$5,Inputs!$D690,1),""))</f>
        <v/>
      </c>
      <c r="B690">
        <f>IF(A690=1,COUNTIF($A$6:A690,1),"")</f>
        <v/>
      </c>
      <c r="C690">
        <f>IFERROR(INDEX($D$6:$D$1750,MATCH(ROWS($B$6:B690),$B$6:$B$1750,0)),"")</f>
        <v/>
      </c>
      <c r="D690">
        <f>J690&amp;" ("&amp;E690&amp;")"</f>
        <v/>
      </c>
      <c r="E690" t="n">
        <v>20637</v>
      </c>
      <c r="F690" t="inlineStr">
        <is>
          <t>Skilled Nursing and Interm. Care Facility</t>
        </is>
      </c>
      <c r="G690" t="inlineStr">
        <is>
          <t>4635 College Oak Drive</t>
        </is>
      </c>
      <c r="H690" t="inlineStr">
        <is>
          <t>Sacramento</t>
        </is>
      </c>
      <c r="I690" t="inlineStr">
        <is>
          <t>Sacramento</t>
        </is>
      </c>
      <c r="J690" t="inlineStr">
        <is>
          <t>College Oak Nursing And Rehabilitation Center</t>
        </is>
      </c>
    </row>
    <row r="691">
      <c r="A691">
        <f>--ISNUMBER(IFERROR(SEARCH($C$5,Inputs!$D691,1),""))</f>
        <v/>
      </c>
      <c r="B691">
        <f>IF(A691=1,COUNTIF($A$6:A691,1),"")</f>
        <v/>
      </c>
      <c r="C691">
        <f>IFERROR(INDEX($D$6:$D$1750,MATCH(ROWS($B$6:B691),$B$6:$B$1750,0)),"")</f>
        <v/>
      </c>
      <c r="D691">
        <f>J691&amp;" ("&amp;E691&amp;")"</f>
        <v/>
      </c>
      <c r="E691" t="n">
        <v>20643</v>
      </c>
      <c r="F691" t="inlineStr">
        <is>
          <t>Skilled Nursing and Interm. Care Facility</t>
        </is>
      </c>
      <c r="G691" t="inlineStr">
        <is>
          <t>900 Sunset Dr</t>
        </is>
      </c>
      <c r="H691" t="inlineStr">
        <is>
          <t>Hollister</t>
        </is>
      </c>
      <c r="I691" t="inlineStr">
        <is>
          <t>San Benito</t>
        </is>
      </c>
      <c r="J691" t="inlineStr">
        <is>
          <t>Hazel Hawkins Memorial Hospital D/P SNF</t>
        </is>
      </c>
    </row>
    <row r="692">
      <c r="A692">
        <f>--ISNUMBER(IFERROR(SEARCH($C$5,Inputs!$D692,1),""))</f>
        <v/>
      </c>
      <c r="B692">
        <f>IF(A692=1,COUNTIF($A$6:A692,1),"")</f>
        <v/>
      </c>
      <c r="C692">
        <f>IFERROR(INDEX($D$6:$D$1750,MATCH(ROWS($B$6:B692),$B$6:$B$1750,0)),"")</f>
        <v/>
      </c>
      <c r="D692">
        <f>J692&amp;" ("&amp;E692&amp;")"</f>
        <v/>
      </c>
      <c r="E692" t="n">
        <v>20644</v>
      </c>
      <c r="F692" t="inlineStr">
        <is>
          <t>Skilled Nursing and Interm. Care Facility</t>
        </is>
      </c>
      <c r="G692" t="inlineStr">
        <is>
          <t>9333 La Mesa Drive</t>
        </is>
      </c>
      <c r="H692" t="inlineStr">
        <is>
          <t>Rancho Cucamonga</t>
        </is>
      </c>
      <c r="I692" t="inlineStr">
        <is>
          <t>San Bernardino</t>
        </is>
      </c>
      <c r="J692" t="inlineStr">
        <is>
          <t>Rancho Mesa Care Center</t>
        </is>
      </c>
    </row>
    <row r="693">
      <c r="A693">
        <f>--ISNUMBER(IFERROR(SEARCH($C$5,Inputs!$D693,1),""))</f>
        <v/>
      </c>
      <c r="B693">
        <f>IF(A693=1,COUNTIF($A$6:A693,1),"")</f>
        <v/>
      </c>
      <c r="C693">
        <f>IFERROR(INDEX($D$6:$D$1750,MATCH(ROWS($B$6:B693),$B$6:$B$1750,0)),"")</f>
        <v/>
      </c>
      <c r="D693">
        <f>J693&amp;" ("&amp;E693&amp;")"</f>
        <v/>
      </c>
      <c r="E693" t="n">
        <v>20649</v>
      </c>
      <c r="F693" t="inlineStr">
        <is>
          <t>Skilled Nursing and Interm. Care Facility</t>
        </is>
      </c>
      <c r="G693" t="inlineStr">
        <is>
          <t>700 E Highland Ave</t>
        </is>
      </c>
      <c r="H693" t="inlineStr">
        <is>
          <t>Redlands</t>
        </is>
      </c>
      <c r="I693" t="inlineStr">
        <is>
          <t>San Bernardino</t>
        </is>
      </c>
      <c r="J693" t="inlineStr">
        <is>
          <t>Highland Care Center Of Redlands</t>
        </is>
      </c>
    </row>
    <row r="694">
      <c r="A694">
        <f>--ISNUMBER(IFERROR(SEARCH($C$5,Inputs!$D694,1),""))</f>
        <v/>
      </c>
      <c r="B694">
        <f>IF(A694=1,COUNTIF($A$6:A694,1),"")</f>
        <v/>
      </c>
      <c r="C694">
        <f>IFERROR(INDEX($D$6:$D$1750,MATCH(ROWS($B$6:B694),$B$6:$B$1750,0)),"")</f>
        <v/>
      </c>
      <c r="D694">
        <f>J694&amp;" ("&amp;E694&amp;")"</f>
        <v/>
      </c>
      <c r="E694" t="n">
        <v>20653</v>
      </c>
      <c r="F694" t="inlineStr">
        <is>
          <t>Skilled Nursing and Interm. Care Facility</t>
        </is>
      </c>
      <c r="G694" t="inlineStr">
        <is>
          <t>9440 Citrus Avenue</t>
        </is>
      </c>
      <c r="H694" t="inlineStr">
        <is>
          <t>Fontana</t>
        </is>
      </c>
      <c r="I694" t="inlineStr">
        <is>
          <t>San Bernardino</t>
        </is>
      </c>
      <c r="J694" t="inlineStr">
        <is>
          <t>Citrus Nursing Center</t>
        </is>
      </c>
    </row>
    <row r="695">
      <c r="A695">
        <f>--ISNUMBER(IFERROR(SEARCH($C$5,Inputs!$D695,1),""))</f>
        <v/>
      </c>
      <c r="B695">
        <f>IF(A695=1,COUNTIF($A$6:A695,1),"")</f>
        <v/>
      </c>
      <c r="C695">
        <f>IFERROR(INDEX($D$6:$D$1750,MATCH(ROWS($B$6:B695),$B$6:$B$1750,0)),"")</f>
        <v/>
      </c>
      <c r="D695">
        <f>J695&amp;" ("&amp;E695&amp;")"</f>
        <v/>
      </c>
      <c r="E695" t="n">
        <v>20656</v>
      </c>
      <c r="F695" t="inlineStr">
        <is>
          <t>Skilled Nursing and Interm. Care Facility</t>
        </is>
      </c>
      <c r="G695" t="inlineStr">
        <is>
          <t>9620 Fremont Avenue</t>
        </is>
      </c>
      <c r="H695" t="inlineStr">
        <is>
          <t>Montclair</t>
        </is>
      </c>
      <c r="I695" t="inlineStr">
        <is>
          <t>San Bernardino</t>
        </is>
      </c>
      <c r="J695" t="inlineStr">
        <is>
          <t>Community Extended Care Hospital Of Montclair</t>
        </is>
      </c>
    </row>
    <row r="696">
      <c r="A696">
        <f>--ISNUMBER(IFERROR(SEARCH($C$5,Inputs!$D696,1),""))</f>
        <v/>
      </c>
      <c r="B696">
        <f>IF(A696=1,COUNTIF($A$6:A696,1),"")</f>
        <v/>
      </c>
      <c r="C696">
        <f>IFERROR(INDEX($D$6:$D$1750,MATCH(ROWS($B$6:B696),$B$6:$B$1750,0)),"")</f>
        <v/>
      </c>
      <c r="D696">
        <f>J696&amp;" ("&amp;E696&amp;")"</f>
        <v/>
      </c>
      <c r="E696" t="n">
        <v>20657</v>
      </c>
      <c r="F696" t="inlineStr">
        <is>
          <t>Skilled Nursing and Interm. Care Facility</t>
        </is>
      </c>
      <c r="G696" t="inlineStr">
        <is>
          <t>1471 S Riverside Ave</t>
        </is>
      </c>
      <c r="H696" t="inlineStr">
        <is>
          <t>Rialto</t>
        </is>
      </c>
      <c r="I696" t="inlineStr">
        <is>
          <t>San Bernardino</t>
        </is>
      </c>
      <c r="J696" t="inlineStr">
        <is>
          <t>Rialto Post Acute Center</t>
        </is>
      </c>
    </row>
    <row r="697">
      <c r="A697">
        <f>--ISNUMBER(IFERROR(SEARCH($C$5,Inputs!$D697,1),""))</f>
        <v/>
      </c>
      <c r="B697">
        <f>IF(A697=1,COUNTIF($A$6:A697,1),"")</f>
        <v/>
      </c>
      <c r="C697">
        <f>IFERROR(INDEX($D$6:$D$1750,MATCH(ROWS($B$6:B697),$B$6:$B$1750,0)),"")</f>
        <v/>
      </c>
      <c r="D697">
        <f>J697&amp;" ("&amp;E697&amp;")"</f>
        <v/>
      </c>
      <c r="E697" t="n">
        <v>20659</v>
      </c>
      <c r="F697" t="inlineStr">
        <is>
          <t>Skilled Nursing and Interm. Care Facility</t>
        </is>
      </c>
      <c r="G697" t="inlineStr">
        <is>
          <t>14973 Hesperia Rd</t>
        </is>
      </c>
      <c r="H697" t="inlineStr">
        <is>
          <t>Victorville</t>
        </is>
      </c>
      <c r="I697" t="inlineStr">
        <is>
          <t>San Bernardino</t>
        </is>
      </c>
      <c r="J697" t="inlineStr">
        <is>
          <t>Spring Valley Post Acute LLC</t>
        </is>
      </c>
    </row>
    <row r="698">
      <c r="A698">
        <f>--ISNUMBER(IFERROR(SEARCH($C$5,Inputs!$D698,1),""))</f>
        <v/>
      </c>
      <c r="B698">
        <f>IF(A698=1,COUNTIF($A$6:A698,1),"")</f>
        <v/>
      </c>
      <c r="C698">
        <f>IFERROR(INDEX($D$6:$D$1750,MATCH(ROWS($B$6:B698),$B$6:$B$1750,0)),"")</f>
        <v/>
      </c>
      <c r="D698">
        <f>J698&amp;" ("&amp;E698&amp;")"</f>
        <v/>
      </c>
      <c r="E698" t="n">
        <v>20662</v>
      </c>
      <c r="F698" t="inlineStr">
        <is>
          <t>Skilled Nursing and Interm. Care Facility</t>
        </is>
      </c>
      <c r="G698" t="inlineStr">
        <is>
          <t>12000 Mt. Vernon Avenue</t>
        </is>
      </c>
      <c r="H698" t="inlineStr">
        <is>
          <t>Grand Terrace</t>
        </is>
      </c>
      <c r="I698" t="inlineStr">
        <is>
          <t>San Bernardino</t>
        </is>
      </c>
      <c r="J698" t="inlineStr">
        <is>
          <t>Grand Terrace Health Care Center</t>
        </is>
      </c>
    </row>
    <row r="699">
      <c r="A699">
        <f>--ISNUMBER(IFERROR(SEARCH($C$5,Inputs!$D699,1),""))</f>
        <v/>
      </c>
      <c r="B699">
        <f>IF(A699=1,COUNTIF($A$6:A699,1),"")</f>
        <v/>
      </c>
      <c r="C699">
        <f>IFERROR(INDEX($D$6:$D$1750,MATCH(ROWS($B$6:B699),$B$6:$B$1750,0)),"")</f>
        <v/>
      </c>
      <c r="D699">
        <f>J699&amp;" ("&amp;E699&amp;")"</f>
        <v/>
      </c>
      <c r="E699" t="n">
        <v>20664</v>
      </c>
      <c r="F699" t="inlineStr">
        <is>
          <t>Skilled Nursing and Interm. Care Facility</t>
        </is>
      </c>
      <c r="G699" t="inlineStr">
        <is>
          <t>13542 2nd St</t>
        </is>
      </c>
      <c r="H699" t="inlineStr">
        <is>
          <t>Yucaipa</t>
        </is>
      </c>
      <c r="I699" t="inlineStr">
        <is>
          <t>San Bernardino</t>
        </is>
      </c>
      <c r="J699" t="inlineStr">
        <is>
          <t>Calimesa Post Acute</t>
        </is>
      </c>
    </row>
    <row r="700">
      <c r="A700">
        <f>--ISNUMBER(IFERROR(SEARCH($C$5,Inputs!$D700,1),""))</f>
        <v/>
      </c>
      <c r="B700">
        <f>IF(A700=1,COUNTIF($A$6:A700,1),"")</f>
        <v/>
      </c>
      <c r="C700">
        <f>IFERROR(INDEX($D$6:$D$1750,MATCH(ROWS($B$6:B700),$B$6:$B$1750,0)),"")</f>
        <v/>
      </c>
      <c r="D700">
        <f>J700&amp;" ("&amp;E700&amp;")"</f>
        <v/>
      </c>
      <c r="E700" t="n">
        <v>20665</v>
      </c>
      <c r="F700" t="inlineStr">
        <is>
          <t>Skilled Nursing and Interm. Care Facility</t>
        </is>
      </c>
      <c r="G700" t="inlineStr">
        <is>
          <t>25271 Barton Road</t>
        </is>
      </c>
      <c r="H700" t="inlineStr">
        <is>
          <t>Loma Linda</t>
        </is>
      </c>
      <c r="I700" t="inlineStr">
        <is>
          <t>San Bernardino</t>
        </is>
      </c>
      <c r="J700" t="inlineStr">
        <is>
          <t>Heritage Gardens Health Care Center</t>
        </is>
      </c>
    </row>
    <row r="701">
      <c r="A701">
        <f>--ISNUMBER(IFERROR(SEARCH($C$5,Inputs!$D701,1),""))</f>
        <v/>
      </c>
      <c r="B701">
        <f>IF(A701=1,COUNTIF($A$6:A701,1),"")</f>
        <v/>
      </c>
      <c r="C701">
        <f>IFERROR(INDEX($D$6:$D$1750,MATCH(ROWS($B$6:B701),$B$6:$B$1750,0)),"")</f>
        <v/>
      </c>
      <c r="D701">
        <f>J701&amp;" ("&amp;E701&amp;")"</f>
        <v/>
      </c>
      <c r="E701" t="n">
        <v>20667</v>
      </c>
      <c r="F701" t="inlineStr">
        <is>
          <t>Skilled Nursing and Interm. Care Facility</t>
        </is>
      </c>
      <c r="G701" t="inlineStr">
        <is>
          <t>7534 Palm Avenue</t>
        </is>
      </c>
      <c r="H701" t="inlineStr">
        <is>
          <t>Highland</t>
        </is>
      </c>
      <c r="I701" t="inlineStr">
        <is>
          <t>San Bernardino</t>
        </is>
      </c>
      <c r="J701" t="inlineStr">
        <is>
          <t>Highland Palms Healthcare Center</t>
        </is>
      </c>
    </row>
    <row r="702">
      <c r="A702">
        <f>--ISNUMBER(IFERROR(SEARCH($C$5,Inputs!$D702,1),""))</f>
        <v/>
      </c>
      <c r="B702">
        <f>IF(A702=1,COUNTIF($A$6:A702,1),"")</f>
        <v/>
      </c>
      <c r="C702">
        <f>IFERROR(INDEX($D$6:$D$1750,MATCH(ROWS($B$6:B702),$B$6:$B$1750,0)),"")</f>
        <v/>
      </c>
      <c r="D702">
        <f>J702&amp;" ("&amp;E702&amp;")"</f>
        <v/>
      </c>
      <c r="E702" t="n">
        <v>20668</v>
      </c>
      <c r="F702" t="inlineStr">
        <is>
          <t>Skilled Nursing and Interm. Care Facility</t>
        </is>
      </c>
      <c r="G702" t="inlineStr">
        <is>
          <t>4280 Cypress Drive</t>
        </is>
      </c>
      <c r="H702" t="inlineStr">
        <is>
          <t>San Bernardino</t>
        </is>
      </c>
      <c r="I702" t="inlineStr">
        <is>
          <t>San Bernardino</t>
        </is>
      </c>
      <c r="J702" t="inlineStr">
        <is>
          <t>Hillcrest Nursing Home</t>
        </is>
      </c>
    </row>
    <row r="703">
      <c r="A703">
        <f>--ISNUMBER(IFERROR(SEARCH($C$5,Inputs!$D703,1),""))</f>
        <v/>
      </c>
      <c r="B703">
        <f>IF(A703=1,COUNTIF($A$6:A703,1),"")</f>
        <v/>
      </c>
      <c r="C703">
        <f>IFERROR(INDEX($D$6:$D$1750,MATCH(ROWS($B$6:B703),$B$6:$B$1750,0)),"")</f>
        <v/>
      </c>
      <c r="D703">
        <f>J703&amp;" ("&amp;E703&amp;")"</f>
        <v/>
      </c>
      <c r="E703" t="n">
        <v>20669</v>
      </c>
      <c r="F703" t="inlineStr">
        <is>
          <t>Skilled Nursing and Interm. Care Facility</t>
        </is>
      </c>
      <c r="G703" t="inlineStr">
        <is>
          <t>2278 Nice Avenue</t>
        </is>
      </c>
      <c r="H703" t="inlineStr">
        <is>
          <t>Mentone</t>
        </is>
      </c>
      <c r="I703" t="inlineStr">
        <is>
          <t>San Bernardino</t>
        </is>
      </c>
      <c r="J703" t="inlineStr">
        <is>
          <t>Mill Creek Manor</t>
        </is>
      </c>
    </row>
    <row r="704">
      <c r="A704">
        <f>--ISNUMBER(IFERROR(SEARCH($C$5,Inputs!$D704,1),""))</f>
        <v/>
      </c>
      <c r="B704">
        <f>IF(A704=1,COUNTIF($A$6:A704,1),"")</f>
        <v/>
      </c>
      <c r="C704">
        <f>IFERROR(INDEX($D$6:$D$1750,MATCH(ROWS($B$6:B704),$B$6:$B$1750,0)),"")</f>
        <v/>
      </c>
      <c r="D704">
        <f>J704&amp;" ("&amp;E704&amp;")"</f>
        <v/>
      </c>
      <c r="E704" t="n">
        <v>20673</v>
      </c>
      <c r="F704" t="inlineStr">
        <is>
          <t>Skilled Nursing and Interm. Care Facility</t>
        </is>
      </c>
      <c r="G704" t="inlineStr">
        <is>
          <t>7509 North Laurel Avenue</t>
        </is>
      </c>
      <c r="H704" t="inlineStr">
        <is>
          <t>Fontana</t>
        </is>
      </c>
      <c r="I704" t="inlineStr">
        <is>
          <t>San Bernardino</t>
        </is>
      </c>
      <c r="J704" t="inlineStr">
        <is>
          <t>Laurel Convalescent Hospital</t>
        </is>
      </c>
    </row>
    <row r="705">
      <c r="A705">
        <f>--ISNUMBER(IFERROR(SEARCH($C$5,Inputs!$D705,1),""))</f>
        <v/>
      </c>
      <c r="B705">
        <f>IF(A705=1,COUNTIF($A$6:A705,1),"")</f>
        <v/>
      </c>
      <c r="C705">
        <f>IFERROR(INDEX($D$6:$D$1750,MATCH(ROWS($B$6:B705),$B$6:$B$1750,0)),"")</f>
        <v/>
      </c>
      <c r="D705">
        <f>J705&amp;" ("&amp;E705&amp;")"</f>
        <v/>
      </c>
      <c r="E705" t="n">
        <v>20676</v>
      </c>
      <c r="F705" t="inlineStr">
        <is>
          <t>Skilled Nursing and Interm. Care Facility</t>
        </is>
      </c>
      <c r="G705" t="inlineStr">
        <is>
          <t>25383 Cole St</t>
        </is>
      </c>
      <c r="H705" t="inlineStr">
        <is>
          <t>Loma Linda</t>
        </is>
      </c>
      <c r="I705" t="inlineStr">
        <is>
          <t>San Bernardino</t>
        </is>
      </c>
      <c r="J705" t="inlineStr">
        <is>
          <t>Linda Valley Care Center</t>
        </is>
      </c>
    </row>
    <row r="706">
      <c r="A706">
        <f>--ISNUMBER(IFERROR(SEARCH($C$5,Inputs!$D706,1),""))</f>
        <v/>
      </c>
      <c r="B706">
        <f>IF(A706=1,COUNTIF($A$6:A706,1),"")</f>
        <v/>
      </c>
      <c r="C706">
        <f>IFERROR(INDEX($D$6:$D$1750,MATCH(ROWS($B$6:B706),$B$6:$B$1750,0)),"")</f>
        <v/>
      </c>
      <c r="D706">
        <f>J706&amp;" ("&amp;E706&amp;")"</f>
        <v/>
      </c>
      <c r="E706" t="n">
        <v>20678</v>
      </c>
      <c r="F706" t="inlineStr">
        <is>
          <t>Skilled Nursing and Interm. Care Facility</t>
        </is>
      </c>
      <c r="G706" t="inlineStr">
        <is>
          <t>467 East Gilbert Street</t>
        </is>
      </c>
      <c r="H706" t="inlineStr">
        <is>
          <t>San Bernardino</t>
        </is>
      </c>
      <c r="I706" t="inlineStr">
        <is>
          <t>San Bernardino</t>
        </is>
      </c>
      <c r="J706" t="inlineStr">
        <is>
          <t>Medical Center Convalescent Hospital</t>
        </is>
      </c>
    </row>
    <row r="707">
      <c r="A707">
        <f>--ISNUMBER(IFERROR(SEARCH($C$5,Inputs!$D707,1),""))</f>
        <v/>
      </c>
      <c r="B707">
        <f>IF(A707=1,COUNTIF($A$6:A707,1),"")</f>
        <v/>
      </c>
      <c r="C707">
        <f>IFERROR(INDEX($D$6:$D$1750,MATCH(ROWS($B$6:B707),$B$6:$B$1750,0)),"")</f>
        <v/>
      </c>
      <c r="D707">
        <f>J707&amp;" ("&amp;E707&amp;")"</f>
        <v/>
      </c>
      <c r="E707" t="n">
        <v>20680</v>
      </c>
      <c r="F707" t="inlineStr">
        <is>
          <t>Skilled Nursing and Interm. Care Facility</t>
        </is>
      </c>
      <c r="G707" t="inlineStr">
        <is>
          <t>5119 Bandera St</t>
        </is>
      </c>
      <c r="H707" t="inlineStr">
        <is>
          <t>Montclair</t>
        </is>
      </c>
      <c r="I707" t="inlineStr">
        <is>
          <t>San Bernardino</t>
        </is>
      </c>
      <c r="J707" t="inlineStr">
        <is>
          <t>Montclair Manor Care Center</t>
        </is>
      </c>
    </row>
    <row r="708">
      <c r="A708">
        <f>--ISNUMBER(IFERROR(SEARCH($C$5,Inputs!$D708,1),""))</f>
        <v/>
      </c>
      <c r="B708">
        <f>IF(A708=1,COUNTIF($A$6:A708,1),"")</f>
        <v/>
      </c>
      <c r="C708">
        <f>IFERROR(INDEX($D$6:$D$1750,MATCH(ROWS($B$6:B708),$B$6:$B$1750,0)),"")</f>
        <v/>
      </c>
      <c r="D708">
        <f>J708&amp;" ("&amp;E708&amp;")"</f>
        <v/>
      </c>
      <c r="E708" t="n">
        <v>20683</v>
      </c>
      <c r="F708" t="inlineStr">
        <is>
          <t>Skilled Nursing and Interm. Care Facility</t>
        </is>
      </c>
      <c r="G708" t="inlineStr">
        <is>
          <t>4164 North Fourth Avenue</t>
        </is>
      </c>
      <c r="H708" t="inlineStr">
        <is>
          <t>San Bernardino</t>
        </is>
      </c>
      <c r="I708" t="inlineStr">
        <is>
          <t>San Bernardino</t>
        </is>
      </c>
      <c r="J708" t="inlineStr">
        <is>
          <t>Shandin Hills Behavior Therapy Center</t>
        </is>
      </c>
    </row>
    <row r="709">
      <c r="A709">
        <f>--ISNUMBER(IFERROR(SEARCH($C$5,Inputs!$D709,1),""))</f>
        <v/>
      </c>
      <c r="B709">
        <f>IF(A709=1,COUNTIF($A$6:A709,1),"")</f>
        <v/>
      </c>
      <c r="C709">
        <f>IFERROR(INDEX($D$6:$D$1750,MATCH(ROWS($B$6:B709),$B$6:$B$1750,0)),"")</f>
        <v/>
      </c>
      <c r="D709">
        <f>J709&amp;" ("&amp;E709&amp;")"</f>
        <v/>
      </c>
      <c r="E709" t="n">
        <v>20686</v>
      </c>
      <c r="F709" t="inlineStr">
        <is>
          <t>Skilled Nursing and Interm. Care Facility</t>
        </is>
      </c>
      <c r="G709" t="inlineStr">
        <is>
          <t>933 E Deodar St</t>
        </is>
      </c>
      <c r="H709" t="inlineStr">
        <is>
          <t>Ontario</t>
        </is>
      </c>
      <c r="I709" t="inlineStr">
        <is>
          <t>San Bernardino</t>
        </is>
      </c>
      <c r="J709" t="inlineStr">
        <is>
          <t>Healthcare Center Of Bella Vista</t>
        </is>
      </c>
    </row>
    <row r="710">
      <c r="A710">
        <f>--ISNUMBER(IFERROR(SEARCH($C$5,Inputs!$D710,1),""))</f>
        <v/>
      </c>
      <c r="B710">
        <f>IF(A710=1,COUNTIF($A$6:A710,1),"")</f>
        <v/>
      </c>
      <c r="C710">
        <f>IFERROR(INDEX($D$6:$D$1750,MATCH(ROWS($B$6:B710),$B$6:$B$1750,0)),"")</f>
        <v/>
      </c>
      <c r="D710">
        <f>J710&amp;" ("&amp;E710&amp;")"</f>
        <v/>
      </c>
      <c r="E710" t="n">
        <v>20687</v>
      </c>
      <c r="F710" t="inlineStr">
        <is>
          <t>Skilled Nursing and Interm. Care Facility</t>
        </is>
      </c>
      <c r="G710" t="inlineStr">
        <is>
          <t>1661 South Euclid Avenue</t>
        </is>
      </c>
      <c r="H710" t="inlineStr">
        <is>
          <t>Ontario</t>
        </is>
      </c>
      <c r="I710" t="inlineStr">
        <is>
          <t>San Bernardino</t>
        </is>
      </c>
      <c r="J710" t="inlineStr">
        <is>
          <t>Ontario Healthcare Center</t>
        </is>
      </c>
    </row>
    <row r="711">
      <c r="A711">
        <f>--ISNUMBER(IFERROR(SEARCH($C$5,Inputs!$D711,1),""))</f>
        <v/>
      </c>
      <c r="B711">
        <f>IF(A711=1,COUNTIF($A$6:A711,1),"")</f>
        <v/>
      </c>
      <c r="C711">
        <f>IFERROR(INDEX($D$6:$D$1750,MATCH(ROWS($B$6:B711),$B$6:$B$1750,0)),"")</f>
        <v/>
      </c>
      <c r="D711">
        <f>J711&amp;" ("&amp;E711&amp;")"</f>
        <v/>
      </c>
      <c r="E711" t="n">
        <v>20689</v>
      </c>
      <c r="F711" t="inlineStr">
        <is>
          <t>Skilled Nursing and Interm. Care Facility</t>
        </is>
      </c>
      <c r="G711" t="inlineStr">
        <is>
          <t>800 East 5th Street</t>
        </is>
      </c>
      <c r="H711" t="inlineStr">
        <is>
          <t>Ontario</t>
        </is>
      </c>
      <c r="I711" t="inlineStr">
        <is>
          <t>San Bernardino</t>
        </is>
      </c>
      <c r="J711" t="inlineStr">
        <is>
          <t>Las Colinas Post Acute</t>
        </is>
      </c>
    </row>
    <row r="712">
      <c r="A712">
        <f>--ISNUMBER(IFERROR(SEARCH($C$5,Inputs!$D712,1),""))</f>
        <v/>
      </c>
      <c r="B712">
        <f>IF(A712=1,COUNTIF($A$6:A712,1),"")</f>
        <v/>
      </c>
      <c r="C712">
        <f>IFERROR(INDEX($D$6:$D$1750,MATCH(ROWS($B$6:B712),$B$6:$B$1750,0)),"")</f>
        <v/>
      </c>
      <c r="D712">
        <f>J712&amp;" ("&amp;E712&amp;")"</f>
        <v/>
      </c>
      <c r="E712" t="n">
        <v>20690</v>
      </c>
      <c r="F712" t="inlineStr">
        <is>
          <t>Skilled Nursing and Interm. Care Facility</t>
        </is>
      </c>
      <c r="G712" t="inlineStr">
        <is>
          <t>819 Salem Drive</t>
        </is>
      </c>
      <c r="H712" t="inlineStr">
        <is>
          <t>Redlands</t>
        </is>
      </c>
      <c r="I712" t="inlineStr">
        <is>
          <t>San Bernardino</t>
        </is>
      </c>
      <c r="J712" t="inlineStr">
        <is>
          <t>Plymouth Village</t>
        </is>
      </c>
    </row>
    <row r="713">
      <c r="A713">
        <f>--ISNUMBER(IFERROR(SEARCH($C$5,Inputs!$D713,1),""))</f>
        <v/>
      </c>
      <c r="B713">
        <f>IF(A713=1,COUNTIF($A$6:A713,1),"")</f>
        <v/>
      </c>
      <c r="C713">
        <f>IFERROR(INDEX($D$6:$D$1750,MATCH(ROWS($B$6:B713),$B$6:$B$1750,0)),"")</f>
        <v/>
      </c>
      <c r="D713">
        <f>J713&amp;" ("&amp;E713&amp;")"</f>
        <v/>
      </c>
      <c r="E713" t="n">
        <v>20693</v>
      </c>
      <c r="F713" t="inlineStr">
        <is>
          <t>Skilled Nursing and Interm. Care Facility</t>
        </is>
      </c>
      <c r="G713" t="inlineStr">
        <is>
          <t>27555 Rimrock Road</t>
        </is>
      </c>
      <c r="H713" t="inlineStr">
        <is>
          <t>Barstow</t>
        </is>
      </c>
      <c r="I713" t="inlineStr">
        <is>
          <t>San Bernardino</t>
        </is>
      </c>
      <c r="J713" t="inlineStr">
        <is>
          <t>Rimrock Villa Convalescent Hospital</t>
        </is>
      </c>
    </row>
    <row r="714">
      <c r="A714">
        <f>--ISNUMBER(IFERROR(SEARCH($C$5,Inputs!$D714,1),""))</f>
        <v/>
      </c>
      <c r="B714">
        <f>IF(A714=1,COUNTIF($A$6:A714,1),"")</f>
        <v/>
      </c>
      <c r="C714">
        <f>IFERROR(INDEX($D$6:$D$1750,MATCH(ROWS($B$6:B714),$B$6:$B$1750,0)),"")</f>
        <v/>
      </c>
      <c r="D714">
        <f>J714&amp;" ("&amp;E714&amp;")"</f>
        <v/>
      </c>
      <c r="E714" t="n">
        <v>20698</v>
      </c>
      <c r="F714" t="inlineStr">
        <is>
          <t>Skilled Nursing and Interm. Care Facility</t>
        </is>
      </c>
      <c r="G714" t="inlineStr">
        <is>
          <t>1335 N Waterman Ave</t>
        </is>
      </c>
      <c r="H714" t="inlineStr">
        <is>
          <t>San Bernardino</t>
        </is>
      </c>
      <c r="I714" t="inlineStr">
        <is>
          <t>San Bernardino</t>
        </is>
      </c>
      <c r="J714" t="inlineStr">
        <is>
          <t>Legacy Post-Acute Rehabilitation Center</t>
        </is>
      </c>
    </row>
    <row r="715">
      <c r="A715">
        <f>--ISNUMBER(IFERROR(SEARCH($C$5,Inputs!$D715,1),""))</f>
        <v/>
      </c>
      <c r="B715">
        <f>IF(A715=1,COUNTIF($A$6:A715,1),"")</f>
        <v/>
      </c>
      <c r="C715">
        <f>IFERROR(INDEX($D$6:$D$1750,MATCH(ROWS($B$6:B715),$B$6:$B$1750,0)),"")</f>
        <v/>
      </c>
      <c r="D715">
        <f>J715&amp;" ("&amp;E715&amp;")"</f>
        <v/>
      </c>
      <c r="E715" t="n">
        <v>20703</v>
      </c>
      <c r="F715" t="inlineStr">
        <is>
          <t>Skilled Nursing and Interm. Care Facility</t>
        </is>
      </c>
      <c r="G715" t="inlineStr">
        <is>
          <t>1620 West Fern Avenue</t>
        </is>
      </c>
      <c r="H715" t="inlineStr">
        <is>
          <t>Redlands</t>
        </is>
      </c>
      <c r="I715" t="inlineStr">
        <is>
          <t>San Bernardino</t>
        </is>
      </c>
      <c r="J715" t="inlineStr">
        <is>
          <t>Redlands Healthcare Center</t>
        </is>
      </c>
    </row>
    <row r="716">
      <c r="A716">
        <f>--ISNUMBER(IFERROR(SEARCH($C$5,Inputs!$D716,1),""))</f>
        <v/>
      </c>
      <c r="B716">
        <f>IF(A716=1,COUNTIF($A$6:A716,1),"")</f>
        <v/>
      </c>
      <c r="C716">
        <f>IFERROR(INDEX($D$6:$D$1750,MATCH(ROWS($B$6:B716),$B$6:$B$1750,0)),"")</f>
        <v/>
      </c>
      <c r="D716">
        <f>J716&amp;" ("&amp;E716&amp;")"</f>
        <v/>
      </c>
      <c r="E716" t="n">
        <v>20706</v>
      </c>
      <c r="F716" t="inlineStr">
        <is>
          <t>Skilled Nursing and Interm. Care Facility</t>
        </is>
      </c>
      <c r="G716" t="inlineStr">
        <is>
          <t>1221 East Arrow Highway</t>
        </is>
      </c>
      <c r="H716" t="inlineStr">
        <is>
          <t>Upland</t>
        </is>
      </c>
      <c r="I716" t="inlineStr">
        <is>
          <t>San Bernardino</t>
        </is>
      </c>
      <c r="J716" t="inlineStr">
        <is>
          <t>Upland Rehabilitation and Care Center</t>
        </is>
      </c>
    </row>
    <row r="717">
      <c r="A717">
        <f>--ISNUMBER(IFERROR(SEARCH($C$5,Inputs!$D717,1),""))</f>
        <v/>
      </c>
      <c r="B717">
        <f>IF(A717=1,COUNTIF($A$6:A717,1),"")</f>
        <v/>
      </c>
      <c r="C717">
        <f>IFERROR(INDEX($D$6:$D$1750,MATCH(ROWS($B$6:B717),$B$6:$B$1750,0)),"")</f>
        <v/>
      </c>
      <c r="D717">
        <f>J717&amp;" ("&amp;E717&amp;")"</f>
        <v/>
      </c>
      <c r="E717" t="n">
        <v>20710</v>
      </c>
      <c r="F717" t="inlineStr">
        <is>
          <t>Skilled Nursing and Interm. Care Facility</t>
        </is>
      </c>
      <c r="G717" t="inlineStr">
        <is>
          <t>1850 North Waterman Avenue</t>
        </is>
      </c>
      <c r="H717" t="inlineStr">
        <is>
          <t>San Bernardino</t>
        </is>
      </c>
      <c r="I717" t="inlineStr">
        <is>
          <t>San Bernardino</t>
        </is>
      </c>
      <c r="J717" t="inlineStr">
        <is>
          <t>Waterman Canyon Post Acute</t>
        </is>
      </c>
    </row>
    <row r="718">
      <c r="A718">
        <f>--ISNUMBER(IFERROR(SEARCH($C$5,Inputs!$D718,1),""))</f>
        <v/>
      </c>
      <c r="B718">
        <f>IF(A718=1,COUNTIF($A$6:A718,1),"")</f>
        <v/>
      </c>
      <c r="C718">
        <f>IFERROR(INDEX($D$6:$D$1750,MATCH(ROWS($B$6:B718),$B$6:$B$1750,0)),"")</f>
        <v/>
      </c>
      <c r="D718">
        <f>J718&amp;" ("&amp;E718&amp;")"</f>
        <v/>
      </c>
      <c r="E718" t="n">
        <v>20714</v>
      </c>
      <c r="F718" t="inlineStr">
        <is>
          <t>Skilled Nursing and Interm. Care Facility</t>
        </is>
      </c>
      <c r="G718" t="inlineStr">
        <is>
          <t>35253 Avenue H</t>
        </is>
      </c>
      <c r="H718" t="inlineStr">
        <is>
          <t>Yucaipa</t>
        </is>
      </c>
      <c r="I718" t="inlineStr">
        <is>
          <t>San Bernardino</t>
        </is>
      </c>
      <c r="J718" t="inlineStr">
        <is>
          <t>Creekside Care Center</t>
        </is>
      </c>
    </row>
    <row r="719">
      <c r="A719">
        <f>--ISNUMBER(IFERROR(SEARCH($C$5,Inputs!$D719,1),""))</f>
        <v/>
      </c>
      <c r="B719">
        <f>IF(A719=1,COUNTIF($A$6:A719,1),"")</f>
        <v/>
      </c>
      <c r="C719">
        <f>IFERROR(INDEX($D$6:$D$1750,MATCH(ROWS($B$6:B719),$B$6:$B$1750,0)),"")</f>
        <v/>
      </c>
      <c r="D719">
        <f>J719&amp;" ("&amp;E719&amp;")"</f>
        <v/>
      </c>
      <c r="E719" t="n">
        <v>20715</v>
      </c>
      <c r="F719" t="inlineStr">
        <is>
          <t>Skilled Nursing and Interm. Care Facility</t>
        </is>
      </c>
      <c r="G719" t="inlineStr">
        <is>
          <t>867 East 11th Street</t>
        </is>
      </c>
      <c r="H719" t="inlineStr">
        <is>
          <t>Upland</t>
        </is>
      </c>
      <c r="I719" t="inlineStr">
        <is>
          <t>San Bernardino</t>
        </is>
      </c>
      <c r="J719" t="inlineStr">
        <is>
          <t>Villa Mesa Care Center</t>
        </is>
      </c>
    </row>
    <row r="720">
      <c r="A720">
        <f>--ISNUMBER(IFERROR(SEARCH($C$5,Inputs!$D720,1),""))</f>
        <v/>
      </c>
      <c r="B720">
        <f>IF(A720=1,COUNTIF($A$6:A720,1),"")</f>
        <v/>
      </c>
      <c r="C720">
        <f>IFERROR(INDEX($D$6:$D$1750,MATCH(ROWS($B$6:B720),$B$6:$B$1750,0)),"")</f>
        <v/>
      </c>
      <c r="D720">
        <f>J720&amp;" ("&amp;E720&amp;")"</f>
        <v/>
      </c>
      <c r="E720" t="n">
        <v>20716</v>
      </c>
      <c r="F720" t="inlineStr">
        <is>
          <t>Skilled Nursing and Interm. Care Facility</t>
        </is>
      </c>
      <c r="G720" t="inlineStr">
        <is>
          <t>1311 E Date Street</t>
        </is>
      </c>
      <c r="H720" t="inlineStr">
        <is>
          <t>San Bernardino</t>
        </is>
      </c>
      <c r="I720" t="inlineStr">
        <is>
          <t>San Bernardino</t>
        </is>
      </c>
      <c r="J720" t="inlineStr">
        <is>
          <t>Haven Post Acute</t>
        </is>
      </c>
    </row>
    <row r="721">
      <c r="A721">
        <f>--ISNUMBER(IFERROR(SEARCH($C$5,Inputs!$D721,1),""))</f>
        <v/>
      </c>
      <c r="B721">
        <f>IF(A721=1,COUNTIF($A$6:A721,1),"")</f>
        <v/>
      </c>
      <c r="C721">
        <f>IFERROR(INDEX($D$6:$D$1750,MATCH(ROWS($B$6:B721),$B$6:$B$1750,0)),"")</f>
        <v/>
      </c>
      <c r="D721">
        <f>J721&amp;" ("&amp;E721&amp;")"</f>
        <v/>
      </c>
      <c r="E721" t="n">
        <v>20721</v>
      </c>
      <c r="F721" t="inlineStr">
        <is>
          <t>Skilled Nursing and Interm. Care Facility</t>
        </is>
      </c>
      <c r="G721" t="inlineStr">
        <is>
          <t>1680 N Waterman Ave</t>
        </is>
      </c>
      <c r="H721" t="inlineStr">
        <is>
          <t>San Bernardino</t>
        </is>
      </c>
      <c r="I721" t="inlineStr">
        <is>
          <t>San Bernardino</t>
        </is>
      </c>
      <c r="J721" t="inlineStr">
        <is>
          <t>Valley Healthcare Center</t>
        </is>
      </c>
    </row>
    <row r="722">
      <c r="A722">
        <f>--ISNUMBER(IFERROR(SEARCH($C$5,Inputs!$D722,1),""))</f>
        <v/>
      </c>
      <c r="B722">
        <f>IF(A722=1,COUNTIF($A$6:A722,1),"")</f>
        <v/>
      </c>
      <c r="C722">
        <f>IFERROR(INDEX($D$6:$D$1750,MATCH(ROWS($B$6:B722),$B$6:$B$1750,0)),"")</f>
        <v/>
      </c>
      <c r="D722">
        <f>J722&amp;" ("&amp;E722&amp;")"</f>
        <v/>
      </c>
      <c r="E722" t="n">
        <v>20727</v>
      </c>
      <c r="F722" t="inlineStr">
        <is>
          <t>Skilled Nursing and Interm. Care Facility</t>
        </is>
      </c>
      <c r="G722" t="inlineStr">
        <is>
          <t>930 West Main Street</t>
        </is>
      </c>
      <c r="H722" t="inlineStr">
        <is>
          <t>Ripon</t>
        </is>
      </c>
      <c r="I722" t="inlineStr">
        <is>
          <t>San Joaquin</t>
        </is>
      </c>
      <c r="J722" t="inlineStr">
        <is>
          <t>Bethany Home Society Of San Joaquin County</t>
        </is>
      </c>
    </row>
    <row r="723">
      <c r="A723">
        <f>--ISNUMBER(IFERROR(SEARCH($C$5,Inputs!$D723,1),""))</f>
        <v/>
      </c>
      <c r="B723">
        <f>IF(A723=1,COUNTIF($A$6:A723,1),"")</f>
        <v/>
      </c>
      <c r="C723">
        <f>IFERROR(INDEX($D$6:$D$1750,MATCH(ROWS($B$6:B723),$B$6:$B$1750,0)),"")</f>
        <v/>
      </c>
      <c r="D723">
        <f>J723&amp;" ("&amp;E723&amp;")"</f>
        <v/>
      </c>
      <c r="E723" t="n">
        <v>20728</v>
      </c>
      <c r="F723" t="inlineStr">
        <is>
          <t>Skilled Nursing and Interm. Care Facility</t>
        </is>
      </c>
      <c r="G723" t="inlineStr">
        <is>
          <t>1221 Rosemarie Lane</t>
        </is>
      </c>
      <c r="H723" t="inlineStr">
        <is>
          <t>Stockton</t>
        </is>
      </c>
      <c r="I723" t="inlineStr">
        <is>
          <t>San Joaquin</t>
        </is>
      </c>
      <c r="J723" t="inlineStr">
        <is>
          <t>Dycora Transitional Health - Quail Lake</t>
        </is>
      </c>
    </row>
    <row r="724">
      <c r="A724">
        <f>--ISNUMBER(IFERROR(SEARCH($C$5,Inputs!$D724,1),""))</f>
        <v/>
      </c>
      <c r="B724">
        <f>IF(A724=1,COUNTIF($A$6:A724,1),"")</f>
        <v/>
      </c>
      <c r="C724">
        <f>IFERROR(INDEX($D$6:$D$1750,MATCH(ROWS($B$6:B724),$B$6:$B$1750,0)),"")</f>
        <v/>
      </c>
      <c r="D724">
        <f>J724&amp;" ("&amp;E724&amp;")"</f>
        <v/>
      </c>
      <c r="E724" t="n">
        <v>20730</v>
      </c>
      <c r="F724" t="inlineStr">
        <is>
          <t>Skilled Nursing and Interm. Care Facility</t>
        </is>
      </c>
      <c r="G724" t="inlineStr">
        <is>
          <t>6940 Pacific Avenue</t>
        </is>
      </c>
      <c r="H724" t="inlineStr">
        <is>
          <t>Stockton</t>
        </is>
      </c>
      <c r="I724" t="inlineStr">
        <is>
          <t>San Joaquin</t>
        </is>
      </c>
      <c r="J724" t="inlineStr">
        <is>
          <t>Windsor Elmhaven Care Center</t>
        </is>
      </c>
    </row>
    <row r="725">
      <c r="A725">
        <f>--ISNUMBER(IFERROR(SEARCH($C$5,Inputs!$D725,1),""))</f>
        <v/>
      </c>
      <c r="B725">
        <f>IF(A725=1,COUNTIF($A$6:A725,1),"")</f>
        <v/>
      </c>
      <c r="C725">
        <f>IFERROR(INDEX($D$6:$D$1750,MATCH(ROWS($B$6:B725),$B$6:$B$1750,0)),"")</f>
        <v/>
      </c>
      <c r="D725">
        <f>J725&amp;" ("&amp;E725&amp;")"</f>
        <v/>
      </c>
      <c r="E725" t="n">
        <v>20731</v>
      </c>
      <c r="F725" t="inlineStr">
        <is>
          <t>Skilled Nursing and Interm. Care Facility</t>
        </is>
      </c>
      <c r="G725" t="inlineStr">
        <is>
          <t>950 South Fairmont Avenue</t>
        </is>
      </c>
      <c r="H725" t="inlineStr">
        <is>
          <t>Lodi</t>
        </is>
      </c>
      <c r="I725" t="inlineStr">
        <is>
          <t>San Joaquin</t>
        </is>
      </c>
      <c r="J725" t="inlineStr">
        <is>
          <t>Fairmont Rehabilitation Hospital</t>
        </is>
      </c>
    </row>
    <row r="726">
      <c r="A726">
        <f>--ISNUMBER(IFERROR(SEARCH($C$5,Inputs!$D726,1),""))</f>
        <v/>
      </c>
      <c r="B726">
        <f>IF(A726=1,COUNTIF($A$6:A726,1),"")</f>
        <v/>
      </c>
      <c r="C726">
        <f>IFERROR(INDEX($D$6:$D$1750,MATCH(ROWS($B$6:B726),$B$6:$B$1750,0)),"")</f>
        <v/>
      </c>
      <c r="D726">
        <f>J726&amp;" ("&amp;E726&amp;")"</f>
        <v/>
      </c>
      <c r="E726" t="n">
        <v>20735</v>
      </c>
      <c r="F726" t="inlineStr">
        <is>
          <t>Skilled Nursing and Interm. Care Facility</t>
        </is>
      </c>
      <c r="G726" t="inlineStr">
        <is>
          <t>321 West Turner Road</t>
        </is>
      </c>
      <c r="H726" t="inlineStr">
        <is>
          <t>Lodi</t>
        </is>
      </c>
      <c r="I726" t="inlineStr">
        <is>
          <t>San Joaquin</t>
        </is>
      </c>
      <c r="J726" t="inlineStr">
        <is>
          <t>Lodi Creek Post Acute</t>
        </is>
      </c>
    </row>
    <row r="727">
      <c r="A727">
        <f>--ISNUMBER(IFERROR(SEARCH($C$5,Inputs!$D727,1),""))</f>
        <v/>
      </c>
      <c r="B727">
        <f>IF(A727=1,COUNTIF($A$6:A727,1),"")</f>
        <v/>
      </c>
      <c r="C727">
        <f>IFERROR(INDEX($D$6:$D$1750,MATCH(ROWS($B$6:B727),$B$6:$B$1750,0)),"")</f>
        <v/>
      </c>
      <c r="D727">
        <f>J727&amp;" ("&amp;E727&amp;")"</f>
        <v/>
      </c>
      <c r="E727" t="n">
        <v>20738</v>
      </c>
      <c r="F727" t="inlineStr">
        <is>
          <t>Skilled Nursing and Interm. Care Facility</t>
        </is>
      </c>
      <c r="G727" t="inlineStr">
        <is>
          <t>1630 North Edison Street</t>
        </is>
      </c>
      <c r="H727" t="inlineStr">
        <is>
          <t>Stockton</t>
        </is>
      </c>
      <c r="I727" t="inlineStr">
        <is>
          <t>San Joaquin</t>
        </is>
      </c>
      <c r="J727" t="inlineStr">
        <is>
          <t>Good Samaritan Rehabilitation And Care Center</t>
        </is>
      </c>
    </row>
    <row r="728">
      <c r="A728">
        <f>--ISNUMBER(IFERROR(SEARCH($C$5,Inputs!$D728,1),""))</f>
        <v/>
      </c>
      <c r="B728">
        <f>IF(A728=1,COUNTIF($A$6:A728,1),"")</f>
        <v/>
      </c>
      <c r="C728">
        <f>IFERROR(INDEX($D$6:$D$1750,MATCH(ROWS($B$6:B728),$B$6:$B$1750,0)),"")</f>
        <v/>
      </c>
      <c r="D728">
        <f>J728&amp;" ("&amp;E728&amp;")"</f>
        <v/>
      </c>
      <c r="E728" t="n">
        <v>20739</v>
      </c>
      <c r="F728" t="inlineStr">
        <is>
          <t>Skilled Nursing and Interm. Care Facility</t>
        </is>
      </c>
      <c r="G728" t="inlineStr">
        <is>
          <t>4545 Shelley Ct</t>
        </is>
      </c>
      <c r="H728" t="inlineStr">
        <is>
          <t>Stockton</t>
        </is>
      </c>
      <c r="I728" t="inlineStr">
        <is>
          <t>San Joaquin</t>
        </is>
      </c>
      <c r="J728" t="inlineStr">
        <is>
          <t>Stockton Nursing Center</t>
        </is>
      </c>
    </row>
    <row r="729">
      <c r="A729">
        <f>--ISNUMBER(IFERROR(SEARCH($C$5,Inputs!$D729,1),""))</f>
        <v/>
      </c>
      <c r="B729">
        <f>IF(A729=1,COUNTIF($A$6:A729,1),"")</f>
        <v/>
      </c>
      <c r="C729">
        <f>IFERROR(INDEX($D$6:$D$1750,MATCH(ROWS($B$6:B729),$B$6:$B$1750,0)),"")</f>
        <v/>
      </c>
      <c r="D729">
        <f>J729&amp;" ("&amp;E729&amp;")"</f>
        <v/>
      </c>
      <c r="E729" t="n">
        <v>20740</v>
      </c>
      <c r="F729" t="inlineStr">
        <is>
          <t>Skilled Nursing and Interm. Care Facility</t>
        </is>
      </c>
      <c r="G729" t="inlineStr">
        <is>
          <t>537 E Fulton St</t>
        </is>
      </c>
      <c r="H729" t="inlineStr">
        <is>
          <t>Stockton</t>
        </is>
      </c>
      <c r="I729" t="inlineStr">
        <is>
          <t>San Joaquin</t>
        </is>
      </c>
      <c r="J729" t="inlineStr">
        <is>
          <t>Fulton Gardens Post Acute, LLC</t>
        </is>
      </c>
    </row>
    <row r="730">
      <c r="A730">
        <f>--ISNUMBER(IFERROR(SEARCH($C$5,Inputs!$D730,1),""))</f>
        <v/>
      </c>
      <c r="B730">
        <f>IF(A730=1,COUNTIF($A$6:A730,1),"")</f>
        <v/>
      </c>
      <c r="C730">
        <f>IFERROR(INDEX($D$6:$D$1750,MATCH(ROWS($B$6:B730),$B$6:$B$1750,0)),"")</f>
        <v/>
      </c>
      <c r="D730">
        <f>J730&amp;" ("&amp;E730&amp;")"</f>
        <v/>
      </c>
      <c r="E730" t="n">
        <v>20744</v>
      </c>
      <c r="F730" t="inlineStr">
        <is>
          <t>Skilled Nursing and Interm. Care Facility</t>
        </is>
      </c>
      <c r="G730" t="inlineStr">
        <is>
          <t>1032 N Lincoln St</t>
        </is>
      </c>
      <c r="H730" t="inlineStr">
        <is>
          <t>Stockton</t>
        </is>
      </c>
      <c r="I730" t="inlineStr">
        <is>
          <t>San Joaquin</t>
        </is>
      </c>
      <c r="J730" t="inlineStr">
        <is>
          <t>Lincoln Square Post Acute Care</t>
        </is>
      </c>
    </row>
    <row r="731">
      <c r="A731">
        <f>--ISNUMBER(IFERROR(SEARCH($C$5,Inputs!$D731,1),""))</f>
        <v/>
      </c>
      <c r="B731">
        <f>IF(A731=1,COUNTIF($A$6:A731,1),"")</f>
        <v/>
      </c>
      <c r="C731">
        <f>IFERROR(INDEX($D$6:$D$1750,MATCH(ROWS($B$6:B731),$B$6:$B$1750,0)),"")</f>
        <v/>
      </c>
      <c r="D731">
        <f>J731&amp;" ("&amp;E731&amp;")"</f>
        <v/>
      </c>
      <c r="E731" t="n">
        <v>20748</v>
      </c>
      <c r="F731" t="inlineStr">
        <is>
          <t>Skilled Nursing and Interm. Care Facility</t>
        </is>
      </c>
      <c r="G731" t="inlineStr">
        <is>
          <t>469 East North Street</t>
        </is>
      </c>
      <c r="H731" t="inlineStr">
        <is>
          <t>Manteca</t>
        </is>
      </c>
      <c r="I731" t="inlineStr">
        <is>
          <t>San Joaquin</t>
        </is>
      </c>
      <c r="J731" t="inlineStr">
        <is>
          <t>St. Jude Care Center</t>
        </is>
      </c>
    </row>
    <row r="732">
      <c r="A732">
        <f>--ISNUMBER(IFERROR(SEARCH($C$5,Inputs!$D732,1),""))</f>
        <v/>
      </c>
      <c r="B732">
        <f>IF(A732=1,COUNTIF($A$6:A732,1),"")</f>
        <v/>
      </c>
      <c r="C732">
        <f>IFERROR(INDEX($D$6:$D$1750,MATCH(ROWS($B$6:B732),$B$6:$B$1750,0)),"")</f>
        <v/>
      </c>
      <c r="D732">
        <f>J732&amp;" ("&amp;E732&amp;")"</f>
        <v/>
      </c>
      <c r="E732" t="n">
        <v>20755</v>
      </c>
      <c r="F732" t="inlineStr">
        <is>
          <t>Skilled Nursing and Interm. Care Facility</t>
        </is>
      </c>
      <c r="G732" t="inlineStr">
        <is>
          <t>2740 N California St</t>
        </is>
      </c>
      <c r="H732" t="inlineStr">
        <is>
          <t>Stockton</t>
        </is>
      </c>
      <c r="I732" t="inlineStr">
        <is>
          <t>San Joaquin</t>
        </is>
      </c>
      <c r="J732" t="inlineStr">
        <is>
          <t>Dycora Transitional Health - Weber Oaks</t>
        </is>
      </c>
    </row>
    <row r="733">
      <c r="A733">
        <f>--ISNUMBER(IFERROR(SEARCH($C$5,Inputs!$D733,1),""))</f>
        <v/>
      </c>
      <c r="B733">
        <f>IF(A733=1,COUNTIF($A$6:A733,1),"")</f>
        <v/>
      </c>
      <c r="C733">
        <f>IFERROR(INDEX($D$6:$D$1750,MATCH(ROWS($B$6:B733),$B$6:$B$1750,0)),"")</f>
        <v/>
      </c>
      <c r="D733">
        <f>J733&amp;" ("&amp;E733&amp;")"</f>
        <v/>
      </c>
      <c r="E733" t="n">
        <v>20758</v>
      </c>
      <c r="F733" t="inlineStr">
        <is>
          <t>Skilled Nursing and Interm. Care Facility</t>
        </is>
      </c>
      <c r="G733" t="inlineStr">
        <is>
          <t>545 W Beverly Pl</t>
        </is>
      </c>
      <c r="H733" t="inlineStr">
        <is>
          <t>Tracy</t>
        </is>
      </c>
      <c r="I733" t="inlineStr">
        <is>
          <t>San Joaquin</t>
        </is>
      </c>
      <c r="J733" t="inlineStr">
        <is>
          <t>Tracy Nursing And Rehabilitation Center</t>
        </is>
      </c>
    </row>
    <row r="734">
      <c r="A734">
        <f>--ISNUMBER(IFERROR(SEARCH($C$5,Inputs!$D734,1),""))</f>
        <v/>
      </c>
      <c r="B734">
        <f>IF(A734=1,COUNTIF($A$6:A734,1),"")</f>
        <v/>
      </c>
      <c r="C734">
        <f>IFERROR(INDEX($D$6:$D$1750,MATCH(ROWS($B$6:B734),$B$6:$B$1750,0)),"")</f>
        <v/>
      </c>
      <c r="D734">
        <f>J734&amp;" ("&amp;E734&amp;")"</f>
        <v/>
      </c>
      <c r="E734" t="n">
        <v>20760</v>
      </c>
      <c r="F734" t="inlineStr">
        <is>
          <t>Skilled Nursing and Interm. Care Facility</t>
        </is>
      </c>
      <c r="G734" t="inlineStr">
        <is>
          <t>800 South Ham Lane</t>
        </is>
      </c>
      <c r="H734" t="inlineStr">
        <is>
          <t>Lodi</t>
        </is>
      </c>
      <c r="I734" t="inlineStr">
        <is>
          <t>San Joaquin</t>
        </is>
      </c>
      <c r="J734" t="inlineStr">
        <is>
          <t>Vienna Nursing And Rehabilitation Center</t>
        </is>
      </c>
    </row>
    <row r="735">
      <c r="A735">
        <f>--ISNUMBER(IFERROR(SEARCH($C$5,Inputs!$D735,1),""))</f>
        <v/>
      </c>
      <c r="B735">
        <f>IF(A735=1,COUNTIF($A$6:A735,1),"")</f>
        <v/>
      </c>
      <c r="C735">
        <f>IFERROR(INDEX($D$6:$D$1750,MATCH(ROWS($B$6:B735),$B$6:$B$1750,0)),"")</f>
        <v/>
      </c>
      <c r="D735">
        <f>J735&amp;" ("&amp;E735&amp;")"</f>
        <v/>
      </c>
      <c r="E735" t="n">
        <v>20769</v>
      </c>
      <c r="F735" t="inlineStr">
        <is>
          <t>Skilled Nursing and Interm. Care Facility</t>
        </is>
      </c>
      <c r="G735" t="inlineStr">
        <is>
          <t>10805 El Camino Real</t>
        </is>
      </c>
      <c r="H735" t="inlineStr">
        <is>
          <t>Atascadero</t>
        </is>
      </c>
      <c r="I735" t="inlineStr">
        <is>
          <t>San Luis Obispo</t>
        </is>
      </c>
      <c r="J735" t="inlineStr">
        <is>
          <t>Danish Care Center</t>
        </is>
      </c>
    </row>
    <row r="736">
      <c r="A736">
        <f>--ISNUMBER(IFERROR(SEARCH($C$5,Inputs!$D736,1),""))</f>
        <v/>
      </c>
      <c r="B736">
        <f>IF(A736=1,COUNTIF($A$6:A736,1),"")</f>
        <v/>
      </c>
      <c r="C736">
        <f>IFERROR(INDEX($D$6:$D$1750,MATCH(ROWS($B$6:B736),$B$6:$B$1750,0)),"")</f>
        <v/>
      </c>
      <c r="D736">
        <f>J736&amp;" ("&amp;E736&amp;")"</f>
        <v/>
      </c>
      <c r="E736" t="n">
        <v>20771</v>
      </c>
      <c r="F736" t="inlineStr">
        <is>
          <t>Skilled Nursing and Interm. Care Facility</t>
        </is>
      </c>
      <c r="G736" t="inlineStr">
        <is>
          <t>1425 Woodside Dr</t>
        </is>
      </c>
      <c r="H736" t="inlineStr">
        <is>
          <t>San Luis Obispo</t>
        </is>
      </c>
      <c r="I736" t="inlineStr">
        <is>
          <t>San Luis Obispo</t>
        </is>
      </c>
      <c r="J736" t="inlineStr">
        <is>
          <t>Mission View Health Center</t>
        </is>
      </c>
    </row>
    <row r="737">
      <c r="A737">
        <f>--ISNUMBER(IFERROR(SEARCH($C$5,Inputs!$D737,1),""))</f>
        <v/>
      </c>
      <c r="B737">
        <f>IF(A737=1,COUNTIF($A$6:A737,1),"")</f>
        <v/>
      </c>
      <c r="C737">
        <f>IFERROR(INDEX($D$6:$D$1750,MATCH(ROWS($B$6:B737),$B$6:$B$1750,0)),"")</f>
        <v/>
      </c>
      <c r="D737">
        <f>J737&amp;" ("&amp;E737&amp;")"</f>
        <v/>
      </c>
      <c r="E737" t="n">
        <v>20780</v>
      </c>
      <c r="F737" t="inlineStr">
        <is>
          <t>Skilled Nursing and Interm. Care Facility</t>
        </is>
      </c>
      <c r="G737" t="inlineStr">
        <is>
          <t>2620 Flores St</t>
        </is>
      </c>
      <c r="H737" t="inlineStr">
        <is>
          <t>San Mateo</t>
        </is>
      </c>
      <c r="I737" t="inlineStr">
        <is>
          <t>San Mateo</t>
        </is>
      </c>
      <c r="J737" t="inlineStr">
        <is>
          <t>Brookside Skilled Nursing Hospital</t>
        </is>
      </c>
    </row>
    <row r="738">
      <c r="A738">
        <f>--ISNUMBER(IFERROR(SEARCH($C$5,Inputs!$D738,1),""))</f>
        <v/>
      </c>
      <c r="B738">
        <f>IF(A738=1,COUNTIF($A$6:A738,1),"")</f>
        <v/>
      </c>
      <c r="C738">
        <f>IFERROR(INDEX($D$6:$D$1750,MATCH(ROWS($B$6:B738),$B$6:$B$1750,0)),"")</f>
        <v/>
      </c>
      <c r="D738">
        <f>J738&amp;" ("&amp;E738&amp;")"</f>
        <v/>
      </c>
      <c r="E738" t="n">
        <v>20782</v>
      </c>
      <c r="F738" t="inlineStr">
        <is>
          <t>Skilled Nursing and Interm. Care Facility</t>
        </is>
      </c>
      <c r="G738" t="inlineStr">
        <is>
          <t>1041 Hill St</t>
        </is>
      </c>
      <c r="H738" t="inlineStr">
        <is>
          <t>Belmont</t>
        </is>
      </c>
      <c r="I738" t="inlineStr">
        <is>
          <t>San Mateo</t>
        </is>
      </c>
      <c r="J738" t="inlineStr">
        <is>
          <t>Vista Terrace Of Belmont</t>
        </is>
      </c>
    </row>
    <row r="739">
      <c r="A739">
        <f>--ISNUMBER(IFERROR(SEARCH($C$5,Inputs!$D739,1),""))</f>
        <v/>
      </c>
      <c r="B739">
        <f>IF(A739=1,COUNTIF($A$6:A739,1),"")</f>
        <v/>
      </c>
      <c r="C739">
        <f>IFERROR(INDEX($D$6:$D$1750,MATCH(ROWS($B$6:B739),$B$6:$B$1750,0)),"")</f>
        <v/>
      </c>
      <c r="D739">
        <f>J739&amp;" ("&amp;E739&amp;")"</f>
        <v/>
      </c>
      <c r="E739" t="n">
        <v>20784</v>
      </c>
      <c r="F739" t="inlineStr">
        <is>
          <t>Skilled Nursing and Interm. Care Facility</t>
        </is>
      </c>
      <c r="G739" t="inlineStr">
        <is>
          <t>2140 Carlmont Dr</t>
        </is>
      </c>
      <c r="H739" t="inlineStr">
        <is>
          <t>Belmont</t>
        </is>
      </c>
      <c r="I739" t="inlineStr">
        <is>
          <t>San Mateo</t>
        </is>
      </c>
      <c r="J739" t="inlineStr">
        <is>
          <t>Carlmont Gardens Nursing Center</t>
        </is>
      </c>
    </row>
    <row r="740">
      <c r="A740">
        <f>--ISNUMBER(IFERROR(SEARCH($C$5,Inputs!$D740,1),""))</f>
        <v/>
      </c>
      <c r="B740">
        <f>IF(A740=1,COUNTIF($A$6:A740,1),"")</f>
        <v/>
      </c>
      <c r="C740">
        <f>IFERROR(INDEX($D$6:$D$1750,MATCH(ROWS($B$6:B740),$B$6:$B$1750,0)),"")</f>
        <v/>
      </c>
      <c r="D740">
        <f>J740&amp;" ("&amp;E740&amp;")"</f>
        <v/>
      </c>
      <c r="E740" t="n">
        <v>20791</v>
      </c>
      <c r="F740" t="inlineStr">
        <is>
          <t>Skilled Nursing and Interm. Care Facility</t>
        </is>
      </c>
      <c r="G740" t="inlineStr">
        <is>
          <t>3635 Jefferson Avenue</t>
        </is>
      </c>
      <c r="H740" t="inlineStr">
        <is>
          <t>Redwood City</t>
        </is>
      </c>
      <c r="I740" t="inlineStr">
        <is>
          <t>San Mateo</t>
        </is>
      </c>
      <c r="J740" t="inlineStr">
        <is>
          <t>Devonshire Oaks Nursing Center</t>
        </is>
      </c>
    </row>
    <row r="741">
      <c r="A741">
        <f>--ISNUMBER(IFERROR(SEARCH($C$5,Inputs!$D741,1),""))</f>
        <v/>
      </c>
      <c r="B741">
        <f>IF(A741=1,COUNTIF($A$6:A741,1),"")</f>
        <v/>
      </c>
      <c r="C741">
        <f>IFERROR(INDEX($D$6:$D$1750,MATCH(ROWS($B$6:B741),$B$6:$B$1750,0)),"")</f>
        <v/>
      </c>
      <c r="D741">
        <f>J741&amp;" ("&amp;E741&amp;")"</f>
        <v/>
      </c>
      <c r="E741" t="n">
        <v>20794</v>
      </c>
      <c r="F741" t="inlineStr">
        <is>
          <t>Skilled Nursing and Interm. Care Facility</t>
        </is>
      </c>
      <c r="G741" t="inlineStr">
        <is>
          <t>1609 Trousdale Dr</t>
        </is>
      </c>
      <c r="H741" t="inlineStr">
        <is>
          <t>Burlingame</t>
        </is>
      </c>
      <c r="I741" t="inlineStr">
        <is>
          <t>San Mateo</t>
        </is>
      </c>
      <c r="J741" t="inlineStr">
        <is>
          <t>Peninsula Post-Acute</t>
        </is>
      </c>
    </row>
    <row r="742">
      <c r="A742">
        <f>--ISNUMBER(IFERROR(SEARCH($C$5,Inputs!$D742,1),""))</f>
        <v/>
      </c>
      <c r="B742">
        <f>IF(A742=1,COUNTIF($A$6:A742,1),"")</f>
        <v/>
      </c>
      <c r="C742">
        <f>IFERROR(INDEX($D$6:$D$1750,MATCH(ROWS($B$6:B742),$B$6:$B$1750,0)),"")</f>
        <v/>
      </c>
      <c r="D742">
        <f>J742&amp;" ("&amp;E742&amp;")"</f>
        <v/>
      </c>
      <c r="E742" t="n">
        <v>20800</v>
      </c>
      <c r="F742" t="inlineStr">
        <is>
          <t>Skilled Nursing and Interm. Care Facility</t>
        </is>
      </c>
      <c r="G742" t="inlineStr">
        <is>
          <t>751 San Pedro Terrace Rd</t>
        </is>
      </c>
      <c r="H742" t="inlineStr">
        <is>
          <t>Pacifica</t>
        </is>
      </c>
      <c r="I742" t="inlineStr">
        <is>
          <t>San Mateo</t>
        </is>
      </c>
      <c r="J742" t="inlineStr">
        <is>
          <t>Linda Mar Care Center</t>
        </is>
      </c>
    </row>
    <row r="743">
      <c r="A743">
        <f>--ISNUMBER(IFERROR(SEARCH($C$5,Inputs!$D743,1),""))</f>
        <v/>
      </c>
      <c r="B743">
        <f>IF(A743=1,COUNTIF($A$6:A743,1),"")</f>
        <v/>
      </c>
      <c r="C743">
        <f>IFERROR(INDEX($D$6:$D$1750,MATCH(ROWS($B$6:B743),$B$6:$B$1750,0)),"")</f>
        <v/>
      </c>
      <c r="D743">
        <f>J743&amp;" ("&amp;E743&amp;")"</f>
        <v/>
      </c>
      <c r="E743" t="n">
        <v>20806</v>
      </c>
      <c r="F743" t="inlineStr">
        <is>
          <t>Skilled Nursing and Interm. Care Facility</t>
        </is>
      </c>
      <c r="G743" t="inlineStr">
        <is>
          <t>35 Escuela Dr</t>
        </is>
      </c>
      <c r="H743" t="inlineStr">
        <is>
          <t>Daly City</t>
        </is>
      </c>
      <c r="I743" t="inlineStr">
        <is>
          <t>San Mateo</t>
        </is>
      </c>
      <c r="J743" t="inlineStr">
        <is>
          <t>St. Francis Heights Convalescent Hospital</t>
        </is>
      </c>
    </row>
    <row r="744">
      <c r="A744">
        <f>--ISNUMBER(IFERROR(SEARCH($C$5,Inputs!$D744,1),""))</f>
        <v/>
      </c>
      <c r="B744">
        <f>IF(A744=1,COUNTIF($A$6:A744,1),"")</f>
        <v/>
      </c>
      <c r="C744">
        <f>IFERROR(INDEX($D$6:$D$1750,MATCH(ROWS($B$6:B744),$B$6:$B$1750,0)),"")</f>
        <v/>
      </c>
      <c r="D744">
        <f>J744&amp;" ("&amp;E744&amp;")"</f>
        <v/>
      </c>
      <c r="E744" t="n">
        <v>20807</v>
      </c>
      <c r="F744" t="inlineStr">
        <is>
          <t>Skilled Nursing and Interm. Care Facility</t>
        </is>
      </c>
      <c r="G744" t="inlineStr">
        <is>
          <t>890 El Camino Real</t>
        </is>
      </c>
      <c r="H744" t="inlineStr">
        <is>
          <t>San Bruno</t>
        </is>
      </c>
      <c r="I744" t="inlineStr">
        <is>
          <t>San Mateo</t>
        </is>
      </c>
      <c r="J744" t="inlineStr">
        <is>
          <t>San Bruno Skilled Nursing</t>
        </is>
      </c>
    </row>
    <row r="745">
      <c r="A745">
        <f>--ISNUMBER(IFERROR(SEARCH($C$5,Inputs!$D745,1),""))</f>
        <v/>
      </c>
      <c r="B745">
        <f>IF(A745=1,COUNTIF($A$6:A745,1),"")</f>
        <v/>
      </c>
      <c r="C745">
        <f>IFERROR(INDEX($D$6:$D$1750,MATCH(ROWS($B$6:B745),$B$6:$B$1750,0)),"")</f>
        <v/>
      </c>
      <c r="D745">
        <f>J745&amp;" ("&amp;E745&amp;")"</f>
        <v/>
      </c>
      <c r="E745" t="n">
        <v>20812</v>
      </c>
      <c r="F745" t="inlineStr">
        <is>
          <t>Skilled Nursing and Interm. Care Facility</t>
        </is>
      </c>
      <c r="G745" t="inlineStr">
        <is>
          <t>501 Portola Road</t>
        </is>
      </c>
      <c r="H745" t="inlineStr">
        <is>
          <t>Portola Valley</t>
        </is>
      </c>
      <c r="I745" t="inlineStr">
        <is>
          <t>San Mateo</t>
        </is>
      </c>
      <c r="J745" t="inlineStr">
        <is>
          <t>The Sequoias</t>
        </is>
      </c>
    </row>
    <row r="746">
      <c r="A746">
        <f>--ISNUMBER(IFERROR(SEARCH($C$5,Inputs!$D746,1),""))</f>
        <v/>
      </c>
      <c r="B746">
        <f>IF(A746=1,COUNTIF($A$6:A746,1),"")</f>
        <v/>
      </c>
      <c r="C746">
        <f>IFERROR(INDEX($D$6:$D$1750,MATCH(ROWS($B$6:B746),$B$6:$B$1750,0)),"")</f>
        <v/>
      </c>
      <c r="D746">
        <f>J746&amp;" ("&amp;E746&amp;")"</f>
        <v/>
      </c>
      <c r="E746" t="n">
        <v>20822</v>
      </c>
      <c r="F746" t="inlineStr">
        <is>
          <t>Skilled Nursing and Interm. Care Facility</t>
        </is>
      </c>
      <c r="G746" t="inlineStr">
        <is>
          <t>33 Mateo Avenue</t>
        </is>
      </c>
      <c r="H746" t="inlineStr">
        <is>
          <t>Millbrae</t>
        </is>
      </c>
      <c r="I746" t="inlineStr">
        <is>
          <t>San Mateo</t>
        </is>
      </c>
      <c r="J746" t="inlineStr">
        <is>
          <t>Millbrae Care Center</t>
        </is>
      </c>
    </row>
    <row r="747">
      <c r="A747">
        <f>--ISNUMBER(IFERROR(SEARCH($C$5,Inputs!$D747,1),""))</f>
        <v/>
      </c>
      <c r="B747">
        <f>IF(A747=1,COUNTIF($A$6:A747,1),"")</f>
        <v/>
      </c>
      <c r="C747">
        <f>IFERROR(INDEX($D$6:$D$1750,MATCH(ROWS($B$6:B747),$B$6:$B$1750,0)),"")</f>
        <v/>
      </c>
      <c r="D747">
        <f>J747&amp;" ("&amp;E747&amp;")"</f>
        <v/>
      </c>
      <c r="E747" t="n">
        <v>20825</v>
      </c>
      <c r="F747" t="inlineStr">
        <is>
          <t>Skilled Nursing and Interm. Care Facility</t>
        </is>
      </c>
      <c r="G747" t="inlineStr">
        <is>
          <t>2225 De La Vina Street</t>
        </is>
      </c>
      <c r="H747" t="inlineStr">
        <is>
          <t>Santa Barbara</t>
        </is>
      </c>
      <c r="I747" t="inlineStr">
        <is>
          <t>Santa Barbara</t>
        </is>
      </c>
      <c r="J747" t="inlineStr">
        <is>
          <t>The Californian</t>
        </is>
      </c>
    </row>
    <row r="748">
      <c r="A748">
        <f>--ISNUMBER(IFERROR(SEARCH($C$5,Inputs!$D748,1),""))</f>
        <v/>
      </c>
      <c r="B748">
        <f>IF(A748=1,COUNTIF($A$6:A748,1),"")</f>
        <v/>
      </c>
      <c r="C748">
        <f>IFERROR(INDEX($D$6:$D$1750,MATCH(ROWS($B$6:B748),$B$6:$B$1750,0)),"")</f>
        <v/>
      </c>
      <c r="D748">
        <f>J748&amp;" ("&amp;E748&amp;")"</f>
        <v/>
      </c>
      <c r="E748" t="n">
        <v>20828</v>
      </c>
      <c r="F748" t="inlineStr">
        <is>
          <t>Skilled Nursing and Interm. Care Facility</t>
        </is>
      </c>
      <c r="G748" t="inlineStr">
        <is>
          <t>830 East Chapel St</t>
        </is>
      </c>
      <c r="H748" t="inlineStr">
        <is>
          <t>Santa Maria</t>
        </is>
      </c>
      <c r="I748" t="inlineStr">
        <is>
          <t>Santa Barbara</t>
        </is>
      </c>
      <c r="J748" t="inlineStr">
        <is>
          <t>Country Oaks Care Center</t>
        </is>
      </c>
    </row>
    <row r="749">
      <c r="A749">
        <f>--ISNUMBER(IFERROR(SEARCH($C$5,Inputs!$D749,1),""))</f>
        <v/>
      </c>
      <c r="B749">
        <f>IF(A749=1,COUNTIF($A$6:A749,1),"")</f>
        <v/>
      </c>
      <c r="C749">
        <f>IFERROR(INDEX($D$6:$D$1750,MATCH(ROWS($B$6:B749),$B$6:$B$1750,0)),"")</f>
        <v/>
      </c>
      <c r="D749">
        <f>J749&amp;" ("&amp;E749&amp;")"</f>
        <v/>
      </c>
      <c r="E749" t="n">
        <v>20830</v>
      </c>
      <c r="F749" t="inlineStr">
        <is>
          <t>Skilled Nursing and Interm. Care Facility</t>
        </is>
      </c>
      <c r="G749" t="inlineStr">
        <is>
          <t>160 South Patterson Avenue</t>
        </is>
      </c>
      <c r="H749" t="inlineStr">
        <is>
          <t>Santa Barbara</t>
        </is>
      </c>
      <c r="I749" t="inlineStr">
        <is>
          <t>Santa Barbara</t>
        </is>
      </c>
      <c r="J749" t="inlineStr">
        <is>
          <t>Buena Vista Care Center</t>
        </is>
      </c>
    </row>
    <row r="750">
      <c r="A750">
        <f>--ISNUMBER(IFERROR(SEARCH($C$5,Inputs!$D750,1),""))</f>
        <v/>
      </c>
      <c r="B750">
        <f>IF(A750=1,COUNTIF($A$6:A750,1),"")</f>
        <v/>
      </c>
      <c r="C750">
        <f>IFERROR(INDEX($D$6:$D$1750,MATCH(ROWS($B$6:B750),$B$6:$B$1750,0)),"")</f>
        <v/>
      </c>
      <c r="D750">
        <f>J750&amp;" ("&amp;E750&amp;")"</f>
        <v/>
      </c>
      <c r="E750" t="n">
        <v>20832</v>
      </c>
      <c r="F750" t="inlineStr">
        <is>
          <t>Skilled Nursing and Interm. Care Facility</t>
        </is>
      </c>
      <c r="G750" t="inlineStr">
        <is>
          <t>900 Calle De Los Amigos</t>
        </is>
      </c>
      <c r="H750" t="inlineStr">
        <is>
          <t>Santa Barbara</t>
        </is>
      </c>
      <c r="I750" t="inlineStr">
        <is>
          <t>Santa Barbara</t>
        </is>
      </c>
      <c r="J750" t="inlineStr">
        <is>
          <t>Valle Verde Health Facility</t>
        </is>
      </c>
    </row>
    <row r="751">
      <c r="A751">
        <f>--ISNUMBER(IFERROR(SEARCH($C$5,Inputs!$D751,1),""))</f>
        <v/>
      </c>
      <c r="B751">
        <f>IF(A751=1,COUNTIF($A$6:A751,1),"")</f>
        <v/>
      </c>
      <c r="C751">
        <f>IFERROR(INDEX($D$6:$D$1750,MATCH(ROWS($B$6:B751),$B$6:$B$1750,0)),"")</f>
        <v/>
      </c>
      <c r="D751">
        <f>J751&amp;" ("&amp;E751&amp;")"</f>
        <v/>
      </c>
      <c r="E751" t="n">
        <v>20833</v>
      </c>
      <c r="F751" t="inlineStr">
        <is>
          <t>Skilled Nursing and Interm. Care Facility</t>
        </is>
      </c>
      <c r="G751" t="inlineStr">
        <is>
          <t>1235 Veronica Springs Road</t>
        </is>
      </c>
      <c r="H751" t="inlineStr">
        <is>
          <t>Santa Barbara</t>
        </is>
      </c>
      <c r="I751" t="inlineStr">
        <is>
          <t>Santa Barbara</t>
        </is>
      </c>
      <c r="J751" t="inlineStr">
        <is>
          <t>Hillside House  Inc.</t>
        </is>
      </c>
    </row>
    <row r="752">
      <c r="A752">
        <f>--ISNUMBER(IFERROR(SEARCH($C$5,Inputs!$D752,1),""))</f>
        <v/>
      </c>
      <c r="B752">
        <f>IF(A752=1,COUNTIF($A$6:A752,1),"")</f>
        <v/>
      </c>
      <c r="C752">
        <f>IFERROR(INDEX($D$6:$D$1750,MATCH(ROWS($B$6:B752),$B$6:$B$1750,0)),"")</f>
        <v/>
      </c>
      <c r="D752">
        <f>J752&amp;" ("&amp;E752&amp;")"</f>
        <v/>
      </c>
      <c r="E752" t="n">
        <v>20834</v>
      </c>
      <c r="F752" t="inlineStr">
        <is>
          <t>Skilled Nursing and Interm. Care Facility</t>
        </is>
      </c>
      <c r="G752" t="inlineStr">
        <is>
          <t>820 West Cook Street</t>
        </is>
      </c>
      <c r="H752" t="inlineStr">
        <is>
          <t>Santa Maria</t>
        </is>
      </c>
      <c r="I752" t="inlineStr">
        <is>
          <t>Santa Barbara</t>
        </is>
      </c>
      <c r="J752" t="inlineStr">
        <is>
          <t>Santa Maria Post Acute</t>
        </is>
      </c>
    </row>
    <row r="753">
      <c r="A753">
        <f>--ISNUMBER(IFERROR(SEARCH($C$5,Inputs!$D753,1),""))</f>
        <v/>
      </c>
      <c r="B753">
        <f>IF(A753=1,COUNTIF($A$6:A753,1),"")</f>
        <v/>
      </c>
      <c r="C753">
        <f>IFERROR(INDEX($D$6:$D$1750,MATCH(ROWS($B$6:B753),$B$6:$B$1750,0)),"")</f>
        <v/>
      </c>
      <c r="D753">
        <f>J753&amp;" ("&amp;E753&amp;")"</f>
        <v/>
      </c>
      <c r="E753" t="n">
        <v>20835</v>
      </c>
      <c r="F753" t="inlineStr">
        <is>
          <t>Skilled Nursing and Interm. Care Facility</t>
        </is>
      </c>
      <c r="G753" t="inlineStr">
        <is>
          <t>3880 Via Lucero</t>
        </is>
      </c>
      <c r="H753" t="inlineStr">
        <is>
          <t>Santa Barbara</t>
        </is>
      </c>
      <c r="I753" t="inlineStr">
        <is>
          <t>Santa Barbara</t>
        </is>
      </c>
      <c r="J753" t="inlineStr">
        <is>
          <t>Channel Islands Post Acute</t>
        </is>
      </c>
    </row>
    <row r="754">
      <c r="A754">
        <f>--ISNUMBER(IFERROR(SEARCH($C$5,Inputs!$D754,1),""))</f>
        <v/>
      </c>
      <c r="B754">
        <f>IF(A754=1,COUNTIF($A$6:A754,1),"")</f>
        <v/>
      </c>
      <c r="C754">
        <f>IFERROR(INDEX($D$6:$D$1750,MATCH(ROWS($B$6:B754),$B$6:$B$1750,0)),"")</f>
        <v/>
      </c>
      <c r="D754">
        <f>J754&amp;" ("&amp;E754&amp;")"</f>
        <v/>
      </c>
      <c r="E754" t="n">
        <v>20839</v>
      </c>
      <c r="F754" t="inlineStr">
        <is>
          <t>Skilled Nursing and Interm. Care Facility</t>
        </is>
      </c>
      <c r="G754" t="inlineStr">
        <is>
          <t>623 West Junipero Street</t>
        </is>
      </c>
      <c r="H754" t="inlineStr">
        <is>
          <t>Santa Barbara</t>
        </is>
      </c>
      <c r="I754" t="inlineStr">
        <is>
          <t>Santa Barbara</t>
        </is>
      </c>
      <c r="J754" t="inlineStr">
        <is>
          <t>Mission Terrace Convalescent Hospital</t>
        </is>
      </c>
    </row>
    <row r="755">
      <c r="A755">
        <f>--ISNUMBER(IFERROR(SEARCH($C$5,Inputs!$D755,1),""))</f>
        <v/>
      </c>
      <c r="B755">
        <f>IF(A755=1,COUNTIF($A$6:A755,1),"")</f>
        <v/>
      </c>
      <c r="C755">
        <f>IFERROR(INDEX($D$6:$D$1750,MATCH(ROWS($B$6:B755),$B$6:$B$1750,0)),"")</f>
        <v/>
      </c>
      <c r="D755">
        <f>J755&amp;" ("&amp;E755&amp;")"</f>
        <v/>
      </c>
      <c r="E755" t="n">
        <v>20841</v>
      </c>
      <c r="F755" t="inlineStr">
        <is>
          <t>Skilled Nursing and Interm. Care Facility</t>
        </is>
      </c>
      <c r="G755" t="inlineStr">
        <is>
          <t>2566 Treasure Drive</t>
        </is>
      </c>
      <c r="H755" t="inlineStr">
        <is>
          <t>Santa Barbara</t>
        </is>
      </c>
      <c r="I755" t="inlineStr">
        <is>
          <t>Santa Barbara</t>
        </is>
      </c>
      <c r="J755" t="inlineStr">
        <is>
          <t>Samarkand Skilled Nursing Facility</t>
        </is>
      </c>
    </row>
    <row r="756">
      <c r="A756">
        <f>--ISNUMBER(IFERROR(SEARCH($C$5,Inputs!$D756,1),""))</f>
        <v/>
      </c>
      <c r="B756">
        <f>IF(A756=1,COUNTIF($A$6:A756,1),"")</f>
        <v/>
      </c>
      <c r="C756">
        <f>IFERROR(INDEX($D$6:$D$1750,MATCH(ROWS($B$6:B756),$B$6:$B$1750,0)),"")</f>
        <v/>
      </c>
      <c r="D756">
        <f>J756&amp;" ("&amp;E756&amp;")"</f>
        <v/>
      </c>
      <c r="E756" t="n">
        <v>20850</v>
      </c>
      <c r="F756" t="inlineStr">
        <is>
          <t>Skilled Nursing and Interm. Care Facility</t>
        </is>
      </c>
      <c r="G756" t="inlineStr">
        <is>
          <t>425 East Barcellus Avenue</t>
        </is>
      </c>
      <c r="H756" t="inlineStr">
        <is>
          <t>Santa Maria</t>
        </is>
      </c>
      <c r="I756" t="inlineStr">
        <is>
          <t>Santa Barbara</t>
        </is>
      </c>
      <c r="J756" t="inlineStr">
        <is>
          <t>Villa Maria Post Acute</t>
        </is>
      </c>
    </row>
    <row r="757">
      <c r="A757">
        <f>--ISNUMBER(IFERROR(SEARCH($C$5,Inputs!$D757,1),""))</f>
        <v/>
      </c>
      <c r="B757">
        <f>IF(A757=1,COUNTIF($A$6:A757,1),"")</f>
        <v/>
      </c>
      <c r="C757">
        <f>IFERROR(INDEX($D$6:$D$1750,MATCH(ROWS($B$6:B757),$B$6:$B$1750,0)),"")</f>
        <v/>
      </c>
      <c r="D757">
        <f>J757&amp;" ("&amp;E757&amp;")"</f>
        <v/>
      </c>
      <c r="E757" t="n">
        <v>20862</v>
      </c>
      <c r="F757" t="inlineStr">
        <is>
          <t>Skilled Nursing and Interm. Care Facility</t>
        </is>
      </c>
      <c r="G757" t="inlineStr">
        <is>
          <t>350 De Soto Drive</t>
        </is>
      </c>
      <c r="H757" t="inlineStr">
        <is>
          <t>Los Gatos</t>
        </is>
      </c>
      <c r="I757" t="inlineStr">
        <is>
          <t>Santa Clara</t>
        </is>
      </c>
      <c r="J757" t="inlineStr">
        <is>
          <t>Stonebrook Health and Rehabilitation</t>
        </is>
      </c>
    </row>
    <row r="758">
      <c r="A758">
        <f>--ISNUMBER(IFERROR(SEARCH($C$5,Inputs!$D758,1),""))</f>
        <v/>
      </c>
      <c r="B758">
        <f>IF(A758=1,COUNTIF($A$6:A758,1),"")</f>
        <v/>
      </c>
      <c r="C758">
        <f>IFERROR(INDEX($D$6:$D$1750,MATCH(ROWS($B$6:B758),$B$6:$B$1750,0)),"")</f>
        <v/>
      </c>
      <c r="D758">
        <f>J758&amp;" ("&amp;E758&amp;")"</f>
        <v/>
      </c>
      <c r="E758" t="n">
        <v>20863</v>
      </c>
      <c r="F758" t="inlineStr">
        <is>
          <t>Skilled Nursing and Interm. Care Facility</t>
        </is>
      </c>
      <c r="G758" t="inlineStr">
        <is>
          <t>14966 Terreno De Flores Ln</t>
        </is>
      </c>
      <c r="H758" t="inlineStr">
        <is>
          <t>Los Gatos</t>
        </is>
      </c>
      <c r="I758" t="inlineStr">
        <is>
          <t>Santa Clara</t>
        </is>
      </c>
      <c r="J758" t="inlineStr">
        <is>
          <t>Woodlands Healthcare Center</t>
        </is>
      </c>
    </row>
    <row r="759">
      <c r="A759">
        <f>--ISNUMBER(IFERROR(SEARCH($C$5,Inputs!$D759,1),""))</f>
        <v/>
      </c>
      <c r="B759">
        <f>IF(A759=1,COUNTIF($A$6:A759,1),"")</f>
        <v/>
      </c>
      <c r="C759">
        <f>IFERROR(INDEX($D$6:$D$1750,MATCH(ROWS($B$6:B759),$B$6:$B$1750,0)),"")</f>
        <v/>
      </c>
      <c r="D759">
        <f>J759&amp;" ("&amp;E759&amp;")"</f>
        <v/>
      </c>
      <c r="E759" t="n">
        <v>20864</v>
      </c>
      <c r="F759" t="inlineStr">
        <is>
          <t>Skilled Nursing and Interm. Care Facility</t>
        </is>
      </c>
      <c r="G759" t="inlineStr">
        <is>
          <t>16412 Los Gatos Boulevard</t>
        </is>
      </c>
      <c r="H759" t="inlineStr">
        <is>
          <t>Los Gatos</t>
        </is>
      </c>
      <c r="I759" t="inlineStr">
        <is>
          <t>Santa Clara</t>
        </is>
      </c>
      <c r="J759" t="inlineStr">
        <is>
          <t>Vasona Creek Healthcare Center</t>
        </is>
      </c>
    </row>
    <row r="760">
      <c r="A760">
        <f>--ISNUMBER(IFERROR(SEARCH($C$5,Inputs!$D760,1),""))</f>
        <v/>
      </c>
      <c r="B760">
        <f>IF(A760=1,COUNTIF($A$6:A760,1),"")</f>
        <v/>
      </c>
      <c r="C760">
        <f>IFERROR(INDEX($D$6:$D$1750,MATCH(ROWS($B$6:B760),$B$6:$B$1750,0)),"")</f>
        <v/>
      </c>
      <c r="D760">
        <f>J760&amp;" ("&amp;E760&amp;")"</f>
        <v/>
      </c>
      <c r="E760" t="n">
        <v>20867</v>
      </c>
      <c r="F760" t="inlineStr">
        <is>
          <t>Skilled Nursing and Interm. Care Facility</t>
        </is>
      </c>
      <c r="G760" t="inlineStr">
        <is>
          <t>1331 Camden Ave</t>
        </is>
      </c>
      <c r="H760" t="inlineStr">
        <is>
          <t>Campbell</t>
        </is>
      </c>
      <c r="I760" t="inlineStr">
        <is>
          <t>Santa Clara</t>
        </is>
      </c>
      <c r="J760" t="inlineStr">
        <is>
          <t>Camden Postacute Care, Inc.</t>
        </is>
      </c>
    </row>
    <row r="761">
      <c r="A761">
        <f>--ISNUMBER(IFERROR(SEARCH($C$5,Inputs!$D761,1),""))</f>
        <v/>
      </c>
      <c r="B761">
        <f>IF(A761=1,COUNTIF($A$6:A761,1),"")</f>
        <v/>
      </c>
      <c r="C761">
        <f>IFERROR(INDEX($D$6:$D$1750,MATCH(ROWS($B$6:B761),$B$6:$B$1750,0)),"")</f>
        <v/>
      </c>
      <c r="D761">
        <f>J761&amp;" ("&amp;E761&amp;")"</f>
        <v/>
      </c>
      <c r="E761" t="n">
        <v>20871</v>
      </c>
      <c r="F761" t="inlineStr">
        <is>
          <t>Skilled Nursing and Interm. Care Facility</t>
        </is>
      </c>
      <c r="G761" t="inlineStr">
        <is>
          <t>850 Webster Street</t>
        </is>
      </c>
      <c r="H761" t="inlineStr">
        <is>
          <t>Palo Alto</t>
        </is>
      </c>
      <c r="I761" t="inlineStr">
        <is>
          <t>Santa Clara</t>
        </is>
      </c>
      <c r="J761" t="inlineStr">
        <is>
          <t>Channing House</t>
        </is>
      </c>
    </row>
    <row r="762">
      <c r="A762">
        <f>--ISNUMBER(IFERROR(SEARCH($C$5,Inputs!$D762,1),""))</f>
        <v/>
      </c>
      <c r="B762">
        <f>IF(A762=1,COUNTIF($A$6:A762,1),"")</f>
        <v/>
      </c>
      <c r="C762">
        <f>IFERROR(INDEX($D$6:$D$1750,MATCH(ROWS($B$6:B762),$B$6:$B$1750,0)),"")</f>
        <v/>
      </c>
      <c r="D762">
        <f>J762&amp;" ("&amp;E762&amp;")"</f>
        <v/>
      </c>
      <c r="E762" t="n">
        <v>20877</v>
      </c>
      <c r="F762" t="inlineStr">
        <is>
          <t>Skilled Nursing and Interm. Care Facility</t>
        </is>
      </c>
      <c r="G762" t="inlineStr">
        <is>
          <t>3580 Payne Avenue</t>
        </is>
      </c>
      <c r="H762" t="inlineStr">
        <is>
          <t>San Jose</t>
        </is>
      </c>
      <c r="I762" t="inlineStr">
        <is>
          <t>Santa Clara</t>
        </is>
      </c>
      <c r="J762" t="inlineStr">
        <is>
          <t>San Tomas Convalescent Hospital</t>
        </is>
      </c>
    </row>
    <row r="763">
      <c r="A763">
        <f>--ISNUMBER(IFERROR(SEARCH($C$5,Inputs!$D763,1),""))</f>
        <v/>
      </c>
      <c r="B763">
        <f>IF(A763=1,COUNTIF($A$6:A763,1),"")</f>
        <v/>
      </c>
      <c r="C763">
        <f>IFERROR(INDEX($D$6:$D$1750,MATCH(ROWS($B$6:B763),$B$6:$B$1750,0)),"")</f>
        <v/>
      </c>
      <c r="D763">
        <f>J763&amp;" ("&amp;E763&amp;")"</f>
        <v/>
      </c>
      <c r="E763" t="n">
        <v>20880</v>
      </c>
      <c r="F763" t="inlineStr">
        <is>
          <t>Skilled Nursing and Interm. Care Facility</t>
        </is>
      </c>
      <c r="G763" t="inlineStr">
        <is>
          <t>8170 Murray Avenue</t>
        </is>
      </c>
      <c r="H763" t="inlineStr">
        <is>
          <t>Gilroy</t>
        </is>
      </c>
      <c r="I763" t="inlineStr">
        <is>
          <t>Santa Clara</t>
        </is>
      </c>
      <c r="J763" t="inlineStr">
        <is>
          <t>Gilroy Healthcare and Rehabilitation Center</t>
        </is>
      </c>
    </row>
    <row r="764">
      <c r="A764">
        <f>--ISNUMBER(IFERROR(SEARCH($C$5,Inputs!$D764,1),""))</f>
        <v/>
      </c>
      <c r="B764">
        <f>IF(A764=1,COUNTIF($A$6:A764,1),"")</f>
        <v/>
      </c>
      <c r="C764">
        <f>IFERROR(INDEX($D$6:$D$1750,MATCH(ROWS($B$6:B764),$B$6:$B$1750,0)),"")</f>
        <v/>
      </c>
      <c r="D764">
        <f>J764&amp;" ("&amp;E764&amp;")"</f>
        <v/>
      </c>
      <c r="E764" t="n">
        <v>20884</v>
      </c>
      <c r="F764" t="inlineStr">
        <is>
          <t>Skilled Nursing and Interm. Care Facility</t>
        </is>
      </c>
      <c r="G764" t="inlineStr">
        <is>
          <t>238 Virginia Avenue</t>
        </is>
      </c>
      <c r="H764" t="inlineStr">
        <is>
          <t>Campbell</t>
        </is>
      </c>
      <c r="I764" t="inlineStr">
        <is>
          <t>Santa Clara</t>
        </is>
      </c>
      <c r="J764" t="inlineStr">
        <is>
          <t>Greenhills Manor</t>
        </is>
      </c>
    </row>
    <row r="765">
      <c r="A765">
        <f>--ISNUMBER(IFERROR(SEARCH($C$5,Inputs!$D765,1),""))</f>
        <v/>
      </c>
      <c r="B765">
        <f>IF(A765=1,COUNTIF($A$6:A765,1),"")</f>
        <v/>
      </c>
      <c r="C765">
        <f>IFERROR(INDEX($D$6:$D$1750,MATCH(ROWS($B$6:B765),$B$6:$B$1750,0)),"")</f>
        <v/>
      </c>
      <c r="D765">
        <f>J765&amp;" ("&amp;E765&amp;")"</f>
        <v/>
      </c>
      <c r="E765" t="n">
        <v>20885</v>
      </c>
      <c r="F765" t="inlineStr">
        <is>
          <t>Skilled Nursing and Interm. Care Facility</t>
        </is>
      </c>
      <c r="G765" t="inlineStr">
        <is>
          <t>120 Corning Avenue</t>
        </is>
      </c>
      <c r="H765" t="inlineStr">
        <is>
          <t>Milpitas</t>
        </is>
      </c>
      <c r="I765" t="inlineStr">
        <is>
          <t>Santa Clara</t>
        </is>
      </c>
      <c r="J765" t="inlineStr">
        <is>
          <t>Milpitas Care Center</t>
        </is>
      </c>
    </row>
    <row r="766">
      <c r="A766">
        <f>--ISNUMBER(IFERROR(SEARCH($C$5,Inputs!$D766,1),""))</f>
        <v/>
      </c>
      <c r="B766">
        <f>IF(A766=1,COUNTIF($A$6:A766,1),"")</f>
        <v/>
      </c>
      <c r="C766">
        <f>IFERROR(INDEX($D$6:$D$1750,MATCH(ROWS($B$6:B766),$B$6:$B$1750,0)),"")</f>
        <v/>
      </c>
      <c r="D766">
        <f>J766&amp;" ("&amp;E766&amp;")"</f>
        <v/>
      </c>
      <c r="E766" t="n">
        <v>20888</v>
      </c>
      <c r="F766" t="inlineStr">
        <is>
          <t>Skilled Nursing and Interm. Care Facility</t>
        </is>
      </c>
      <c r="G766" t="inlineStr">
        <is>
          <t>1299 South Bascom Avenue</t>
        </is>
      </c>
      <c r="H766" t="inlineStr">
        <is>
          <t>San Jose</t>
        </is>
      </c>
      <c r="I766" t="inlineStr">
        <is>
          <t>Santa Clara</t>
        </is>
      </c>
      <c r="J766" t="inlineStr">
        <is>
          <t>Empress Care Center, LLC</t>
        </is>
      </c>
    </row>
    <row r="767">
      <c r="A767">
        <f>--ISNUMBER(IFERROR(SEARCH($C$5,Inputs!$D767,1),""))</f>
        <v/>
      </c>
      <c r="B767">
        <f>IF(A767=1,COUNTIF($A$6:A767,1),"")</f>
        <v/>
      </c>
      <c r="C767">
        <f>IFERROR(INDEX($D$6:$D$1750,MATCH(ROWS($B$6:B767),$B$6:$B$1750,0)),"")</f>
        <v/>
      </c>
      <c r="D767">
        <f>J767&amp;" ("&amp;E767&amp;")"</f>
        <v/>
      </c>
      <c r="E767" t="n">
        <v>20889</v>
      </c>
      <c r="F767" t="inlineStr">
        <is>
          <t>Skilled Nursing and Interm. Care Facility</t>
        </is>
      </c>
      <c r="G767" t="inlineStr">
        <is>
          <t>2065 Forest Avenue</t>
        </is>
      </c>
      <c r="H767" t="inlineStr">
        <is>
          <t>San Jose</t>
        </is>
      </c>
      <c r="I767" t="inlineStr">
        <is>
          <t>Santa Clara</t>
        </is>
      </c>
      <c r="J767" t="inlineStr">
        <is>
          <t>Skyline Healthcare Center - San Jose</t>
        </is>
      </c>
    </row>
    <row r="768">
      <c r="A768">
        <f>--ISNUMBER(IFERROR(SEARCH($C$5,Inputs!$D768,1),""))</f>
        <v/>
      </c>
      <c r="B768">
        <f>IF(A768=1,COUNTIF($A$6:A768,1),"")</f>
        <v/>
      </c>
      <c r="C768">
        <f>IFERROR(INDEX($D$6:$D$1750,MATCH(ROWS($B$6:B768),$B$6:$B$1750,0)),"")</f>
        <v/>
      </c>
      <c r="D768">
        <f>J768&amp;" ("&amp;E768&amp;")"</f>
        <v/>
      </c>
      <c r="E768" t="n">
        <v>20891</v>
      </c>
      <c r="F768" t="inlineStr">
        <is>
          <t>Skilled Nursing and Interm. Care Facility</t>
        </is>
      </c>
      <c r="G768" t="inlineStr">
        <is>
          <t>1949 Grant Rd</t>
        </is>
      </c>
      <c r="H768" t="inlineStr">
        <is>
          <t>Mountain View</t>
        </is>
      </c>
      <c r="I768" t="inlineStr">
        <is>
          <t>Santa Clara</t>
        </is>
      </c>
      <c r="J768" t="inlineStr">
        <is>
          <t>Grant Cuesta Sub-Acute And Rehabilitation Center</t>
        </is>
      </c>
    </row>
    <row r="769">
      <c r="A769">
        <f>--ISNUMBER(IFERROR(SEARCH($C$5,Inputs!$D769,1),""))</f>
        <v/>
      </c>
      <c r="B769">
        <f>IF(A769=1,COUNTIF($A$6:A769,1),"")</f>
        <v/>
      </c>
      <c r="C769">
        <f>IFERROR(INDEX($D$6:$D$1750,MATCH(ROWS($B$6:B769),$B$6:$B$1750,0)),"")</f>
        <v/>
      </c>
      <c r="D769">
        <f>J769&amp;" ("&amp;E769&amp;")"</f>
        <v/>
      </c>
      <c r="E769" t="n">
        <v>20892</v>
      </c>
      <c r="F769" t="inlineStr">
        <is>
          <t>Skilled Nursing and Interm. Care Facility</t>
        </is>
      </c>
      <c r="G769" t="inlineStr">
        <is>
          <t>120 Jose Figueres Avenue</t>
        </is>
      </c>
      <c r="H769" t="inlineStr">
        <is>
          <t>San Jose</t>
        </is>
      </c>
      <c r="I769" t="inlineStr">
        <is>
          <t>Santa Clara</t>
        </is>
      </c>
      <c r="J769" t="inlineStr">
        <is>
          <t>Vista Manor Nursing Center</t>
        </is>
      </c>
    </row>
    <row r="770">
      <c r="A770">
        <f>--ISNUMBER(IFERROR(SEARCH($C$5,Inputs!$D770,1),""))</f>
        <v/>
      </c>
      <c r="B770">
        <f>IF(A770=1,COUNTIF($A$6:A770,1),"")</f>
        <v/>
      </c>
      <c r="C770">
        <f>IFERROR(INDEX($D$6:$D$1750,MATCH(ROWS($B$6:B770),$B$6:$B$1750,0)),"")</f>
        <v/>
      </c>
      <c r="D770">
        <f>J770&amp;" ("&amp;E770&amp;")"</f>
        <v/>
      </c>
      <c r="E770" t="n">
        <v>20895</v>
      </c>
      <c r="F770" t="inlineStr">
        <is>
          <t>Skilled Nursing and Interm. Care Facility</t>
        </is>
      </c>
      <c r="G770" t="inlineStr">
        <is>
          <t>2295 Plummer Avenue</t>
        </is>
      </c>
      <c r="H770" t="inlineStr">
        <is>
          <t>San Jose</t>
        </is>
      </c>
      <c r="I770" t="inlineStr">
        <is>
          <t>Santa Clara</t>
        </is>
      </c>
      <c r="J770" t="inlineStr">
        <is>
          <t>Herman Health Care Center</t>
        </is>
      </c>
    </row>
    <row r="771">
      <c r="A771">
        <f>--ISNUMBER(IFERROR(SEARCH($C$5,Inputs!$D771,1),""))</f>
        <v/>
      </c>
      <c r="B771">
        <f>IF(A771=1,COUNTIF($A$6:A771,1),"")</f>
        <v/>
      </c>
      <c r="C771">
        <f>IFERROR(INDEX($D$6:$D$1750,MATCH(ROWS($B$6:B771),$B$6:$B$1750,0)),"")</f>
        <v/>
      </c>
      <c r="D771">
        <f>J771&amp;" ("&amp;E771&amp;")"</f>
        <v/>
      </c>
      <c r="E771" t="n">
        <v>20897</v>
      </c>
      <c r="F771" t="inlineStr">
        <is>
          <t>Skilled Nursing and Interm. Care Facility</t>
        </is>
      </c>
      <c r="G771" t="inlineStr">
        <is>
          <t>2530 Solace Place</t>
        </is>
      </c>
      <c r="H771" t="inlineStr">
        <is>
          <t>Mountain View</t>
        </is>
      </c>
      <c r="I771" t="inlineStr">
        <is>
          <t>Santa Clara</t>
        </is>
      </c>
      <c r="J771" t="inlineStr">
        <is>
          <t>Mountain View Healthcare Center</t>
        </is>
      </c>
    </row>
    <row r="772">
      <c r="A772">
        <f>--ISNUMBER(IFERROR(SEARCH($C$5,Inputs!$D772,1),""))</f>
        <v/>
      </c>
      <c r="B772">
        <f>IF(A772=1,COUNTIF($A$6:A772,1),"")</f>
        <v/>
      </c>
      <c r="C772">
        <f>IFERROR(INDEX($D$6:$D$1750,MATCH(ROWS($B$6:B772),$B$6:$B$1750,0)),"")</f>
        <v/>
      </c>
      <c r="D772">
        <f>J772&amp;" ("&amp;E772&amp;")"</f>
        <v/>
      </c>
      <c r="E772" t="n">
        <v>20898</v>
      </c>
      <c r="F772" t="inlineStr">
        <is>
          <t>Skilled Nursing and Interm. Care Facility</t>
        </is>
      </c>
      <c r="G772" t="inlineStr">
        <is>
          <t>530 W Dunne Ave</t>
        </is>
      </c>
      <c r="H772" t="inlineStr">
        <is>
          <t>Morgan Hill</t>
        </is>
      </c>
      <c r="I772" t="inlineStr">
        <is>
          <t>Santa Clara</t>
        </is>
      </c>
      <c r="J772" t="inlineStr">
        <is>
          <t>Hillview Convalescent Hospital</t>
        </is>
      </c>
    </row>
    <row r="773">
      <c r="A773">
        <f>--ISNUMBER(IFERROR(SEARCH($C$5,Inputs!$D773,1),""))</f>
        <v/>
      </c>
      <c r="B773">
        <f>IF(A773=1,COUNTIF($A$6:A773,1),"")</f>
        <v/>
      </c>
      <c r="C773">
        <f>IFERROR(INDEX($D$6:$D$1750,MATCH(ROWS($B$6:B773),$B$6:$B$1750,0)),"")</f>
        <v/>
      </c>
      <c r="D773">
        <f>J773&amp;" ("&amp;E773&amp;")"</f>
        <v/>
      </c>
      <c r="E773" t="n">
        <v>20899</v>
      </c>
      <c r="F773" t="inlineStr">
        <is>
          <t>Skilled Nursing and Interm. Care Facility</t>
        </is>
      </c>
      <c r="G773" t="inlineStr">
        <is>
          <t>75 N 13th St</t>
        </is>
      </c>
      <c r="H773" t="inlineStr">
        <is>
          <t>San Jose</t>
        </is>
      </c>
      <c r="I773" t="inlineStr">
        <is>
          <t>Santa Clara</t>
        </is>
      </c>
      <c r="J773" t="inlineStr">
        <is>
          <t>San Jose Healthcare &amp; Wellness Center</t>
        </is>
      </c>
    </row>
    <row r="774">
      <c r="A774">
        <f>--ISNUMBER(IFERROR(SEARCH($C$5,Inputs!$D774,1),""))</f>
        <v/>
      </c>
      <c r="B774">
        <f>IF(A774=1,COUNTIF($A$6:A774,1),"")</f>
        <v/>
      </c>
      <c r="C774">
        <f>IFERROR(INDEX($D$6:$D$1750,MATCH(ROWS($B$6:B774),$B$6:$B$1750,0)),"")</f>
        <v/>
      </c>
      <c r="D774">
        <f>J774&amp;" ("&amp;E774&amp;")"</f>
        <v/>
      </c>
      <c r="E774" t="n">
        <v>20906</v>
      </c>
      <c r="F774" t="inlineStr">
        <is>
          <t>Skilled Nursing and Interm. Care Facility</t>
        </is>
      </c>
      <c r="G774" t="inlineStr">
        <is>
          <t>1002 W Fremont Ave</t>
        </is>
      </c>
      <c r="H774" t="inlineStr">
        <is>
          <t>Sunnyvale</t>
        </is>
      </c>
      <c r="I774" t="inlineStr">
        <is>
          <t>Santa Clara</t>
        </is>
      </c>
      <c r="J774" t="inlineStr">
        <is>
          <t>Idylwood Care Center</t>
        </is>
      </c>
    </row>
    <row r="775">
      <c r="A775">
        <f>--ISNUMBER(IFERROR(SEARCH($C$5,Inputs!$D775,1),""))</f>
        <v/>
      </c>
      <c r="B775">
        <f>IF(A775=1,COUNTIF($A$6:A775,1),"")</f>
        <v/>
      </c>
      <c r="C775">
        <f>IFERROR(INDEX($D$6:$D$1750,MATCH(ROWS($B$6:B775),$B$6:$B$1750,0)),"")</f>
        <v/>
      </c>
      <c r="D775">
        <f>J775&amp;" ("&amp;E775&amp;")"</f>
        <v/>
      </c>
      <c r="E775" t="n">
        <v>20914</v>
      </c>
      <c r="F775" t="inlineStr">
        <is>
          <t>Skilled Nursing and Interm. Care Facility</t>
        </is>
      </c>
      <c r="G775" t="inlineStr">
        <is>
          <t>410 North Winchester Boulevard</t>
        </is>
      </c>
      <c r="H775" t="inlineStr">
        <is>
          <t>Santa Clara</t>
        </is>
      </c>
      <c r="I775" t="inlineStr">
        <is>
          <t>Santa Clara</t>
        </is>
      </c>
      <c r="J775" t="inlineStr">
        <is>
          <t>Mission Skilled Nursing &amp; Subacute Center</t>
        </is>
      </c>
    </row>
    <row r="776">
      <c r="A776">
        <f>--ISNUMBER(IFERROR(SEARCH($C$5,Inputs!$D776,1),""))</f>
        <v/>
      </c>
      <c r="B776">
        <f>IF(A776=1,COUNTIF($A$6:A776,1),"")</f>
        <v/>
      </c>
      <c r="C776">
        <f>IFERROR(INDEX($D$6:$D$1750,MATCH(ROWS($B$6:B776),$B$6:$B$1750,0)),"")</f>
        <v/>
      </c>
      <c r="D776">
        <f>J776&amp;" ("&amp;E776&amp;")"</f>
        <v/>
      </c>
      <c r="E776" t="n">
        <v>20917</v>
      </c>
      <c r="F776" t="inlineStr">
        <is>
          <t>Skilled Nursing and Interm. Care Facility</t>
        </is>
      </c>
      <c r="G776" t="inlineStr">
        <is>
          <t>1355 Clayton Road</t>
        </is>
      </c>
      <c r="H776" t="inlineStr">
        <is>
          <t>San Jose</t>
        </is>
      </c>
      <c r="I776" t="inlineStr">
        <is>
          <t>Santa Clara</t>
        </is>
      </c>
      <c r="J776" t="inlineStr">
        <is>
          <t>The Ridge Post-Acute</t>
        </is>
      </c>
    </row>
    <row r="777">
      <c r="A777">
        <f>--ISNUMBER(IFERROR(SEARCH($C$5,Inputs!$D777,1),""))</f>
        <v/>
      </c>
      <c r="B777">
        <f>IF(A777=1,COUNTIF($A$6:A777,1),"")</f>
        <v/>
      </c>
      <c r="C777">
        <f>IFERROR(INDEX($D$6:$D$1750,MATCH(ROWS($B$6:B777),$B$6:$B$1750,0)),"")</f>
        <v/>
      </c>
      <c r="D777">
        <f>J777&amp;" ("&amp;E777&amp;")"</f>
        <v/>
      </c>
      <c r="E777" t="n">
        <v>20918</v>
      </c>
      <c r="F777" t="inlineStr">
        <is>
          <t>Skilled Nursing and Interm. Care Facility</t>
        </is>
      </c>
      <c r="G777" t="inlineStr">
        <is>
          <t>340 Northlake Drive</t>
        </is>
      </c>
      <c r="H777" t="inlineStr">
        <is>
          <t>San Jose</t>
        </is>
      </c>
      <c r="I777" t="inlineStr">
        <is>
          <t>Santa Clara</t>
        </is>
      </c>
      <c r="J777" t="inlineStr">
        <is>
          <t>Courtyard Care Center</t>
        </is>
      </c>
    </row>
    <row r="778">
      <c r="A778">
        <f>--ISNUMBER(IFERROR(SEARCH($C$5,Inputs!$D778,1),""))</f>
        <v/>
      </c>
      <c r="B778">
        <f>IF(A778=1,COUNTIF($A$6:A778,1),"")</f>
        <v/>
      </c>
      <c r="C778">
        <f>IFERROR(INDEX($D$6:$D$1750,MATCH(ROWS($B$6:B778),$B$6:$B$1750,0)),"")</f>
        <v/>
      </c>
      <c r="D778">
        <f>J778&amp;" ("&amp;E778&amp;")"</f>
        <v/>
      </c>
      <c r="E778" t="n">
        <v>20920</v>
      </c>
      <c r="F778" t="inlineStr">
        <is>
          <t>Skilled Nursing and Interm. Care Facility</t>
        </is>
      </c>
      <c r="G778" t="inlineStr">
        <is>
          <t>14500 Fruitvale Avenue</t>
        </is>
      </c>
      <c r="H778" t="inlineStr">
        <is>
          <t>Saratoga</t>
        </is>
      </c>
      <c r="I778" t="inlineStr">
        <is>
          <t>Santa Clara</t>
        </is>
      </c>
      <c r="J778" t="inlineStr">
        <is>
          <t>Saratoga Retirement Community Health Center</t>
        </is>
      </c>
    </row>
    <row r="779">
      <c r="A779">
        <f>--ISNUMBER(IFERROR(SEARCH($C$5,Inputs!$D779,1),""))</f>
        <v/>
      </c>
      <c r="B779">
        <f>IF(A779=1,COUNTIF($A$6:A779,1),"")</f>
        <v/>
      </c>
      <c r="C779">
        <f>IFERROR(INDEX($D$6:$D$1750,MATCH(ROWS($B$6:B779),$B$6:$B$1750,0)),"")</f>
        <v/>
      </c>
      <c r="D779">
        <f>J779&amp;" ("&amp;E779&amp;")"</f>
        <v/>
      </c>
      <c r="E779" t="n">
        <v>20921</v>
      </c>
      <c r="F779" t="inlineStr">
        <is>
          <t>Skilled Nursing and Interm. Care Facility</t>
        </is>
      </c>
      <c r="G779" t="inlineStr">
        <is>
          <t>20400 Saratoga Los Gatos Rd</t>
        </is>
      </c>
      <c r="H779" t="inlineStr">
        <is>
          <t>Saratoga</t>
        </is>
      </c>
      <c r="I779" t="inlineStr">
        <is>
          <t>Santa Clara</t>
        </is>
      </c>
      <c r="J779" t="inlineStr">
        <is>
          <t>The Villas At Saratoga Skilled Nursing And Assisted Living</t>
        </is>
      </c>
    </row>
    <row r="780">
      <c r="A780">
        <f>--ISNUMBER(IFERROR(SEARCH($C$5,Inputs!$D780,1),""))</f>
        <v/>
      </c>
      <c r="B780">
        <f>IF(A780=1,COUNTIF($A$6:A780,1),"")</f>
        <v/>
      </c>
      <c r="C780">
        <f>IFERROR(INDEX($D$6:$D$1750,MATCH(ROWS($B$6:B780),$B$6:$B$1750,0)),"")</f>
        <v/>
      </c>
      <c r="D780">
        <f>J780&amp;" ("&amp;E780&amp;")"</f>
        <v/>
      </c>
      <c r="E780" t="n">
        <v>20924</v>
      </c>
      <c r="F780" t="inlineStr">
        <is>
          <t>Skilled Nursing and Interm. Care Facility</t>
        </is>
      </c>
      <c r="G780" t="inlineStr">
        <is>
          <t>911 Bryant Street</t>
        </is>
      </c>
      <c r="H780" t="inlineStr">
        <is>
          <t>Palo Alto</t>
        </is>
      </c>
      <c r="I780" t="inlineStr">
        <is>
          <t>Santa Clara</t>
        </is>
      </c>
      <c r="J780" t="inlineStr">
        <is>
          <t>Palo Alto Sub-Acute And Rehabilitation Center</t>
        </is>
      </c>
    </row>
    <row r="781">
      <c r="A781">
        <f>--ISNUMBER(IFERROR(SEARCH($C$5,Inputs!$D781,1),""))</f>
        <v/>
      </c>
      <c r="B781">
        <f>IF(A781=1,COUNTIF($A$6:A781,1),"")</f>
        <v/>
      </c>
      <c r="C781">
        <f>IFERROR(INDEX($D$6:$D$1750,MATCH(ROWS($B$6:B781),$B$6:$B$1750,0)),"")</f>
        <v/>
      </c>
      <c r="D781">
        <f>J781&amp;" ("&amp;E781&amp;")"</f>
        <v/>
      </c>
      <c r="E781" t="n">
        <v>20925</v>
      </c>
      <c r="F781" t="inlineStr">
        <is>
          <t>Skilled Nursing and Interm. Care Facility</t>
        </is>
      </c>
      <c r="G781" t="inlineStr">
        <is>
          <t>373 Pine Ln</t>
        </is>
      </c>
      <c r="H781" t="inlineStr">
        <is>
          <t>Los Altos</t>
        </is>
      </c>
      <c r="I781" t="inlineStr">
        <is>
          <t>Santa Clara</t>
        </is>
      </c>
      <c r="J781" t="inlineStr">
        <is>
          <t>The Terraces at Los Altos Health Facility</t>
        </is>
      </c>
    </row>
    <row r="782">
      <c r="A782">
        <f>--ISNUMBER(IFERROR(SEARCH($C$5,Inputs!$D782,1),""))</f>
        <v/>
      </c>
      <c r="B782">
        <f>IF(A782=1,COUNTIF($A$6:A782,1),"")</f>
        <v/>
      </c>
      <c r="C782">
        <f>IFERROR(INDEX($D$6:$D$1750,MATCH(ROWS($B$6:B782),$B$6:$B$1750,0)),"")</f>
        <v/>
      </c>
      <c r="D782">
        <f>J782&amp;" ("&amp;E782&amp;")"</f>
        <v/>
      </c>
      <c r="E782" t="n">
        <v>20927</v>
      </c>
      <c r="F782" t="inlineStr">
        <is>
          <t>Skilled Nursing and Interm. Care Facility</t>
        </is>
      </c>
      <c r="G782" t="inlineStr">
        <is>
          <t>22590 Voss Avenue</t>
        </is>
      </c>
      <c r="H782" t="inlineStr">
        <is>
          <t>Cupertino</t>
        </is>
      </c>
      <c r="I782" t="inlineStr">
        <is>
          <t>Santa Clara</t>
        </is>
      </c>
      <c r="J782" t="inlineStr">
        <is>
          <t>Cupertino Healthcare &amp; Wellness Center</t>
        </is>
      </c>
    </row>
    <row r="783">
      <c r="A783">
        <f>--ISNUMBER(IFERROR(SEARCH($C$5,Inputs!$D783,1),""))</f>
        <v/>
      </c>
      <c r="B783">
        <f>IF(A783=1,COUNTIF($A$6:A783,1),"")</f>
        <v/>
      </c>
      <c r="C783">
        <f>IFERROR(INDEX($D$6:$D$1750,MATCH(ROWS($B$6:B783),$B$6:$B$1750,0)),"")</f>
        <v/>
      </c>
      <c r="D783">
        <f>J783&amp;" ("&amp;E783&amp;")"</f>
        <v/>
      </c>
      <c r="E783" t="n">
        <v>20928</v>
      </c>
      <c r="F783" t="inlineStr">
        <is>
          <t>Skilled Nursing and Interm. Care Facility</t>
        </is>
      </c>
      <c r="G783" t="inlineStr">
        <is>
          <t>2580 Samaritan Dr</t>
        </is>
      </c>
      <c r="H783" t="inlineStr">
        <is>
          <t>San Jose</t>
        </is>
      </c>
      <c r="I783" t="inlineStr">
        <is>
          <t>Santa Clara</t>
        </is>
      </c>
      <c r="J783" t="inlineStr">
        <is>
          <t>Plum Tree Care Center</t>
        </is>
      </c>
    </row>
    <row r="784">
      <c r="A784">
        <f>--ISNUMBER(IFERROR(SEARCH($C$5,Inputs!$D784,1),""))</f>
        <v/>
      </c>
      <c r="B784">
        <f>IF(A784=1,COUNTIF($A$6:A784,1),"")</f>
        <v/>
      </c>
      <c r="C784">
        <f>IFERROR(INDEX($D$6:$D$1750,MATCH(ROWS($B$6:B784),$B$6:$B$1750,0)),"")</f>
        <v/>
      </c>
      <c r="D784">
        <f>J784&amp;" ("&amp;E784&amp;")"</f>
        <v/>
      </c>
      <c r="E784" t="n">
        <v>20945</v>
      </c>
      <c r="F784" t="inlineStr">
        <is>
          <t>Skilled Nursing and Interm. Care Facility</t>
        </is>
      </c>
      <c r="G784" t="inlineStr">
        <is>
          <t>797 East Fremont Avenue</t>
        </is>
      </c>
      <c r="H784" t="inlineStr">
        <is>
          <t>Sunnyvale</t>
        </is>
      </c>
      <c r="I784" t="inlineStr">
        <is>
          <t>Santa Clara</t>
        </is>
      </c>
      <c r="J784" t="inlineStr">
        <is>
          <t>Cedar Crest Nursing and Rehabilitation Center</t>
        </is>
      </c>
    </row>
    <row r="785">
      <c r="A785">
        <f>--ISNUMBER(IFERROR(SEARCH($C$5,Inputs!$D785,1),""))</f>
        <v/>
      </c>
      <c r="B785">
        <f>IF(A785=1,COUNTIF($A$6:A785,1),"")</f>
        <v/>
      </c>
      <c r="C785">
        <f>IFERROR(INDEX($D$6:$D$1750,MATCH(ROWS($B$6:B785),$B$6:$B$1750,0)),"")</f>
        <v/>
      </c>
      <c r="D785">
        <f>J785&amp;" ("&amp;E785&amp;")"</f>
        <v/>
      </c>
      <c r="E785" t="n">
        <v>20947</v>
      </c>
      <c r="F785" t="inlineStr">
        <is>
          <t>Skilled Nursing and Interm. Care Facility</t>
        </is>
      </c>
      <c r="G785" t="inlineStr">
        <is>
          <t>22445 Cupertino Road</t>
        </is>
      </c>
      <c r="H785" t="inlineStr">
        <is>
          <t>Cupertino</t>
        </is>
      </c>
      <c r="I785" t="inlineStr">
        <is>
          <t>Santa Clara</t>
        </is>
      </c>
      <c r="J785" t="inlineStr">
        <is>
          <t>Sunny View Manor</t>
        </is>
      </c>
    </row>
    <row r="786">
      <c r="A786">
        <f>--ISNUMBER(IFERROR(SEARCH($C$5,Inputs!$D786,1),""))</f>
        <v/>
      </c>
      <c r="B786">
        <f>IF(A786=1,COUNTIF($A$6:A786,1),"")</f>
        <v/>
      </c>
      <c r="C786">
        <f>IFERROR(INDEX($D$6:$D$1750,MATCH(ROWS($B$6:B786),$B$6:$B$1750,0)),"")</f>
        <v/>
      </c>
      <c r="D786">
        <f>J786&amp;" ("&amp;E786&amp;")"</f>
        <v/>
      </c>
      <c r="E786" t="n">
        <v>20955</v>
      </c>
      <c r="F786" t="inlineStr">
        <is>
          <t>Skilled Nursing and Interm. Care Facility</t>
        </is>
      </c>
      <c r="G786" t="inlineStr">
        <is>
          <t>1601 Petersen Avenue</t>
        </is>
      </c>
      <c r="H786" t="inlineStr">
        <is>
          <t>San Jose</t>
        </is>
      </c>
      <c r="I786" t="inlineStr">
        <is>
          <t>Santa Clara</t>
        </is>
      </c>
      <c r="J786" t="inlineStr">
        <is>
          <t>Westwood Post-Acute</t>
        </is>
      </c>
    </row>
    <row r="787">
      <c r="A787">
        <f>--ISNUMBER(IFERROR(SEARCH($C$5,Inputs!$D787,1),""))</f>
        <v/>
      </c>
      <c r="B787">
        <f>IF(A787=1,COUNTIF($A$6:A787,1),"")</f>
        <v/>
      </c>
      <c r="C787">
        <f>IFERROR(INDEX($D$6:$D$1750,MATCH(ROWS($B$6:B787),$B$6:$B$1750,0)),"")</f>
        <v/>
      </c>
      <c r="D787">
        <f>J787&amp;" ("&amp;E787&amp;")"</f>
        <v/>
      </c>
      <c r="E787" t="n">
        <v>20956</v>
      </c>
      <c r="F787" t="inlineStr">
        <is>
          <t>Skilled Nursing and Interm. Care Facility</t>
        </is>
      </c>
      <c r="G787" t="inlineStr">
        <is>
          <t>13425 Sousa Lane</t>
        </is>
      </c>
      <c r="H787" t="inlineStr">
        <is>
          <t>Saratoga</t>
        </is>
      </c>
      <c r="I787" t="inlineStr">
        <is>
          <t>Santa Clara</t>
        </is>
      </c>
      <c r="J787" t="inlineStr">
        <is>
          <t>Children's Healthcare Organization Of Northern California - Saratoga Pediatric Subacute</t>
        </is>
      </c>
    </row>
    <row r="788">
      <c r="A788">
        <f>--ISNUMBER(IFERROR(SEARCH($C$5,Inputs!$D788,1),""))</f>
        <v/>
      </c>
      <c r="B788">
        <f>IF(A788=1,COUNTIF($A$6:A788,1),"")</f>
        <v/>
      </c>
      <c r="C788">
        <f>IFERROR(INDEX($D$6:$D$1750,MATCH(ROWS($B$6:B788),$B$6:$B$1750,0)),"")</f>
        <v/>
      </c>
      <c r="D788">
        <f>J788&amp;" ("&amp;E788&amp;")"</f>
        <v/>
      </c>
      <c r="E788" t="n">
        <v>20958</v>
      </c>
      <c r="F788" t="inlineStr">
        <is>
          <t>Skilled Nursing and Interm. Care Facility</t>
        </is>
      </c>
      <c r="G788" t="inlineStr">
        <is>
          <t>809 Fremont Avenue</t>
        </is>
      </c>
      <c r="H788" t="inlineStr">
        <is>
          <t>Los Altos</t>
        </is>
      </c>
      <c r="I788" t="inlineStr">
        <is>
          <t>Santa Clara</t>
        </is>
      </c>
      <c r="J788" t="inlineStr">
        <is>
          <t>Los Altos Sub-Acute And Rehabilitation Center</t>
        </is>
      </c>
    </row>
    <row r="789">
      <c r="A789">
        <f>--ISNUMBER(IFERROR(SEARCH($C$5,Inputs!$D789,1),""))</f>
        <v/>
      </c>
      <c r="B789">
        <f>IF(A789=1,COUNTIF($A$6:A789,1),"")</f>
        <v/>
      </c>
      <c r="C789">
        <f>IFERROR(INDEX($D$6:$D$1750,MATCH(ROWS($B$6:B789),$B$6:$B$1750,0)),"")</f>
        <v/>
      </c>
      <c r="D789">
        <f>J789&amp;" ("&amp;E789&amp;")"</f>
        <v/>
      </c>
      <c r="E789" t="n">
        <v>20960</v>
      </c>
      <c r="F789" t="inlineStr">
        <is>
          <t>Skilled Nursing and Interm. Care Facility</t>
        </is>
      </c>
      <c r="G789" t="inlineStr">
        <is>
          <t>2065 Los Gatos-Almaden Road</t>
        </is>
      </c>
      <c r="H789" t="inlineStr">
        <is>
          <t>San Jose</t>
        </is>
      </c>
      <c r="I789" t="inlineStr">
        <is>
          <t>Santa Clara</t>
        </is>
      </c>
      <c r="J789" t="inlineStr">
        <is>
          <t>Almaden Health And Rehabilitation Center</t>
        </is>
      </c>
    </row>
    <row r="790">
      <c r="A790">
        <f>--ISNUMBER(IFERROR(SEARCH($C$5,Inputs!$D790,1),""))</f>
        <v/>
      </c>
      <c r="B790">
        <f>IF(A790=1,COUNTIF($A$6:A790,1),"")</f>
        <v/>
      </c>
      <c r="C790">
        <f>IFERROR(INDEX($D$6:$D$1750,MATCH(ROWS($B$6:B790),$B$6:$B$1750,0)),"")</f>
        <v/>
      </c>
      <c r="D790">
        <f>J790&amp;" ("&amp;E790&amp;")"</f>
        <v/>
      </c>
      <c r="E790" t="n">
        <v>20961</v>
      </c>
      <c r="F790" t="inlineStr">
        <is>
          <t>Skilled Nursing and Interm. Care Facility</t>
        </is>
      </c>
      <c r="G790" t="inlineStr">
        <is>
          <t>180 N Jackson Ave</t>
        </is>
      </c>
      <c r="H790" t="inlineStr">
        <is>
          <t>San Jose</t>
        </is>
      </c>
      <c r="I790" t="inlineStr">
        <is>
          <t>Santa Clara</t>
        </is>
      </c>
      <c r="J790" t="inlineStr">
        <is>
          <t>Canyon Springs Post-Acute</t>
        </is>
      </c>
    </row>
    <row r="791">
      <c r="A791">
        <f>--ISNUMBER(IFERROR(SEARCH($C$5,Inputs!$D791,1),""))</f>
        <v/>
      </c>
      <c r="B791">
        <f>IF(A791=1,COUNTIF($A$6:A791,1),"")</f>
        <v/>
      </c>
      <c r="C791">
        <f>IFERROR(INDEX($D$6:$D$1750,MATCH(ROWS($B$6:B791),$B$6:$B$1750,0)),"")</f>
        <v/>
      </c>
      <c r="D791">
        <f>J791&amp;" ("&amp;E791&amp;")"</f>
        <v/>
      </c>
      <c r="E791" t="n">
        <v>20966</v>
      </c>
      <c r="F791" t="inlineStr">
        <is>
          <t>Skilled Nursing and Interm. Care Facility</t>
        </is>
      </c>
      <c r="G791" t="inlineStr">
        <is>
          <t>2990 Soquel Ave</t>
        </is>
      </c>
      <c r="H791" t="inlineStr">
        <is>
          <t>Santa Cruz</t>
        </is>
      </c>
      <c r="I791" t="inlineStr">
        <is>
          <t>Santa Cruz</t>
        </is>
      </c>
      <c r="J791" t="inlineStr">
        <is>
          <t>Hearts &amp; Hands, Post Acute Care &amp; Rehab Center</t>
        </is>
      </c>
    </row>
    <row r="792">
      <c r="A792">
        <f>--ISNUMBER(IFERROR(SEARCH($C$5,Inputs!$D792,1),""))</f>
        <v/>
      </c>
      <c r="B792">
        <f>IF(A792=1,COUNTIF($A$6:A792,1),"")</f>
        <v/>
      </c>
      <c r="C792">
        <f>IFERROR(INDEX($D$6:$D$1750,MATCH(ROWS($B$6:B792),$B$6:$B$1750,0)),"")</f>
        <v/>
      </c>
      <c r="D792">
        <f>J792&amp;" ("&amp;E792&amp;")"</f>
        <v/>
      </c>
      <c r="E792" t="n">
        <v>20973</v>
      </c>
      <c r="F792" t="inlineStr">
        <is>
          <t>Skilled Nursing and Interm. Care Facility</t>
        </is>
      </c>
      <c r="G792" t="inlineStr">
        <is>
          <t>675 24th Avenue</t>
        </is>
      </c>
      <c r="H792" t="inlineStr">
        <is>
          <t>Santa Cruz</t>
        </is>
      </c>
      <c r="I792" t="inlineStr">
        <is>
          <t>Santa Cruz</t>
        </is>
      </c>
      <c r="J792" t="inlineStr">
        <is>
          <t>Driftwood Healthcare Center - Santa Cruz</t>
        </is>
      </c>
    </row>
    <row r="793">
      <c r="A793">
        <f>--ISNUMBER(IFERROR(SEARCH($C$5,Inputs!$D793,1),""))</f>
        <v/>
      </c>
      <c r="B793">
        <f>IF(A793=1,COUNTIF($A$6:A793,1),"")</f>
        <v/>
      </c>
      <c r="C793">
        <f>IFERROR(INDEX($D$6:$D$1750,MATCH(ROWS($B$6:B793),$B$6:$B$1750,0)),"")</f>
        <v/>
      </c>
      <c r="D793">
        <f>J793&amp;" ("&amp;E793&amp;")"</f>
        <v/>
      </c>
      <c r="E793" t="n">
        <v>20974</v>
      </c>
      <c r="F793" t="inlineStr">
        <is>
          <t>Skilled Nursing and Interm. Care Facility</t>
        </is>
      </c>
      <c r="G793" t="inlineStr">
        <is>
          <t>1935 Wharf Rd</t>
        </is>
      </c>
      <c r="H793" t="inlineStr">
        <is>
          <t>Capitola</t>
        </is>
      </c>
      <c r="I793" t="inlineStr">
        <is>
          <t>Santa Cruz</t>
        </is>
      </c>
      <c r="J793" t="inlineStr">
        <is>
          <t>Pacific Coast Manor</t>
        </is>
      </c>
    </row>
    <row r="794">
      <c r="A794">
        <f>--ISNUMBER(IFERROR(SEARCH($C$5,Inputs!$D794,1),""))</f>
        <v/>
      </c>
      <c r="B794">
        <f>IF(A794=1,COUNTIF($A$6:A794,1),"")</f>
        <v/>
      </c>
      <c r="C794">
        <f>IFERROR(INDEX($D$6:$D$1750,MATCH(ROWS($B$6:B794),$B$6:$B$1750,0)),"")</f>
        <v/>
      </c>
      <c r="D794">
        <f>J794&amp;" ("&amp;E794&amp;")"</f>
        <v/>
      </c>
      <c r="E794" t="n">
        <v>20981</v>
      </c>
      <c r="F794" t="inlineStr">
        <is>
          <t>Skilled Nursing and Interm. Care Facility</t>
        </is>
      </c>
      <c r="G794" t="inlineStr">
        <is>
          <t>535 Auto Center Drive</t>
        </is>
      </c>
      <c r="H794" t="inlineStr">
        <is>
          <t>Watsonville</t>
        </is>
      </c>
      <c r="I794" t="inlineStr">
        <is>
          <t>Santa Cruz</t>
        </is>
      </c>
      <c r="J794" t="inlineStr">
        <is>
          <t>Watsonville Nursing Center</t>
        </is>
      </c>
    </row>
    <row r="795">
      <c r="A795">
        <f>--ISNUMBER(IFERROR(SEARCH($C$5,Inputs!$D795,1),""))</f>
        <v/>
      </c>
      <c r="B795">
        <f>IF(A795=1,COUNTIF($A$6:A795,1),"")</f>
        <v/>
      </c>
      <c r="C795">
        <f>IFERROR(INDEX($D$6:$D$1750,MATCH(ROWS($B$6:B795),$B$6:$B$1750,0)),"")</f>
        <v/>
      </c>
      <c r="D795">
        <f>J795&amp;" ("&amp;E795&amp;")"</f>
        <v/>
      </c>
      <c r="E795" t="n">
        <v>20982</v>
      </c>
      <c r="F795" t="inlineStr">
        <is>
          <t>Skilled Nursing and Interm. Care Facility</t>
        </is>
      </c>
      <c r="G795" t="inlineStr">
        <is>
          <t>525 Auto Center Drive</t>
        </is>
      </c>
      <c r="H795" t="inlineStr">
        <is>
          <t>Watsonville</t>
        </is>
      </c>
      <c r="I795" t="inlineStr">
        <is>
          <t>Santa Cruz</t>
        </is>
      </c>
      <c r="J795" t="inlineStr">
        <is>
          <t>Watsonville Post Acute Center</t>
        </is>
      </c>
    </row>
    <row r="796">
      <c r="A796">
        <f>--ISNUMBER(IFERROR(SEARCH($C$5,Inputs!$D796,1),""))</f>
        <v/>
      </c>
      <c r="B796">
        <f>IF(A796=1,COUNTIF($A$6:A796,1),"")</f>
        <v/>
      </c>
      <c r="C796">
        <f>IFERROR(INDEX($D$6:$D$1750,MATCH(ROWS($B$6:B796),$B$6:$B$1750,0)),"")</f>
        <v/>
      </c>
      <c r="D796">
        <f>J796&amp;" ("&amp;E796&amp;")"</f>
        <v/>
      </c>
      <c r="E796" t="n">
        <v>20994</v>
      </c>
      <c r="F796" t="inlineStr">
        <is>
          <t>Skilled Nursing and Interm. Care Facility</t>
        </is>
      </c>
      <c r="G796" t="inlineStr">
        <is>
          <t>1115 Capitola Road</t>
        </is>
      </c>
      <c r="H796" t="inlineStr">
        <is>
          <t>Santa Cruz</t>
        </is>
      </c>
      <c r="I796" t="inlineStr">
        <is>
          <t>Santa Cruz</t>
        </is>
      </c>
      <c r="J796" t="inlineStr">
        <is>
          <t>Santa Cruz Post Acute</t>
        </is>
      </c>
    </row>
    <row r="797">
      <c r="A797">
        <f>--ISNUMBER(IFERROR(SEARCH($C$5,Inputs!$D797,1),""))</f>
        <v/>
      </c>
      <c r="B797">
        <f>IF(A797=1,COUNTIF($A$6:A797,1),"")</f>
        <v/>
      </c>
      <c r="C797">
        <f>IFERROR(INDEX($D$6:$D$1750,MATCH(ROWS($B$6:B797),$B$6:$B$1750,0)),"")</f>
        <v/>
      </c>
      <c r="D797">
        <f>J797&amp;" ("&amp;E797&amp;")"</f>
        <v/>
      </c>
      <c r="E797" t="n">
        <v>20996</v>
      </c>
      <c r="F797" t="inlineStr">
        <is>
          <t>Skilled Nursing and Interm. Care Facility</t>
        </is>
      </c>
      <c r="G797" t="inlineStr">
        <is>
          <t>1836 Gold Street</t>
        </is>
      </c>
      <c r="H797" t="inlineStr">
        <is>
          <t>Redding</t>
        </is>
      </c>
      <c r="I797" t="inlineStr">
        <is>
          <t>Shasta</t>
        </is>
      </c>
      <c r="J797" t="inlineStr">
        <is>
          <t>Redding Post Acute</t>
        </is>
      </c>
    </row>
    <row r="798">
      <c r="A798">
        <f>--ISNUMBER(IFERROR(SEARCH($C$5,Inputs!$D798,1),""))</f>
        <v/>
      </c>
      <c r="B798">
        <f>IF(A798=1,COUNTIF($A$6:A798,1),"")</f>
        <v/>
      </c>
      <c r="C798">
        <f>IFERROR(INDEX($D$6:$D$1750,MATCH(ROWS($B$6:B798),$B$6:$B$1750,0)),"")</f>
        <v/>
      </c>
      <c r="D798">
        <f>J798&amp;" ("&amp;E798&amp;")"</f>
        <v/>
      </c>
      <c r="E798" t="n">
        <v>21011</v>
      </c>
      <c r="F798" t="inlineStr">
        <is>
          <t>Skilled Nursing and Interm. Care Facility</t>
        </is>
      </c>
      <c r="G798" t="inlineStr">
        <is>
          <t>445 Park St</t>
        </is>
      </c>
      <c r="H798" t="inlineStr">
        <is>
          <t>Weed</t>
        </is>
      </c>
      <c r="I798" t="inlineStr">
        <is>
          <t>Siskiyou</t>
        </is>
      </c>
      <c r="J798" t="inlineStr">
        <is>
          <t>Shasta View Estates</t>
        </is>
      </c>
    </row>
    <row r="799">
      <c r="A799">
        <f>--ISNUMBER(IFERROR(SEARCH($C$5,Inputs!$D799,1),""))</f>
        <v/>
      </c>
      <c r="B799">
        <f>IF(A799=1,COUNTIF($A$6:A799,1),"")</f>
        <v/>
      </c>
      <c r="C799">
        <f>IFERROR(INDEX($D$6:$D$1750,MATCH(ROWS($B$6:B799),$B$6:$B$1750,0)),"")</f>
        <v/>
      </c>
      <c r="D799">
        <f>J799&amp;" ("&amp;E799&amp;")"</f>
        <v/>
      </c>
      <c r="E799" t="n">
        <v>21012</v>
      </c>
      <c r="F799" t="inlineStr">
        <is>
          <t>Skilled Nursing and Interm. Care Facility</t>
        </is>
      </c>
      <c r="G799" t="inlineStr">
        <is>
          <t>1044 Heartwood Avenue</t>
        </is>
      </c>
      <c r="H799" t="inlineStr">
        <is>
          <t>Vallejo</t>
        </is>
      </c>
      <c r="I799" t="inlineStr">
        <is>
          <t>Solano</t>
        </is>
      </c>
      <c r="J799" t="inlineStr">
        <is>
          <t>Heartwood Avenue Healthcare</t>
        </is>
      </c>
    </row>
    <row r="800">
      <c r="A800">
        <f>--ISNUMBER(IFERROR(SEARCH($C$5,Inputs!$D800,1),""))</f>
        <v/>
      </c>
      <c r="B800">
        <f>IF(A800=1,COUNTIF($A$6:A800,1),"")</f>
        <v/>
      </c>
      <c r="C800">
        <f>IFERROR(INDEX($D$6:$D$1750,MATCH(ROWS($B$6:B800),$B$6:$B$1750,0)),"")</f>
        <v/>
      </c>
      <c r="D800">
        <f>J800&amp;" ("&amp;E800&amp;")"</f>
        <v/>
      </c>
      <c r="E800" t="n">
        <v>21015</v>
      </c>
      <c r="F800" t="inlineStr">
        <is>
          <t>Skilled Nursing and Interm. Care Facility</t>
        </is>
      </c>
      <c r="G800" t="inlineStr">
        <is>
          <t>1527 Springs Road</t>
        </is>
      </c>
      <c r="H800" t="inlineStr">
        <is>
          <t>Vallejo</t>
        </is>
      </c>
      <c r="I800" t="inlineStr">
        <is>
          <t>Solano</t>
        </is>
      </c>
      <c r="J800" t="inlineStr">
        <is>
          <t>Springs Road Healthcare</t>
        </is>
      </c>
    </row>
    <row r="801">
      <c r="A801">
        <f>--ISNUMBER(IFERROR(SEARCH($C$5,Inputs!$D801,1),""))</f>
        <v/>
      </c>
      <c r="B801">
        <f>IF(A801=1,COUNTIF($A$6:A801,1),"")</f>
        <v/>
      </c>
      <c r="C801">
        <f>IFERROR(INDEX($D$6:$D$1750,MATCH(ROWS($B$6:B801),$B$6:$B$1750,0)),"")</f>
        <v/>
      </c>
      <c r="D801">
        <f>J801&amp;" ("&amp;E801&amp;")"</f>
        <v/>
      </c>
      <c r="E801" t="n">
        <v>21025</v>
      </c>
      <c r="F801" t="inlineStr">
        <is>
          <t>Skilled Nursing and Interm. Care Facility</t>
        </is>
      </c>
      <c r="G801" t="inlineStr">
        <is>
          <t>1255 Travis Boulevard</t>
        </is>
      </c>
      <c r="H801" t="inlineStr">
        <is>
          <t>Fairfield</t>
        </is>
      </c>
      <c r="I801" t="inlineStr">
        <is>
          <t>Solano</t>
        </is>
      </c>
      <c r="J801" t="inlineStr">
        <is>
          <t>Fairfield Post-Acute Rehab</t>
        </is>
      </c>
    </row>
    <row r="802">
      <c r="A802">
        <f>--ISNUMBER(IFERROR(SEARCH($C$5,Inputs!$D802,1),""))</f>
        <v/>
      </c>
      <c r="B802">
        <f>IF(A802=1,COUNTIF($A$6:A802,1),"")</f>
        <v/>
      </c>
      <c r="C802">
        <f>IFERROR(INDEX($D$6:$D$1750,MATCH(ROWS($B$6:B802),$B$6:$B$1750,0)),"")</f>
        <v/>
      </c>
      <c r="D802">
        <f>J802&amp;" ("&amp;E802&amp;")"</f>
        <v/>
      </c>
      <c r="E802" t="n">
        <v>21026</v>
      </c>
      <c r="F802" t="inlineStr">
        <is>
          <t>Skilled Nursing and Interm. Care Facility</t>
        </is>
      </c>
      <c r="G802" t="inlineStr">
        <is>
          <t>1260 Travis Boulevard</t>
        </is>
      </c>
      <c r="H802" t="inlineStr">
        <is>
          <t>Fairfield</t>
        </is>
      </c>
      <c r="I802" t="inlineStr">
        <is>
          <t>Solano</t>
        </is>
      </c>
      <c r="J802" t="inlineStr">
        <is>
          <t>Greenfield Care Center of Fairfield</t>
        </is>
      </c>
    </row>
    <row r="803">
      <c r="A803">
        <f>--ISNUMBER(IFERROR(SEARCH($C$5,Inputs!$D803,1),""))</f>
        <v/>
      </c>
      <c r="B803">
        <f>IF(A803=1,COUNTIF($A$6:A803,1),"")</f>
        <v/>
      </c>
      <c r="C803">
        <f>IFERROR(INDEX($D$6:$D$1750,MATCH(ROWS($B$6:B803),$B$6:$B$1750,0)),"")</f>
        <v/>
      </c>
      <c r="D803">
        <f>J803&amp;" ("&amp;E803&amp;")"</f>
        <v/>
      </c>
      <c r="E803" t="n">
        <v>21029</v>
      </c>
      <c r="F803" t="inlineStr">
        <is>
          <t>Skilled Nursing and Interm. Care Facility</t>
        </is>
      </c>
      <c r="G803" t="inlineStr">
        <is>
          <t>101 S Orchard Ave</t>
        </is>
      </c>
      <c r="H803" t="inlineStr">
        <is>
          <t>Vacaville</t>
        </is>
      </c>
      <c r="I803" t="inlineStr">
        <is>
          <t>Solano</t>
        </is>
      </c>
      <c r="J803" t="inlineStr">
        <is>
          <t>Orchard Post Acute Care</t>
        </is>
      </c>
    </row>
    <row r="804">
      <c r="A804">
        <f>--ISNUMBER(IFERROR(SEARCH($C$5,Inputs!$D804,1),""))</f>
        <v/>
      </c>
      <c r="B804">
        <f>IF(A804=1,COUNTIF($A$6:A804,1),"")</f>
        <v/>
      </c>
      <c r="C804">
        <f>IFERROR(INDEX($D$6:$D$1750,MATCH(ROWS($B$6:B804),$B$6:$B$1750,0)),"")</f>
        <v/>
      </c>
      <c r="D804">
        <f>J804&amp;" ("&amp;E804&amp;")"</f>
        <v/>
      </c>
      <c r="E804" t="n">
        <v>21030</v>
      </c>
      <c r="F804" t="inlineStr">
        <is>
          <t>Skilled Nursing and Interm. Care Facility</t>
        </is>
      </c>
      <c r="G804" t="inlineStr">
        <is>
          <t>2200 Tuolumne Street</t>
        </is>
      </c>
      <c r="H804" t="inlineStr">
        <is>
          <t>Vallejo</t>
        </is>
      </c>
      <c r="I804" t="inlineStr">
        <is>
          <t>Solano</t>
        </is>
      </c>
      <c r="J804" t="inlineStr">
        <is>
          <t>Windsor Vallejo Nursing &amp; Rehabilitation Center</t>
        </is>
      </c>
    </row>
    <row r="805">
      <c r="A805">
        <f>--ISNUMBER(IFERROR(SEARCH($C$5,Inputs!$D805,1),""))</f>
        <v/>
      </c>
      <c r="B805">
        <f>IF(A805=1,COUNTIF($A$6:A805,1),"")</f>
        <v/>
      </c>
      <c r="C805">
        <f>IFERROR(INDEX($D$6:$D$1750,MATCH(ROWS($B$6:B805),$B$6:$B$1750,0)),"")</f>
        <v/>
      </c>
      <c r="D805">
        <f>J805&amp;" ("&amp;E805&amp;")"</f>
        <v/>
      </c>
      <c r="E805" t="n">
        <v>21031</v>
      </c>
      <c r="F805" t="inlineStr">
        <is>
          <t>Skilled Nursing and Interm. Care Facility</t>
        </is>
      </c>
      <c r="G805" t="inlineStr">
        <is>
          <t>1244 Travis Boulevard</t>
        </is>
      </c>
      <c r="H805" t="inlineStr">
        <is>
          <t>Fairfield</t>
        </is>
      </c>
      <c r="I805" t="inlineStr">
        <is>
          <t>Solano</t>
        </is>
      </c>
      <c r="J805" t="inlineStr">
        <is>
          <t>La Mariposa Care &amp; Rehabilitation Center</t>
        </is>
      </c>
    </row>
    <row r="806">
      <c r="A806">
        <f>--ISNUMBER(IFERROR(SEARCH($C$5,Inputs!$D806,1),""))</f>
        <v/>
      </c>
      <c r="B806">
        <f>IF(A806=1,COUNTIF($A$6:A806,1),"")</f>
        <v/>
      </c>
      <c r="C806">
        <f>IFERROR(INDEX($D$6:$D$1750,MATCH(ROWS($B$6:B806),$B$6:$B$1750,0)),"")</f>
        <v/>
      </c>
      <c r="D806">
        <f>J806&amp;" ("&amp;E806&amp;")"</f>
        <v/>
      </c>
      <c r="E806" t="n">
        <v>21032</v>
      </c>
      <c r="F806" t="inlineStr">
        <is>
          <t>Skilled Nursing and Interm. Care Facility</t>
        </is>
      </c>
      <c r="G806" t="inlineStr">
        <is>
          <t>446 Arrowood Drive</t>
        </is>
      </c>
      <c r="H806" t="inlineStr">
        <is>
          <t>Santa Rosa</t>
        </is>
      </c>
      <c r="I806" t="inlineStr">
        <is>
          <t>Sonoma</t>
        </is>
      </c>
      <c r="J806" t="inlineStr">
        <is>
          <t>Northvine Postacute Care</t>
        </is>
      </c>
    </row>
    <row r="807">
      <c r="A807">
        <f>--ISNUMBER(IFERROR(SEARCH($C$5,Inputs!$D807,1),""))</f>
        <v/>
      </c>
      <c r="B807">
        <f>IF(A807=1,COUNTIF($A$6:A807,1),"")</f>
        <v/>
      </c>
      <c r="C807">
        <f>IFERROR(INDEX($D$6:$D$1750,MATCH(ROWS($B$6:B807),$B$6:$B$1750,0)),"")</f>
        <v/>
      </c>
      <c r="D807">
        <f>J807&amp;" ("&amp;E807&amp;")"</f>
        <v/>
      </c>
      <c r="E807" t="n">
        <v>21037</v>
      </c>
      <c r="F807" t="inlineStr">
        <is>
          <t>Skilled Nursing and Interm. Care Facility</t>
        </is>
      </c>
      <c r="G807" t="inlineStr">
        <is>
          <t>523 Hayes Lane</t>
        </is>
      </c>
      <c r="H807" t="inlineStr">
        <is>
          <t>Petaluma</t>
        </is>
      </c>
      <c r="I807" t="inlineStr">
        <is>
          <t>Sonoma</t>
        </is>
      </c>
      <c r="J807" t="inlineStr">
        <is>
          <t>Windsor Care Center Of Petaluma</t>
        </is>
      </c>
    </row>
    <row r="808">
      <c r="A808">
        <f>--ISNUMBER(IFERROR(SEARCH($C$5,Inputs!$D808,1),""))</f>
        <v/>
      </c>
      <c r="B808">
        <f>IF(A808=1,COUNTIF($A$6:A808,1),"")</f>
        <v/>
      </c>
      <c r="C808">
        <f>IFERROR(INDEX($D$6:$D$1750,MATCH(ROWS($B$6:B808),$B$6:$B$1750,0)),"")</f>
        <v/>
      </c>
      <c r="D808">
        <f>J808&amp;" ("&amp;E808&amp;")"</f>
        <v/>
      </c>
      <c r="E808" t="n">
        <v>21039</v>
      </c>
      <c r="F808" t="inlineStr">
        <is>
          <t>Skilled Nursing and Interm. Care Facility</t>
        </is>
      </c>
      <c r="G808" t="inlineStr">
        <is>
          <t>725 Grove St</t>
        </is>
      </c>
      <c r="H808" t="inlineStr">
        <is>
          <t>Healdsburg</t>
        </is>
      </c>
      <c r="I808" t="inlineStr">
        <is>
          <t>Sonoma</t>
        </is>
      </c>
      <c r="J808" t="inlineStr">
        <is>
          <t>Healdsburg Senior Living Community</t>
        </is>
      </c>
    </row>
    <row r="809">
      <c r="A809">
        <f>--ISNUMBER(IFERROR(SEARCH($C$5,Inputs!$D809,1),""))</f>
        <v/>
      </c>
      <c r="B809">
        <f>IF(A809=1,COUNTIF($A$6:A809,1),"")</f>
        <v/>
      </c>
      <c r="C809">
        <f>IFERROR(INDEX($D$6:$D$1750,MATCH(ROWS($B$6:B809),$B$6:$B$1750,0)),"")</f>
        <v/>
      </c>
      <c r="D809">
        <f>J809&amp;" ("&amp;E809&amp;")"</f>
        <v/>
      </c>
      <c r="E809" t="n">
        <v>21041</v>
      </c>
      <c r="F809" t="inlineStr">
        <is>
          <t>Skilled Nursing and Interm. Care Facility</t>
        </is>
      </c>
      <c r="G809" t="inlineStr">
        <is>
          <t>1035 Gravenstein Ave</t>
        </is>
      </c>
      <c r="H809" t="inlineStr">
        <is>
          <t>Sebastopol</t>
        </is>
      </c>
      <c r="I809" t="inlineStr">
        <is>
          <t>Sonoma</t>
        </is>
      </c>
      <c r="J809" t="inlineStr">
        <is>
          <t>Apple Valley Post-Acute Rehab</t>
        </is>
      </c>
    </row>
    <row r="810">
      <c r="A810">
        <f>--ISNUMBER(IFERROR(SEARCH($C$5,Inputs!$D810,1),""))</f>
        <v/>
      </c>
      <c r="B810">
        <f>IF(A810=1,COUNTIF($A$6:A810,1),"")</f>
        <v/>
      </c>
      <c r="C810">
        <f>IFERROR(INDEX($D$6:$D$1750,MATCH(ROWS($B$6:B810),$B$6:$B$1750,0)),"")</f>
        <v/>
      </c>
      <c r="D810">
        <f>J810&amp;" ("&amp;E810&amp;")"</f>
        <v/>
      </c>
      <c r="E810" t="n">
        <v>21045</v>
      </c>
      <c r="F810" t="inlineStr">
        <is>
          <t>Skilled Nursing and Interm. Care Facility</t>
        </is>
      </c>
      <c r="G810" t="inlineStr">
        <is>
          <t>4650 Hoen Avenue</t>
        </is>
      </c>
      <c r="H810" t="inlineStr">
        <is>
          <t>Santa Rosa</t>
        </is>
      </c>
      <c r="I810" t="inlineStr">
        <is>
          <t>Sonoma</t>
        </is>
      </c>
      <c r="J810" t="inlineStr">
        <is>
          <t>Santa Rosa Post Acute</t>
        </is>
      </c>
    </row>
    <row r="811">
      <c r="A811">
        <f>--ISNUMBER(IFERROR(SEARCH($C$5,Inputs!$D811,1),""))</f>
        <v/>
      </c>
      <c r="B811">
        <f>IF(A811=1,COUNTIF($A$6:A811,1),"")</f>
        <v/>
      </c>
      <c r="C811">
        <f>IFERROR(INDEX($D$6:$D$1750,MATCH(ROWS($B$6:B811),$B$6:$B$1750,0)),"")</f>
        <v/>
      </c>
      <c r="D811">
        <f>J811&amp;" ("&amp;E811&amp;")"</f>
        <v/>
      </c>
      <c r="E811" t="n">
        <v>21046</v>
      </c>
      <c r="F811" t="inlineStr">
        <is>
          <t>Skilled Nursing and Interm. Care Facility</t>
        </is>
      </c>
      <c r="G811" t="inlineStr">
        <is>
          <t>678 2nd Street West</t>
        </is>
      </c>
      <c r="H811" t="inlineStr">
        <is>
          <t>Sonoma</t>
        </is>
      </c>
      <c r="I811" t="inlineStr">
        <is>
          <t>Sonoma</t>
        </is>
      </c>
      <c r="J811" t="inlineStr">
        <is>
          <t>Sonoma Post Acute</t>
        </is>
      </c>
    </row>
    <row r="812">
      <c r="A812">
        <f>--ISNUMBER(IFERROR(SEARCH($C$5,Inputs!$D812,1),""))</f>
        <v/>
      </c>
      <c r="B812">
        <f>IF(A812=1,COUNTIF($A$6:A812,1),"")</f>
        <v/>
      </c>
      <c r="C812">
        <f>IFERROR(INDEX($D$6:$D$1750,MATCH(ROWS($B$6:B812),$B$6:$B$1750,0)),"")</f>
        <v/>
      </c>
      <c r="D812">
        <f>J812&amp;" ("&amp;E812&amp;")"</f>
        <v/>
      </c>
      <c r="E812" t="n">
        <v>21048</v>
      </c>
      <c r="F812" t="inlineStr">
        <is>
          <t>Skilled Nursing and Interm. Care Facility</t>
        </is>
      </c>
      <c r="G812" t="inlineStr">
        <is>
          <t>300 Cherry Creek Road</t>
        </is>
      </c>
      <c r="H812" t="inlineStr">
        <is>
          <t>Cloverdale</t>
        </is>
      </c>
      <c r="I812" t="inlineStr">
        <is>
          <t>Sonoma</t>
        </is>
      </c>
      <c r="J812" t="inlineStr">
        <is>
          <t>Cloverdale Healthcare Center</t>
        </is>
      </c>
    </row>
    <row r="813">
      <c r="A813">
        <f>--ISNUMBER(IFERROR(SEARCH($C$5,Inputs!$D813,1),""))</f>
        <v/>
      </c>
      <c r="B813">
        <f>IF(A813=1,COUNTIF($A$6:A813,1),"")</f>
        <v/>
      </c>
      <c r="C813">
        <f>IFERROR(INDEX($D$6:$D$1750,MATCH(ROWS($B$6:B813),$B$6:$B$1750,0)),"")</f>
        <v/>
      </c>
      <c r="D813">
        <f>J813&amp;" ("&amp;E813&amp;")"</f>
        <v/>
      </c>
      <c r="E813" t="n">
        <v>21062</v>
      </c>
      <c r="F813" t="inlineStr">
        <is>
          <t>Skilled Nursing and Interm. Care Facility</t>
        </is>
      </c>
      <c r="G813" t="inlineStr">
        <is>
          <t>1250 Broadway</t>
        </is>
      </c>
      <c r="H813" t="inlineStr">
        <is>
          <t>Sonoma</t>
        </is>
      </c>
      <c r="I813" t="inlineStr">
        <is>
          <t>Sonoma</t>
        </is>
      </c>
      <c r="J813" t="inlineStr">
        <is>
          <t>Broadway Villa Post Acute</t>
        </is>
      </c>
    </row>
    <row r="814">
      <c r="A814">
        <f>--ISNUMBER(IFERROR(SEARCH($C$5,Inputs!$D814,1),""))</f>
        <v/>
      </c>
      <c r="B814">
        <f>IF(A814=1,COUNTIF($A$6:A814,1),"")</f>
        <v/>
      </c>
      <c r="C814">
        <f>IFERROR(INDEX($D$6:$D$1750,MATCH(ROWS($B$6:B814),$B$6:$B$1750,0)),"")</f>
        <v/>
      </c>
      <c r="D814">
        <f>J814&amp;" ("&amp;E814&amp;")"</f>
        <v/>
      </c>
      <c r="E814" t="n">
        <v>21068</v>
      </c>
      <c r="F814" t="inlineStr">
        <is>
          <t>Skilled Nursing and Interm. Care Facility</t>
        </is>
      </c>
      <c r="G814" t="inlineStr">
        <is>
          <t>1280 Summerfield Rd</t>
        </is>
      </c>
      <c r="H814" t="inlineStr">
        <is>
          <t>Santa Rosa</t>
        </is>
      </c>
      <c r="I814" t="inlineStr">
        <is>
          <t>Sonoma</t>
        </is>
      </c>
      <c r="J814" t="inlineStr">
        <is>
          <t>Summerfield Healthcare Center</t>
        </is>
      </c>
    </row>
    <row r="815">
      <c r="A815">
        <f>--ISNUMBER(IFERROR(SEARCH($C$5,Inputs!$D815,1),""))</f>
        <v/>
      </c>
      <c r="B815">
        <f>IF(A815=1,COUNTIF($A$6:A815,1),"")</f>
        <v/>
      </c>
      <c r="C815">
        <f>IFERROR(INDEX($D$6:$D$1750,MATCH(ROWS($B$6:B815),$B$6:$B$1750,0)),"")</f>
        <v/>
      </c>
      <c r="D815">
        <f>J815&amp;" ("&amp;E815&amp;")"</f>
        <v/>
      </c>
      <c r="E815" t="n">
        <v>21074</v>
      </c>
      <c r="F815" t="inlineStr">
        <is>
          <t>Skilled Nursing and Interm. Care Facility</t>
        </is>
      </c>
      <c r="G815" t="inlineStr">
        <is>
          <t>3751 Montgomery Dr.</t>
        </is>
      </c>
      <c r="H815" t="inlineStr">
        <is>
          <t>Santa Rosa</t>
        </is>
      </c>
      <c r="I815" t="inlineStr">
        <is>
          <t>Sonoma</t>
        </is>
      </c>
      <c r="J815" t="inlineStr">
        <is>
          <t>Park View Post Acute</t>
        </is>
      </c>
    </row>
    <row r="816">
      <c r="A816">
        <f>--ISNUMBER(IFERROR(SEARCH($C$5,Inputs!$D816,1),""))</f>
        <v/>
      </c>
      <c r="B816">
        <f>IF(A816=1,COUNTIF($A$6:A816,1),"")</f>
        <v/>
      </c>
      <c r="C816">
        <f>IFERROR(INDEX($D$6:$D$1750,MATCH(ROWS($B$6:B816),$B$6:$B$1750,0)),"")</f>
        <v/>
      </c>
      <c r="D816">
        <f>J816&amp;" ("&amp;E816&amp;")"</f>
        <v/>
      </c>
      <c r="E816" t="n">
        <v>21075</v>
      </c>
      <c r="F816" t="inlineStr">
        <is>
          <t>Skilled Nursing and Interm. Care Facility</t>
        </is>
      </c>
      <c r="G816" t="inlineStr">
        <is>
          <t>850 Sonoma Avenue</t>
        </is>
      </c>
      <c r="H816" t="inlineStr">
        <is>
          <t>Santa Rosa</t>
        </is>
      </c>
      <c r="I816" t="inlineStr">
        <is>
          <t>Sonoma</t>
        </is>
      </c>
      <c r="J816" t="inlineStr">
        <is>
          <t>Creekside Rehabilitation &amp; Behavioral Health</t>
        </is>
      </c>
    </row>
    <row r="817">
      <c r="A817">
        <f>--ISNUMBER(IFERROR(SEARCH($C$5,Inputs!$D817,1),""))</f>
        <v/>
      </c>
      <c r="B817">
        <f>IF(A817=1,COUNTIF($A$6:A817,1),"")</f>
        <v/>
      </c>
      <c r="C817">
        <f>IFERROR(INDEX($D$6:$D$1750,MATCH(ROWS($B$6:B817),$B$6:$B$1750,0)),"")</f>
        <v/>
      </c>
      <c r="D817">
        <f>J817&amp;" ("&amp;E817&amp;")"</f>
        <v/>
      </c>
      <c r="E817" t="n">
        <v>21077</v>
      </c>
      <c r="F817" t="inlineStr">
        <is>
          <t>Skilled Nursing and Interm. Care Facility</t>
        </is>
      </c>
      <c r="G817" t="inlineStr">
        <is>
          <t>300 Douglas Street</t>
        </is>
      </c>
      <c r="H817" t="inlineStr">
        <is>
          <t>Petaluma</t>
        </is>
      </c>
      <c r="I817" t="inlineStr">
        <is>
          <t>Sonoma</t>
        </is>
      </c>
      <c r="J817" t="inlineStr">
        <is>
          <t>North Bay Post Acute</t>
        </is>
      </c>
    </row>
    <row r="818">
      <c r="A818">
        <f>--ISNUMBER(IFERROR(SEARCH($C$5,Inputs!$D818,1),""))</f>
        <v/>
      </c>
      <c r="B818">
        <f>IF(A818=1,COUNTIF($A$6:A818,1),"")</f>
        <v/>
      </c>
      <c r="C818">
        <f>IFERROR(INDEX($D$6:$D$1750,MATCH(ROWS($B$6:B818),$B$6:$B$1750,0)),"")</f>
        <v/>
      </c>
      <c r="D818">
        <f>J818&amp;" ("&amp;E818&amp;")"</f>
        <v/>
      </c>
      <c r="E818" t="n">
        <v>21078</v>
      </c>
      <c r="F818" t="inlineStr">
        <is>
          <t>Skilled Nursing and Interm. Care Facility</t>
        </is>
      </c>
      <c r="G818" t="inlineStr">
        <is>
          <t>1115 B Street</t>
        </is>
      </c>
      <c r="H818" t="inlineStr">
        <is>
          <t>Petaluma</t>
        </is>
      </c>
      <c r="I818" t="inlineStr">
        <is>
          <t>Sonoma</t>
        </is>
      </c>
      <c r="J818" t="inlineStr">
        <is>
          <t>Petaluma Post-Acute Rehab</t>
        </is>
      </c>
    </row>
    <row r="819">
      <c r="A819">
        <f>--ISNUMBER(IFERROR(SEARCH($C$5,Inputs!$D819,1),""))</f>
        <v/>
      </c>
      <c r="B819">
        <f>IF(A819=1,COUNTIF($A$6:A819,1),"")</f>
        <v/>
      </c>
      <c r="C819">
        <f>IFERROR(INDEX($D$6:$D$1750,MATCH(ROWS($B$6:B819),$B$6:$B$1750,0)),"")</f>
        <v/>
      </c>
      <c r="D819">
        <f>J819&amp;" ("&amp;E819&amp;")"</f>
        <v/>
      </c>
      <c r="E819" t="n">
        <v>21082</v>
      </c>
      <c r="F819" t="inlineStr">
        <is>
          <t>Skilled Nursing and Interm. Care Facility</t>
        </is>
      </c>
      <c r="G819" t="inlineStr">
        <is>
          <t>1745 Eldena Way</t>
        </is>
      </c>
      <c r="H819" t="inlineStr">
        <is>
          <t>Modesto</t>
        </is>
      </c>
      <c r="I819" t="inlineStr">
        <is>
          <t>Stanislaus</t>
        </is>
      </c>
      <c r="J819" t="inlineStr">
        <is>
          <t>Casa De Modesto</t>
        </is>
      </c>
    </row>
    <row r="820">
      <c r="A820">
        <f>--ISNUMBER(IFERROR(SEARCH($C$5,Inputs!$D820,1),""))</f>
        <v/>
      </c>
      <c r="B820">
        <f>IF(A820=1,COUNTIF($A$6:A820,1),"")</f>
        <v/>
      </c>
      <c r="C820">
        <f>IFERROR(INDEX($D$6:$D$1750,MATCH(ROWS($B$6:B820),$B$6:$B$1750,0)),"")</f>
        <v/>
      </c>
      <c r="D820">
        <f>J820&amp;" ("&amp;E820&amp;")"</f>
        <v/>
      </c>
      <c r="E820" t="n">
        <v>21083</v>
      </c>
      <c r="F820" t="inlineStr">
        <is>
          <t>Skilled Nursing and Interm. Care Facility</t>
        </is>
      </c>
      <c r="G820" t="inlineStr">
        <is>
          <t>1310 West Granger Avenue</t>
        </is>
      </c>
      <c r="H820" t="inlineStr">
        <is>
          <t>Modesto</t>
        </is>
      </c>
      <c r="I820" t="inlineStr">
        <is>
          <t>Stanislaus</t>
        </is>
      </c>
      <c r="J820" t="inlineStr">
        <is>
          <t>Garden City Healthcare Center</t>
        </is>
      </c>
    </row>
    <row r="821">
      <c r="A821">
        <f>--ISNUMBER(IFERROR(SEARCH($C$5,Inputs!$D821,1),""))</f>
        <v/>
      </c>
      <c r="B821">
        <f>IF(A821=1,COUNTIF($A$6:A821,1),"")</f>
        <v/>
      </c>
      <c r="C821">
        <f>IFERROR(INDEX($D$6:$D$1750,MATCH(ROWS($B$6:B821),$B$6:$B$1750,0)),"")</f>
        <v/>
      </c>
      <c r="D821">
        <f>J821&amp;" ("&amp;E821&amp;")"</f>
        <v/>
      </c>
      <c r="E821" t="n">
        <v>21086</v>
      </c>
      <c r="F821" t="inlineStr">
        <is>
          <t>Skilled Nursing and Interm. Care Facility</t>
        </is>
      </c>
      <c r="G821" t="inlineStr">
        <is>
          <t>1611 Scenic Drive</t>
        </is>
      </c>
      <c r="H821" t="inlineStr">
        <is>
          <t>Modesto</t>
        </is>
      </c>
      <c r="I821" t="inlineStr">
        <is>
          <t>Stanislaus</t>
        </is>
      </c>
      <c r="J821" t="inlineStr">
        <is>
          <t>Acacia Park Nursing &amp; Rehabilitation Center</t>
        </is>
      </c>
    </row>
    <row r="822">
      <c r="A822">
        <f>--ISNUMBER(IFERROR(SEARCH($C$5,Inputs!$D822,1),""))</f>
        <v/>
      </c>
      <c r="B822">
        <f>IF(A822=1,COUNTIF($A$6:A822,1),"")</f>
        <v/>
      </c>
      <c r="C822">
        <f>IFERROR(INDEX($D$6:$D$1750,MATCH(ROWS($B$6:B822),$B$6:$B$1750,0)),"")</f>
        <v/>
      </c>
      <c r="D822">
        <f>J822&amp;" ("&amp;E822&amp;")"</f>
        <v/>
      </c>
      <c r="E822" t="n">
        <v>21088</v>
      </c>
      <c r="F822" t="inlineStr">
        <is>
          <t>Skilled Nursing and Interm. Care Facility</t>
        </is>
      </c>
      <c r="G822" t="inlineStr">
        <is>
          <t>180 Starr Ave</t>
        </is>
      </c>
      <c r="H822" t="inlineStr">
        <is>
          <t>Turlock</t>
        </is>
      </c>
      <c r="I822" t="inlineStr">
        <is>
          <t>Stanislaus</t>
        </is>
      </c>
      <c r="J822" t="inlineStr">
        <is>
          <t>North Starr Postacute Care</t>
        </is>
      </c>
    </row>
    <row r="823">
      <c r="A823">
        <f>--ISNUMBER(IFERROR(SEARCH($C$5,Inputs!$D823,1),""))</f>
        <v/>
      </c>
      <c r="B823">
        <f>IF(A823=1,COUNTIF($A$6:A823,1),"")</f>
        <v/>
      </c>
      <c r="C823">
        <f>IFERROR(INDEX($D$6:$D$1750,MATCH(ROWS($B$6:B823),$B$6:$B$1750,0)),"")</f>
        <v/>
      </c>
      <c r="D823">
        <f>J823&amp;" ("&amp;E823&amp;")"</f>
        <v/>
      </c>
      <c r="E823" t="n">
        <v>21089</v>
      </c>
      <c r="F823" t="inlineStr">
        <is>
          <t>Skilled Nursing and Interm. Care Facility</t>
        </is>
      </c>
      <c r="G823" t="inlineStr">
        <is>
          <t>812 W Main St</t>
        </is>
      </c>
      <c r="H823" t="inlineStr">
        <is>
          <t>Turlock</t>
        </is>
      </c>
      <c r="I823" t="inlineStr">
        <is>
          <t>Stanislaus</t>
        </is>
      </c>
      <c r="J823" t="inlineStr">
        <is>
          <t>Main West Postacute Care</t>
        </is>
      </c>
    </row>
    <row r="824">
      <c r="A824">
        <f>--ISNUMBER(IFERROR(SEARCH($C$5,Inputs!$D824,1),""))</f>
        <v/>
      </c>
      <c r="B824">
        <f>IF(A824=1,COUNTIF($A$6:A824,1),"")</f>
        <v/>
      </c>
      <c r="C824">
        <f>IFERROR(INDEX($D$6:$D$1750,MATCH(ROWS($B$6:B824),$B$6:$B$1750,0)),"")</f>
        <v/>
      </c>
      <c r="D824">
        <f>J824&amp;" ("&amp;E824&amp;")"</f>
        <v/>
      </c>
      <c r="E824" t="n">
        <v>21091</v>
      </c>
      <c r="F824" t="inlineStr">
        <is>
          <t>Skilled Nursing and Interm. Care Facility</t>
        </is>
      </c>
      <c r="G824" t="inlineStr">
        <is>
          <t>1801 N Olive Ave</t>
        </is>
      </c>
      <c r="H824" t="inlineStr">
        <is>
          <t>Turlock</t>
        </is>
      </c>
      <c r="I824" t="inlineStr">
        <is>
          <t>Stanislaus</t>
        </is>
      </c>
      <c r="J824" t="inlineStr">
        <is>
          <t>Brandel Manor</t>
        </is>
      </c>
    </row>
    <row r="825">
      <c r="A825">
        <f>--ISNUMBER(IFERROR(SEARCH($C$5,Inputs!$D825,1),""))</f>
        <v/>
      </c>
      <c r="B825">
        <f>IF(A825=1,COUNTIF($A$6:A825,1),"")</f>
        <v/>
      </c>
      <c r="C825">
        <f>IFERROR(INDEX($D$6:$D$1750,MATCH(ROWS($B$6:B825),$B$6:$B$1750,0)),"")</f>
        <v/>
      </c>
      <c r="D825">
        <f>J825&amp;" ("&amp;E825&amp;")"</f>
        <v/>
      </c>
      <c r="E825" t="n">
        <v>21092</v>
      </c>
      <c r="F825" t="inlineStr">
        <is>
          <t>Skilled Nursing and Interm. Care Facility</t>
        </is>
      </c>
      <c r="G825" t="inlineStr">
        <is>
          <t>2030 Evergreen Avenue</t>
        </is>
      </c>
      <c r="H825" t="inlineStr">
        <is>
          <t>Modesto</t>
        </is>
      </c>
      <c r="I825" t="inlineStr">
        <is>
          <t>Stanislaus</t>
        </is>
      </c>
      <c r="J825" t="inlineStr">
        <is>
          <t>Almond Vista Healthcare</t>
        </is>
      </c>
    </row>
    <row r="826">
      <c r="A826">
        <f>--ISNUMBER(IFERROR(SEARCH($C$5,Inputs!$D826,1),""))</f>
        <v/>
      </c>
      <c r="B826">
        <f>IF(A826=1,COUNTIF($A$6:A826,1),"")</f>
        <v/>
      </c>
      <c r="C826">
        <f>IFERROR(INDEX($D$6:$D$1750,MATCH(ROWS($B$6:B826),$B$6:$B$1750,0)),"")</f>
        <v/>
      </c>
      <c r="D826">
        <f>J826&amp;" ("&amp;E826&amp;")"</f>
        <v/>
      </c>
      <c r="E826" t="n">
        <v>21094</v>
      </c>
      <c r="F826" t="inlineStr">
        <is>
          <t>Skilled Nursing and Interm. Care Facility</t>
        </is>
      </c>
      <c r="G826" t="inlineStr">
        <is>
          <t>515 E Orangeburg Ave</t>
        </is>
      </c>
      <c r="H826" t="inlineStr">
        <is>
          <t>Modesto</t>
        </is>
      </c>
      <c r="I826" t="inlineStr">
        <is>
          <t>Stanislaus</t>
        </is>
      </c>
      <c r="J826" t="inlineStr">
        <is>
          <t>Valley Skilled Nursing Center</t>
        </is>
      </c>
    </row>
    <row r="827">
      <c r="A827">
        <f>--ISNUMBER(IFERROR(SEARCH($C$5,Inputs!$D827,1),""))</f>
        <v/>
      </c>
      <c r="B827">
        <f>IF(A827=1,COUNTIF($A$6:A827,1),"")</f>
        <v/>
      </c>
      <c r="C827">
        <f>IFERROR(INDEX($D$6:$D$1750,MATCH(ROWS($B$6:B827),$B$6:$B$1750,0)),"")</f>
        <v/>
      </c>
      <c r="D827">
        <f>J827&amp;" ("&amp;E827&amp;")"</f>
        <v/>
      </c>
      <c r="E827" t="n">
        <v>21101</v>
      </c>
      <c r="F827" t="inlineStr">
        <is>
          <t>Skilled Nursing and Interm. Care Facility</t>
        </is>
      </c>
      <c r="G827" t="inlineStr">
        <is>
          <t>2649 Topeka St</t>
        </is>
      </c>
      <c r="H827" t="inlineStr">
        <is>
          <t>Riverbank</t>
        </is>
      </c>
      <c r="I827" t="inlineStr">
        <is>
          <t>Stanislaus</t>
        </is>
      </c>
      <c r="J827" t="inlineStr">
        <is>
          <t>Central Valley Post Acute</t>
        </is>
      </c>
    </row>
    <row r="828">
      <c r="A828">
        <f>--ISNUMBER(IFERROR(SEARCH($C$5,Inputs!$D828,1),""))</f>
        <v/>
      </c>
      <c r="B828">
        <f>IF(A828=1,COUNTIF($A$6:A828,1),"")</f>
        <v/>
      </c>
      <c r="C828">
        <f>IFERROR(INDEX($D$6:$D$1750,MATCH(ROWS($B$6:B828),$B$6:$B$1750,0)),"")</f>
        <v/>
      </c>
      <c r="D828">
        <f>J828&amp;" ("&amp;E828&amp;")"</f>
        <v/>
      </c>
      <c r="E828" t="n">
        <v>21102</v>
      </c>
      <c r="F828" t="inlineStr">
        <is>
          <t>Skilled Nursing and Interm. Care Facility</t>
        </is>
      </c>
      <c r="G828" t="inlineStr">
        <is>
          <t>709 N Street</t>
        </is>
      </c>
      <c r="H828" t="inlineStr">
        <is>
          <t>Newman</t>
        </is>
      </c>
      <c r="I828" t="inlineStr">
        <is>
          <t>Stanislaus</t>
        </is>
      </c>
      <c r="J828" t="inlineStr">
        <is>
          <t>San Luis Care Center</t>
        </is>
      </c>
    </row>
    <row r="829">
      <c r="A829">
        <f>--ISNUMBER(IFERROR(SEARCH($C$5,Inputs!$D829,1),""))</f>
        <v/>
      </c>
      <c r="B829">
        <f>IF(A829=1,COUNTIF($A$6:A829,1),"")</f>
        <v/>
      </c>
      <c r="C829">
        <f>IFERROR(INDEX($D$6:$D$1750,MATCH(ROWS($B$6:B829),$B$6:$B$1750,0)),"")</f>
        <v/>
      </c>
      <c r="D829">
        <f>J829&amp;" ("&amp;E829&amp;")"</f>
        <v/>
      </c>
      <c r="E829" t="n">
        <v>21109</v>
      </c>
      <c r="F829" t="inlineStr">
        <is>
          <t>Skilled Nursing and Interm. Care Facility</t>
        </is>
      </c>
      <c r="G829" t="inlineStr">
        <is>
          <t>1711 Richland Ave</t>
        </is>
      </c>
      <c r="H829" t="inlineStr">
        <is>
          <t>Ceres</t>
        </is>
      </c>
      <c r="I829" t="inlineStr">
        <is>
          <t>Stanislaus</t>
        </is>
      </c>
      <c r="J829" t="inlineStr">
        <is>
          <t>Ceres Postacute Care</t>
        </is>
      </c>
    </row>
    <row r="830">
      <c r="A830">
        <f>--ISNUMBER(IFERROR(SEARCH($C$5,Inputs!$D830,1),""))</f>
        <v/>
      </c>
      <c r="B830">
        <f>IF(A830=1,COUNTIF($A$6:A830,1),"")</f>
        <v/>
      </c>
      <c r="C830">
        <f>IFERROR(INDEX($D$6:$D$1750,MATCH(ROWS($B$6:B830),$B$6:$B$1750,0)),"")</f>
        <v/>
      </c>
      <c r="D830">
        <f>J830&amp;" ("&amp;E830&amp;")"</f>
        <v/>
      </c>
      <c r="E830" t="n">
        <v>21110</v>
      </c>
      <c r="F830" t="inlineStr">
        <is>
          <t>Skilled Nursing and Interm. Care Facility</t>
        </is>
      </c>
      <c r="G830" t="inlineStr">
        <is>
          <t>159 East Orangeburg Avenue</t>
        </is>
      </c>
      <c r="H830" t="inlineStr">
        <is>
          <t>Modesto</t>
        </is>
      </c>
      <c r="I830" t="inlineStr">
        <is>
          <t>Stanislaus</t>
        </is>
      </c>
      <c r="J830" t="inlineStr">
        <is>
          <t>Modesto Post Acute Center</t>
        </is>
      </c>
    </row>
    <row r="831">
      <c r="A831">
        <f>--ISNUMBER(IFERROR(SEARCH($C$5,Inputs!$D831,1),""))</f>
        <v/>
      </c>
      <c r="B831">
        <f>IF(A831=1,COUNTIF($A$6:A831,1),"")</f>
        <v/>
      </c>
      <c r="C831">
        <f>IFERROR(INDEX($D$6:$D$1750,MATCH(ROWS($B$6:B831),$B$6:$B$1750,0)),"")</f>
        <v/>
      </c>
      <c r="D831">
        <f>J831&amp;" ("&amp;E831&amp;")"</f>
        <v/>
      </c>
      <c r="E831" t="n">
        <v>21112</v>
      </c>
      <c r="F831" t="inlineStr">
        <is>
          <t>Skilled Nursing and Interm. Care Facility</t>
        </is>
      </c>
      <c r="G831" t="inlineStr">
        <is>
          <t>1220 Plumas Street</t>
        </is>
      </c>
      <c r="H831" t="inlineStr">
        <is>
          <t>Yuba City</t>
        </is>
      </c>
      <c r="I831" t="inlineStr">
        <is>
          <t>Sutter</t>
        </is>
      </c>
      <c r="J831" t="inlineStr">
        <is>
          <t>Yuba City Post Acute</t>
        </is>
      </c>
    </row>
    <row r="832">
      <c r="A832">
        <f>--ISNUMBER(IFERROR(SEARCH($C$5,Inputs!$D832,1),""))</f>
        <v/>
      </c>
      <c r="B832">
        <f>IF(A832=1,COUNTIF($A$6:A832,1),"")</f>
        <v/>
      </c>
      <c r="C832">
        <f>IFERROR(INDEX($D$6:$D$1750,MATCH(ROWS($B$6:B832),$B$6:$B$1750,0)),"")</f>
        <v/>
      </c>
      <c r="D832">
        <f>J832&amp;" ("&amp;E832&amp;")"</f>
        <v/>
      </c>
      <c r="E832" t="n">
        <v>21118</v>
      </c>
      <c r="F832" t="inlineStr">
        <is>
          <t>Skilled Nursing and Interm. Care Facility</t>
        </is>
      </c>
      <c r="G832" t="inlineStr">
        <is>
          <t>1795 Walnut Street</t>
        </is>
      </c>
      <c r="H832" t="inlineStr">
        <is>
          <t>Red Bluff</t>
        </is>
      </c>
      <c r="I832" t="inlineStr">
        <is>
          <t>Tehama</t>
        </is>
      </c>
      <c r="J832" t="inlineStr">
        <is>
          <t>Brentwood Post Acute</t>
        </is>
      </c>
    </row>
    <row r="833">
      <c r="A833">
        <f>--ISNUMBER(IFERROR(SEARCH($C$5,Inputs!$D833,1),""))</f>
        <v/>
      </c>
      <c r="B833">
        <f>IF(A833=1,COUNTIF($A$6:A833,1),"")</f>
        <v/>
      </c>
      <c r="C833">
        <f>IFERROR(INDEX($D$6:$D$1750,MATCH(ROWS($B$6:B833),$B$6:$B$1750,0)),"")</f>
        <v/>
      </c>
      <c r="D833">
        <f>J833&amp;" ("&amp;E833&amp;")"</f>
        <v/>
      </c>
      <c r="E833" t="n">
        <v>21119</v>
      </c>
      <c r="F833" t="inlineStr">
        <is>
          <t>Skilled Nursing and Interm. Care Facility</t>
        </is>
      </c>
      <c r="G833" t="inlineStr">
        <is>
          <t>555 Luther Road</t>
        </is>
      </c>
      <c r="H833" t="inlineStr">
        <is>
          <t>Red Bluff</t>
        </is>
      </c>
      <c r="I833" t="inlineStr">
        <is>
          <t>Tehama</t>
        </is>
      </c>
      <c r="J833" t="inlineStr">
        <is>
          <t>Red Bluff Health Care Center</t>
        </is>
      </c>
    </row>
    <row r="834">
      <c r="A834">
        <f>--ISNUMBER(IFERROR(SEARCH($C$5,Inputs!$D834,1),""))</f>
        <v/>
      </c>
      <c r="B834">
        <f>IF(A834=1,COUNTIF($A$6:A834,1),"")</f>
        <v/>
      </c>
      <c r="C834">
        <f>IFERROR(INDEX($D$6:$D$1750,MATCH(ROWS($B$6:B834),$B$6:$B$1750,0)),"")</f>
        <v/>
      </c>
      <c r="D834">
        <f>J834&amp;" ("&amp;E834&amp;")"</f>
        <v/>
      </c>
      <c r="E834" t="n">
        <v>21127</v>
      </c>
      <c r="F834" t="inlineStr">
        <is>
          <t>Skilled Nursing and Interm. Care Facility</t>
        </is>
      </c>
      <c r="G834" t="inlineStr">
        <is>
          <t>1730 S College Ave</t>
        </is>
      </c>
      <c r="H834" t="inlineStr">
        <is>
          <t>Dinuba</t>
        </is>
      </c>
      <c r="I834" t="inlineStr">
        <is>
          <t>Tulare</t>
        </is>
      </c>
      <c r="J834" t="inlineStr">
        <is>
          <t>Dinuba Healthcare</t>
        </is>
      </c>
    </row>
    <row r="835">
      <c r="A835">
        <f>--ISNUMBER(IFERROR(SEARCH($C$5,Inputs!$D835,1),""))</f>
        <v/>
      </c>
      <c r="B835">
        <f>IF(A835=1,COUNTIF($A$6:A835,1),"")</f>
        <v/>
      </c>
      <c r="C835">
        <f>IFERROR(INDEX($D$6:$D$1750,MATCH(ROWS($B$6:B835),$B$6:$B$1750,0)),"")</f>
        <v/>
      </c>
      <c r="D835">
        <f>J835&amp;" ("&amp;E835&amp;")"</f>
        <v/>
      </c>
      <c r="E835" t="n">
        <v>21129</v>
      </c>
      <c r="F835" t="inlineStr">
        <is>
          <t>Skilled Nursing and Interm. Care Facility</t>
        </is>
      </c>
      <c r="G835" t="inlineStr">
        <is>
          <t>301 W Putnam Ave</t>
        </is>
      </c>
      <c r="H835" t="inlineStr">
        <is>
          <t>Porterville</t>
        </is>
      </c>
      <c r="I835" t="inlineStr">
        <is>
          <t>Tulare</t>
        </is>
      </c>
      <c r="J835" t="inlineStr">
        <is>
          <t>Sierra Valley Rehabilitation Center</t>
        </is>
      </c>
    </row>
    <row r="836">
      <c r="A836">
        <f>--ISNUMBER(IFERROR(SEARCH($C$5,Inputs!$D836,1),""))</f>
        <v/>
      </c>
      <c r="B836">
        <f>IF(A836=1,COUNTIF($A$6:A836,1),"")</f>
        <v/>
      </c>
      <c r="C836">
        <f>IFERROR(INDEX($D$6:$D$1750,MATCH(ROWS($B$6:B836),$B$6:$B$1750,0)),"")</f>
        <v/>
      </c>
      <c r="D836">
        <f>J836&amp;" ("&amp;E836&amp;")"</f>
        <v/>
      </c>
      <c r="E836" t="n">
        <v>21132</v>
      </c>
      <c r="F836" t="inlineStr">
        <is>
          <t>Skilled Nursing and Interm. Care Facility</t>
        </is>
      </c>
      <c r="G836" t="inlineStr">
        <is>
          <t>3710 West Tulare Avenue</t>
        </is>
      </c>
      <c r="H836" t="inlineStr">
        <is>
          <t>Visalia</t>
        </is>
      </c>
      <c r="I836" t="inlineStr">
        <is>
          <t>Tulare</t>
        </is>
      </c>
      <c r="J836" t="inlineStr">
        <is>
          <t>Kaweah Manor Convalescent Hospital</t>
        </is>
      </c>
    </row>
    <row r="837">
      <c r="A837">
        <f>--ISNUMBER(IFERROR(SEARCH($C$5,Inputs!$D837,1),""))</f>
        <v/>
      </c>
      <c r="B837">
        <f>IF(A837=1,COUNTIF($A$6:A837,1),"")</f>
        <v/>
      </c>
      <c r="C837">
        <f>IFERROR(INDEX($D$6:$D$1750,MATCH(ROWS($B$6:B837),$B$6:$B$1750,0)),"")</f>
        <v/>
      </c>
      <c r="D837">
        <f>J837&amp;" ("&amp;E837&amp;")"</f>
        <v/>
      </c>
      <c r="E837" t="n">
        <v>21135</v>
      </c>
      <c r="F837" t="inlineStr">
        <is>
          <t>Skilled Nursing and Interm. Care Facility</t>
        </is>
      </c>
      <c r="G837" t="inlineStr">
        <is>
          <t>514 North Bridge Street</t>
        </is>
      </c>
      <c r="H837" t="inlineStr">
        <is>
          <t>Visalia</t>
        </is>
      </c>
      <c r="I837" t="inlineStr">
        <is>
          <t>Tulare</t>
        </is>
      </c>
      <c r="J837" t="inlineStr">
        <is>
          <t>Delta Nursing &amp; Rehabilitation Center</t>
        </is>
      </c>
    </row>
    <row r="838">
      <c r="A838">
        <f>--ISNUMBER(IFERROR(SEARCH($C$5,Inputs!$D838,1),""))</f>
        <v/>
      </c>
      <c r="B838">
        <f>IF(A838=1,COUNTIF($A$6:A838,1),"")</f>
        <v/>
      </c>
      <c r="C838">
        <f>IFERROR(INDEX($D$6:$D$1750,MATCH(ROWS($B$6:B838),$B$6:$B$1750,0)),"")</f>
        <v/>
      </c>
      <c r="D838">
        <f>J838&amp;" ("&amp;E838&amp;")"</f>
        <v/>
      </c>
      <c r="E838" t="n">
        <v>21146</v>
      </c>
      <c r="F838" t="inlineStr">
        <is>
          <t>Skilled Nursing and Interm. Care Facility</t>
        </is>
      </c>
      <c r="G838" t="inlineStr">
        <is>
          <t>680 East Merritt Avenue</t>
        </is>
      </c>
      <c r="H838" t="inlineStr">
        <is>
          <t>Tulare</t>
        </is>
      </c>
      <c r="I838" t="inlineStr">
        <is>
          <t>Tulare</t>
        </is>
      </c>
      <c r="J838" t="inlineStr">
        <is>
          <t>Tulare Nursing &amp; Rehabilitation Center</t>
        </is>
      </c>
    </row>
    <row r="839">
      <c r="A839">
        <f>--ISNUMBER(IFERROR(SEARCH($C$5,Inputs!$D839,1),""))</f>
        <v/>
      </c>
      <c r="B839">
        <f>IF(A839=1,COUNTIF($A$6:A839,1),"")</f>
        <v/>
      </c>
      <c r="C839">
        <f>IFERROR(INDEX($D$6:$D$1750,MATCH(ROWS($B$6:B839),$B$6:$B$1750,0)),"")</f>
        <v/>
      </c>
      <c r="D839">
        <f>J839&amp;" ("&amp;E839&amp;")"</f>
        <v/>
      </c>
      <c r="E839" t="n">
        <v>21147</v>
      </c>
      <c r="F839" t="inlineStr">
        <is>
          <t>Skilled Nursing and Interm. Care Facility</t>
        </is>
      </c>
      <c r="G839" t="inlineStr">
        <is>
          <t>661 West Poplar Avenue</t>
        </is>
      </c>
      <c r="H839" t="inlineStr">
        <is>
          <t>Porterville</t>
        </is>
      </c>
      <c r="I839" t="inlineStr">
        <is>
          <t>Tulare</t>
        </is>
      </c>
      <c r="J839" t="inlineStr">
        <is>
          <t>Gateway Post Acute</t>
        </is>
      </c>
    </row>
    <row r="840">
      <c r="A840">
        <f>--ISNUMBER(IFERROR(SEARCH($C$5,Inputs!$D840,1),""))</f>
        <v/>
      </c>
      <c r="B840">
        <f>IF(A840=1,COUNTIF($A$6:A840,1),"")</f>
        <v/>
      </c>
      <c r="C840">
        <f>IFERROR(INDEX($D$6:$D$1750,MATCH(ROWS($B$6:B840),$B$6:$B$1750,0)),"")</f>
        <v/>
      </c>
      <c r="D840">
        <f>J840&amp;" ("&amp;E840&amp;")"</f>
        <v/>
      </c>
      <c r="E840" t="n">
        <v>21148</v>
      </c>
      <c r="F840" t="inlineStr">
        <is>
          <t>Skilled Nursing and Interm. Care Facility</t>
        </is>
      </c>
      <c r="G840" t="inlineStr">
        <is>
          <t>350 North Villa Street</t>
        </is>
      </c>
      <c r="H840" t="inlineStr">
        <is>
          <t>Porterville</t>
        </is>
      </c>
      <c r="I840" t="inlineStr">
        <is>
          <t>Tulare</t>
        </is>
      </c>
      <c r="J840" t="inlineStr">
        <is>
          <t>Sequoia Transitional Care</t>
        </is>
      </c>
    </row>
    <row r="841">
      <c r="A841">
        <f>--ISNUMBER(IFERROR(SEARCH($C$5,Inputs!$D841,1),""))</f>
        <v/>
      </c>
      <c r="B841">
        <f>IF(A841=1,COUNTIF($A$6:A841,1),"")</f>
        <v/>
      </c>
      <c r="C841">
        <f>IFERROR(INDEX($D$6:$D$1750,MATCH(ROWS($B$6:B841),$B$6:$B$1750,0)),"")</f>
        <v/>
      </c>
      <c r="D841">
        <f>J841&amp;" ("&amp;E841&amp;")"</f>
        <v/>
      </c>
      <c r="E841" t="n">
        <v>21149</v>
      </c>
      <c r="F841" t="inlineStr">
        <is>
          <t>Skilled Nursing and Interm. Care Facility</t>
        </is>
      </c>
      <c r="G841" t="inlineStr">
        <is>
          <t>1925 E Houston Ave</t>
        </is>
      </c>
      <c r="H841" t="inlineStr">
        <is>
          <t>Visalia</t>
        </is>
      </c>
      <c r="I841" t="inlineStr">
        <is>
          <t>Tulare</t>
        </is>
      </c>
      <c r="J841" t="inlineStr">
        <is>
          <t>Redwood Springs Healthcare Center</t>
        </is>
      </c>
    </row>
    <row r="842">
      <c r="A842">
        <f>--ISNUMBER(IFERROR(SEARCH($C$5,Inputs!$D842,1),""))</f>
        <v/>
      </c>
      <c r="B842">
        <f>IF(A842=1,COUNTIF($A$6:A842,1),"")</f>
        <v/>
      </c>
      <c r="C842">
        <f>IFERROR(INDEX($D$6:$D$1750,MATCH(ROWS($B$6:B842),$B$6:$B$1750,0)),"")</f>
        <v/>
      </c>
      <c r="D842">
        <f>J842&amp;" ("&amp;E842&amp;")"</f>
        <v/>
      </c>
      <c r="E842" t="n">
        <v>21153</v>
      </c>
      <c r="F842" t="inlineStr">
        <is>
          <t>Skilled Nursing and Interm. Care Facility</t>
        </is>
      </c>
      <c r="G842" t="inlineStr">
        <is>
          <t>179 Fairview Lane</t>
        </is>
      </c>
      <c r="H842" t="inlineStr">
        <is>
          <t>Sonora</t>
        </is>
      </c>
      <c r="I842" t="inlineStr">
        <is>
          <t>Tuolumne</t>
        </is>
      </c>
      <c r="J842" t="inlineStr">
        <is>
          <t>Adventist Health Sonora - D/P SNF (Unit 6 and 7)</t>
        </is>
      </c>
    </row>
    <row r="843">
      <c r="A843">
        <f>--ISNUMBER(IFERROR(SEARCH($C$5,Inputs!$D843,1),""))</f>
        <v/>
      </c>
      <c r="B843">
        <f>IF(A843=1,COUNTIF($A$6:A843,1),"")</f>
        <v/>
      </c>
      <c r="C843">
        <f>IFERROR(INDEX($D$6:$D$1750,MATCH(ROWS($B$6:B843),$B$6:$B$1750,0)),"")</f>
        <v/>
      </c>
      <c r="D843">
        <f>J843&amp;" ("&amp;E843&amp;")"</f>
        <v/>
      </c>
      <c r="E843" t="n">
        <v>21155</v>
      </c>
      <c r="F843" t="inlineStr">
        <is>
          <t>Skilled Nursing and Interm. Care Facility</t>
        </is>
      </c>
      <c r="G843" t="inlineStr">
        <is>
          <t>601 N Montgomery St</t>
        </is>
      </c>
      <c r="H843" t="inlineStr">
        <is>
          <t>Ojai</t>
        </is>
      </c>
      <c r="I843" t="inlineStr">
        <is>
          <t>Ventura</t>
        </is>
      </c>
      <c r="J843" t="inlineStr">
        <is>
          <t>Ojai Health &amp; Rehabilitation</t>
        </is>
      </c>
    </row>
    <row r="844">
      <c r="A844">
        <f>--ISNUMBER(IFERROR(SEARCH($C$5,Inputs!$D844,1),""))</f>
        <v/>
      </c>
      <c r="B844">
        <f>IF(A844=1,COUNTIF($A$6:A844,1),"")</f>
        <v/>
      </c>
      <c r="C844">
        <f>IFERROR(INDEX($D$6:$D$1750,MATCH(ROWS($B$6:B844),$B$6:$B$1750,0)),"")</f>
        <v/>
      </c>
      <c r="D844">
        <f>J844&amp;" ("&amp;E844&amp;")"</f>
        <v/>
      </c>
      <c r="E844" t="n">
        <v>21157</v>
      </c>
      <c r="F844" t="inlineStr">
        <is>
          <t>Skilled Nursing and Interm. Care Facility</t>
        </is>
      </c>
      <c r="G844" t="inlineStr">
        <is>
          <t>4020 Loma Vista Road</t>
        </is>
      </c>
      <c r="H844" t="inlineStr">
        <is>
          <t>Ventura</t>
        </is>
      </c>
      <c r="I844" t="inlineStr">
        <is>
          <t>Ventura</t>
        </is>
      </c>
      <c r="J844" t="inlineStr">
        <is>
          <t>Ventura Post Acute</t>
        </is>
      </c>
    </row>
    <row r="845">
      <c r="A845">
        <f>--ISNUMBER(IFERROR(SEARCH($C$5,Inputs!$D845,1),""))</f>
        <v/>
      </c>
      <c r="B845">
        <f>IF(A845=1,COUNTIF($A$6:A845,1),"")</f>
        <v/>
      </c>
      <c r="C845">
        <f>IFERROR(INDEX($D$6:$D$1750,MATCH(ROWS($B$6:B845),$B$6:$B$1750,0)),"")</f>
        <v/>
      </c>
      <c r="D845">
        <f>J845&amp;" ("&amp;E845&amp;")"</f>
        <v/>
      </c>
      <c r="E845" t="n">
        <v>21166</v>
      </c>
      <c r="F845" t="inlineStr">
        <is>
          <t>Skilled Nursing and Interm. Care Facility</t>
        </is>
      </c>
      <c r="G845" t="inlineStr">
        <is>
          <t>2929 Theresa Drive</t>
        </is>
      </c>
      <c r="H845" t="inlineStr">
        <is>
          <t>Newbury Park</t>
        </is>
      </c>
      <c r="I845" t="inlineStr">
        <is>
          <t>Ventura</t>
        </is>
      </c>
      <c r="J845" t="inlineStr">
        <is>
          <t>Mary Health Of The Sick Convalescent &amp; Nursing Hospital</t>
        </is>
      </c>
    </row>
    <row r="846">
      <c r="A846">
        <f>--ISNUMBER(IFERROR(SEARCH($C$5,Inputs!$D846,1),""))</f>
        <v/>
      </c>
      <c r="B846">
        <f>IF(A846=1,COUNTIF($A$6:A846,1),"")</f>
        <v/>
      </c>
      <c r="C846">
        <f>IFERROR(INDEX($D$6:$D$1750,MATCH(ROWS($B$6:B846),$B$6:$B$1750,0)),"")</f>
        <v/>
      </c>
      <c r="D846">
        <f>J846&amp;" ("&amp;E846&amp;")"</f>
        <v/>
      </c>
      <c r="E846" t="n">
        <v>21167</v>
      </c>
      <c r="F846" t="inlineStr">
        <is>
          <t>Skilled Nursing and Interm. Care Facility</t>
        </is>
      </c>
      <c r="G846" t="inlineStr">
        <is>
          <t>2641 South C Street</t>
        </is>
      </c>
      <c r="H846" t="inlineStr">
        <is>
          <t>Oxnard</t>
        </is>
      </c>
      <c r="I846" t="inlineStr">
        <is>
          <t>Ventura</t>
        </is>
      </c>
      <c r="J846" t="inlineStr">
        <is>
          <t>Maywood Acres Healthcare</t>
        </is>
      </c>
    </row>
    <row r="847">
      <c r="A847">
        <f>--ISNUMBER(IFERROR(SEARCH($C$5,Inputs!$D847,1),""))</f>
        <v/>
      </c>
      <c r="B847">
        <f>IF(A847=1,COUNTIF($A$6:A847,1),"")</f>
        <v/>
      </c>
      <c r="C847">
        <f>IFERROR(INDEX($D$6:$D$1750,MATCH(ROWS($B$6:B847),$B$6:$B$1750,0)),"")</f>
        <v/>
      </c>
      <c r="D847">
        <f>J847&amp;" ("&amp;E847&amp;")"</f>
        <v/>
      </c>
      <c r="E847" t="n">
        <v>21171</v>
      </c>
      <c r="F847" t="inlineStr">
        <is>
          <t>Skilled Nursing and Interm. Care Facility</t>
        </is>
      </c>
      <c r="G847" t="inlineStr">
        <is>
          <t>1400 W Gonzales Rd</t>
        </is>
      </c>
      <c r="H847" t="inlineStr">
        <is>
          <t>Oxnard</t>
        </is>
      </c>
      <c r="I847" t="inlineStr">
        <is>
          <t>Ventura</t>
        </is>
      </c>
      <c r="J847" t="inlineStr">
        <is>
          <t>Oxnard Manor Healthcare Center</t>
        </is>
      </c>
    </row>
    <row r="848">
      <c r="A848">
        <f>--ISNUMBER(IFERROR(SEARCH($C$5,Inputs!$D848,1),""))</f>
        <v/>
      </c>
      <c r="B848">
        <f>IF(A848=1,COUNTIF($A$6:A848,1),"")</f>
        <v/>
      </c>
      <c r="C848">
        <f>IFERROR(INDEX($D$6:$D$1750,MATCH(ROWS($B$6:B848),$B$6:$B$1750,0)),"")</f>
        <v/>
      </c>
      <c r="D848">
        <f>J848&amp;" ("&amp;E848&amp;")"</f>
        <v/>
      </c>
      <c r="E848" t="n">
        <v>21178</v>
      </c>
      <c r="F848" t="inlineStr">
        <is>
          <t>Skilled Nursing and Interm. Care Facility</t>
        </is>
      </c>
      <c r="G848" t="inlineStr">
        <is>
          <t>93 W Avenida De Los Arboles</t>
        </is>
      </c>
      <c r="H848" t="inlineStr">
        <is>
          <t>Thousand Oaks</t>
        </is>
      </c>
      <c r="I848" t="inlineStr">
        <is>
          <t>Ventura</t>
        </is>
      </c>
      <c r="J848" t="inlineStr">
        <is>
          <t>Thousand Oaks Post Acute, LLC</t>
        </is>
      </c>
    </row>
    <row r="849">
      <c r="A849">
        <f>--ISNUMBER(IFERROR(SEARCH($C$5,Inputs!$D849,1),""))</f>
        <v/>
      </c>
      <c r="B849">
        <f>IF(A849=1,COUNTIF($A$6:A849,1),"")</f>
        <v/>
      </c>
      <c r="C849">
        <f>IFERROR(INDEX($D$6:$D$1750,MATCH(ROWS($B$6:B849),$B$6:$B$1750,0)),"")</f>
        <v/>
      </c>
      <c r="D849">
        <f>J849&amp;" ("&amp;E849&amp;")"</f>
        <v/>
      </c>
      <c r="E849" t="n">
        <v>21179</v>
      </c>
      <c r="F849" t="inlineStr">
        <is>
          <t>Skilled Nursing and Interm. Care Facility</t>
        </is>
      </c>
      <c r="G849" t="inlineStr">
        <is>
          <t>250 March Street</t>
        </is>
      </c>
      <c r="H849" t="inlineStr">
        <is>
          <t>Santa Paula</t>
        </is>
      </c>
      <c r="I849" t="inlineStr">
        <is>
          <t>Ventura</t>
        </is>
      </c>
      <c r="J849" t="inlineStr">
        <is>
          <t>Santa Paula Post Acute Center</t>
        </is>
      </c>
    </row>
    <row r="850">
      <c r="A850">
        <f>--ISNUMBER(IFERROR(SEARCH($C$5,Inputs!$D850,1),""))</f>
        <v/>
      </c>
      <c r="B850">
        <f>IF(A850=1,COUNTIF($A$6:A850,1),"")</f>
        <v/>
      </c>
      <c r="C850">
        <f>IFERROR(INDEX($D$6:$D$1750,MATCH(ROWS($B$6:B850),$B$6:$B$1750,0)),"")</f>
        <v/>
      </c>
      <c r="D850">
        <f>J850&amp;" ("&amp;E850&amp;")"</f>
        <v/>
      </c>
      <c r="E850" t="n">
        <v>21181</v>
      </c>
      <c r="F850" t="inlineStr">
        <is>
          <t>Skilled Nursing and Interm. Care Facility</t>
        </is>
      </c>
      <c r="G850" t="inlineStr">
        <is>
          <t>4904 Telegraph Road</t>
        </is>
      </c>
      <c r="H850" t="inlineStr">
        <is>
          <t>Ventura</t>
        </is>
      </c>
      <c r="I850" t="inlineStr">
        <is>
          <t>Ventura</t>
        </is>
      </c>
      <c r="J850" t="inlineStr">
        <is>
          <t>Coastal View Healthcare Center</t>
        </is>
      </c>
    </row>
    <row r="851">
      <c r="A851">
        <f>--ISNUMBER(IFERROR(SEARCH($C$5,Inputs!$D851,1),""))</f>
        <v/>
      </c>
      <c r="B851">
        <f>IF(A851=1,COUNTIF($A$6:A851,1),"")</f>
        <v/>
      </c>
      <c r="C851">
        <f>IFERROR(INDEX($D$6:$D$1750,MATCH(ROWS($B$6:B851),$B$6:$B$1750,0)),"")</f>
        <v/>
      </c>
      <c r="D851">
        <f>J851&amp;" ("&amp;E851&amp;")"</f>
        <v/>
      </c>
      <c r="E851" t="n">
        <v>21183</v>
      </c>
      <c r="F851" t="inlineStr">
        <is>
          <t>Skilled Nursing and Interm. Care Facility</t>
        </is>
      </c>
      <c r="G851" t="inlineStr">
        <is>
          <t>1306 Maricopa Highway</t>
        </is>
      </c>
      <c r="H851" t="inlineStr">
        <is>
          <t>Ojai</t>
        </is>
      </c>
      <c r="I851" t="inlineStr">
        <is>
          <t>Ventura</t>
        </is>
      </c>
      <c r="J851" t="inlineStr">
        <is>
          <t>Ojai Valley Community Skilled Nursing Facility</t>
        </is>
      </c>
    </row>
    <row r="852">
      <c r="A852">
        <f>--ISNUMBER(IFERROR(SEARCH($C$5,Inputs!$D852,1),""))</f>
        <v/>
      </c>
      <c r="B852">
        <f>IF(A852=1,COUNTIF($A$6:A852,1),"")</f>
        <v/>
      </c>
      <c r="C852">
        <f>IFERROR(INDEX($D$6:$D$1750,MATCH(ROWS($B$6:B852),$B$6:$B$1750,0)),"")</f>
        <v/>
      </c>
      <c r="D852">
        <f>J852&amp;" ("&amp;E852&amp;")"</f>
        <v/>
      </c>
      <c r="E852" t="n">
        <v>21186</v>
      </c>
      <c r="F852" t="inlineStr">
        <is>
          <t>Skilled Nursing and Interm. Care Facility</t>
        </is>
      </c>
      <c r="G852" t="inlineStr">
        <is>
          <t>1300 N C St</t>
        </is>
      </c>
      <c r="H852" t="inlineStr">
        <is>
          <t>Oxnard</t>
        </is>
      </c>
      <c r="I852" t="inlineStr">
        <is>
          <t>Ventura</t>
        </is>
      </c>
      <c r="J852" t="inlineStr">
        <is>
          <t>Glenwood Care Center</t>
        </is>
      </c>
    </row>
    <row r="853">
      <c r="A853">
        <f>--ISNUMBER(IFERROR(SEARCH($C$5,Inputs!$D853,1),""))</f>
        <v/>
      </c>
      <c r="B853">
        <f>IF(A853=1,COUNTIF($A$6:A853,1),"")</f>
        <v/>
      </c>
      <c r="C853">
        <f>IFERROR(INDEX($D$6:$D$1750,MATCH(ROWS($B$6:B853),$B$6:$B$1750,0)),"")</f>
        <v/>
      </c>
      <c r="D853">
        <f>J853&amp;" ("&amp;E853&amp;")"</f>
        <v/>
      </c>
      <c r="E853" t="n">
        <v>21187</v>
      </c>
      <c r="F853" t="inlineStr">
        <is>
          <t>Skilled Nursing and Interm. Care Facility</t>
        </is>
      </c>
      <c r="G853" t="inlineStr">
        <is>
          <t>5225 S J St</t>
        </is>
      </c>
      <c r="H853" t="inlineStr">
        <is>
          <t>Oxnard</t>
        </is>
      </c>
      <c r="I853" t="inlineStr">
        <is>
          <t>Ventura</t>
        </is>
      </c>
      <c r="J853" t="inlineStr">
        <is>
          <t>Shoreline Care Center</t>
        </is>
      </c>
    </row>
    <row r="854">
      <c r="A854">
        <f>--ISNUMBER(IFERROR(SEARCH($C$5,Inputs!$D854,1),""))</f>
        <v/>
      </c>
      <c r="B854">
        <f>IF(A854=1,COUNTIF($A$6:A854,1),"")</f>
        <v/>
      </c>
      <c r="C854">
        <f>IFERROR(INDEX($D$6:$D$1750,MATCH(ROWS($B$6:B854),$B$6:$B$1750,0)),"")</f>
        <v/>
      </c>
      <c r="D854">
        <f>J854&amp;" ("&amp;E854&amp;")"</f>
        <v/>
      </c>
      <c r="E854" t="n">
        <v>21189</v>
      </c>
      <c r="F854" t="inlineStr">
        <is>
          <t>Skilled Nursing and Interm. Care Facility</t>
        </is>
      </c>
      <c r="G854" t="inlineStr">
        <is>
          <t>5270 E Los Angeles Ave</t>
        </is>
      </c>
      <c r="H854" t="inlineStr">
        <is>
          <t>Simi Valley</t>
        </is>
      </c>
      <c r="I854" t="inlineStr">
        <is>
          <t>Ventura</t>
        </is>
      </c>
      <c r="J854" t="inlineStr">
        <is>
          <t>Simi Valley Care Center</t>
        </is>
      </c>
    </row>
    <row r="855">
      <c r="A855">
        <f>--ISNUMBER(IFERROR(SEARCH($C$5,Inputs!$D855,1),""))</f>
        <v/>
      </c>
      <c r="B855">
        <f>IF(A855=1,COUNTIF($A$6:A855,1),"")</f>
        <v/>
      </c>
      <c r="C855">
        <f>IFERROR(INDEX($D$6:$D$1750,MATCH(ROWS($B$6:B855),$B$6:$B$1750,0)),"")</f>
        <v/>
      </c>
      <c r="D855">
        <f>J855&amp;" ("&amp;E855&amp;")"</f>
        <v/>
      </c>
      <c r="E855" t="n">
        <v>21191</v>
      </c>
      <c r="F855" t="inlineStr">
        <is>
          <t>Skilled Nursing and Interm. Care Facility</t>
        </is>
      </c>
      <c r="G855" t="inlineStr">
        <is>
          <t>124 Walnut Street</t>
        </is>
      </c>
      <c r="H855" t="inlineStr">
        <is>
          <t>Woodland</t>
        </is>
      </c>
      <c r="I855" t="inlineStr">
        <is>
          <t>Yolo</t>
        </is>
      </c>
      <c r="J855" t="inlineStr">
        <is>
          <t>Alderson Convalescent Hospital</t>
        </is>
      </c>
    </row>
    <row r="856">
      <c r="A856">
        <f>--ISNUMBER(IFERROR(SEARCH($C$5,Inputs!$D856,1),""))</f>
        <v/>
      </c>
      <c r="B856">
        <f>IF(A856=1,COUNTIF($A$6:A856,1),"")</f>
        <v/>
      </c>
      <c r="C856">
        <f>IFERROR(INDEX($D$6:$D$1750,MATCH(ROWS($B$6:B856),$B$6:$B$1750,0)),"")</f>
        <v/>
      </c>
      <c r="D856">
        <f>J856&amp;" ("&amp;E856&amp;")"</f>
        <v/>
      </c>
      <c r="E856" t="n">
        <v>21195</v>
      </c>
      <c r="F856" t="inlineStr">
        <is>
          <t>Skilled Nursing and Interm. Care Facility</t>
        </is>
      </c>
      <c r="G856" t="inlineStr">
        <is>
          <t>1850 E 8th Street</t>
        </is>
      </c>
      <c r="H856" t="inlineStr">
        <is>
          <t>Davis</t>
        </is>
      </c>
      <c r="I856" t="inlineStr">
        <is>
          <t>Yolo</t>
        </is>
      </c>
      <c r="J856" t="inlineStr">
        <is>
          <t>Courtyard Health Care Center</t>
        </is>
      </c>
    </row>
    <row r="857">
      <c r="A857">
        <f>--ISNUMBER(IFERROR(SEARCH($C$5,Inputs!$D857,1),""))</f>
        <v/>
      </c>
      <c r="B857">
        <f>IF(A857=1,COUNTIF($A$6:A857,1),"")</f>
        <v/>
      </c>
      <c r="C857">
        <f>IFERROR(INDEX($D$6:$D$1750,MATCH(ROWS($B$6:B857),$B$6:$B$1750,0)),"")</f>
        <v/>
      </c>
      <c r="D857">
        <f>J857&amp;" ("&amp;E857&amp;")"</f>
        <v/>
      </c>
      <c r="E857" t="n">
        <v>21197</v>
      </c>
      <c r="F857" t="inlineStr">
        <is>
          <t>Skilled Nursing and Interm. Care Facility</t>
        </is>
      </c>
      <c r="G857" t="inlineStr">
        <is>
          <t>2215 Oakmont Way</t>
        </is>
      </c>
      <c r="H857" t="inlineStr">
        <is>
          <t>West Sacramento</t>
        </is>
      </c>
      <c r="I857" t="inlineStr">
        <is>
          <t>Yolo</t>
        </is>
      </c>
      <c r="J857" t="inlineStr">
        <is>
          <t>River Bend Nursing Center</t>
        </is>
      </c>
    </row>
    <row r="858">
      <c r="A858">
        <f>--ISNUMBER(IFERROR(SEARCH($C$5,Inputs!$D858,1),""))</f>
        <v/>
      </c>
      <c r="B858">
        <f>IF(A858=1,COUNTIF($A$6:A858,1),"")</f>
        <v/>
      </c>
      <c r="C858">
        <f>IFERROR(INDEX($D$6:$D$1750,MATCH(ROWS($B$6:B858),$B$6:$B$1750,0)),"")</f>
        <v/>
      </c>
      <c r="D858">
        <f>J858&amp;" ("&amp;E858&amp;")"</f>
        <v/>
      </c>
      <c r="E858" t="n">
        <v>21200</v>
      </c>
      <c r="F858" t="inlineStr">
        <is>
          <t>Skilled Nursing and Interm. Care Facility</t>
        </is>
      </c>
      <c r="G858" t="inlineStr">
        <is>
          <t>625 Cottonwood Street</t>
        </is>
      </c>
      <c r="H858" t="inlineStr">
        <is>
          <t>Woodland</t>
        </is>
      </c>
      <c r="I858" t="inlineStr">
        <is>
          <t>Yolo</t>
        </is>
      </c>
      <c r="J858" t="inlineStr">
        <is>
          <t>Cottonwood Health Care Center</t>
        </is>
      </c>
    </row>
    <row r="859">
      <c r="A859">
        <f>--ISNUMBER(IFERROR(SEARCH($C$5,Inputs!$D859,1),""))</f>
        <v/>
      </c>
      <c r="B859">
        <f>IF(A859=1,COUNTIF($A$6:A859,1),"")</f>
        <v/>
      </c>
      <c r="C859">
        <f>IFERROR(INDEX($D$6:$D$1750,MATCH(ROWS($B$6:B859),$B$6:$B$1750,0)),"")</f>
        <v/>
      </c>
      <c r="D859">
        <f>J859&amp;" ("&amp;E859&amp;")"</f>
        <v/>
      </c>
      <c r="E859" t="n">
        <v>21202</v>
      </c>
      <c r="F859" t="inlineStr">
        <is>
          <t>Skilled Nursing and Interm. Care Facility</t>
        </is>
      </c>
      <c r="G859" t="inlineStr">
        <is>
          <t>678 3rd St</t>
        </is>
      </c>
      <c r="H859" t="inlineStr">
        <is>
          <t>Woodland</t>
        </is>
      </c>
      <c r="I859" t="inlineStr">
        <is>
          <t>Yolo</t>
        </is>
      </c>
      <c r="J859" t="inlineStr">
        <is>
          <t>Woodland Skilled Nursing Facility</t>
        </is>
      </c>
    </row>
    <row r="860">
      <c r="A860">
        <f>--ISNUMBER(IFERROR(SEARCH($C$5,Inputs!$D860,1),""))</f>
        <v/>
      </c>
      <c r="B860">
        <f>IF(A860=1,COUNTIF($A$6:A860,1),"")</f>
        <v/>
      </c>
      <c r="C860">
        <f>IFERROR(INDEX($D$6:$D$1750,MATCH(ROWS($B$6:B860),$B$6:$B$1750,0)),"")</f>
        <v/>
      </c>
      <c r="D860">
        <f>J860&amp;" ("&amp;E860&amp;")"</f>
        <v/>
      </c>
      <c r="E860" t="n">
        <v>21204</v>
      </c>
      <c r="F860" t="inlineStr">
        <is>
          <t>Skilled Nursing and Interm. Care Facility</t>
        </is>
      </c>
      <c r="G860" t="inlineStr">
        <is>
          <t>1617 Ramirez Street</t>
        </is>
      </c>
      <c r="H860" t="inlineStr">
        <is>
          <t>Marysville</t>
        </is>
      </c>
      <c r="I860" t="inlineStr">
        <is>
          <t>Yuba</t>
        </is>
      </c>
      <c r="J860" t="inlineStr">
        <is>
          <t>Marysville Post-Acute</t>
        </is>
      </c>
    </row>
    <row r="861">
      <c r="A861">
        <f>--ISNUMBER(IFERROR(SEARCH($C$5,Inputs!$D861,1),""))</f>
        <v/>
      </c>
      <c r="B861">
        <f>IF(A861=1,COUNTIF($A$6:A861,1),"")</f>
        <v/>
      </c>
      <c r="C861">
        <f>IFERROR(INDEX($D$6:$D$1750,MATCH(ROWS($B$6:B861),$B$6:$B$1750,0)),"")</f>
        <v/>
      </c>
      <c r="D861">
        <f>J861&amp;" ("&amp;E861&amp;")"</f>
        <v/>
      </c>
      <c r="E861" t="n">
        <v>21212</v>
      </c>
      <c r="F861" t="inlineStr">
        <is>
          <t>Skilled Nursing and Interm. Care Facility</t>
        </is>
      </c>
      <c r="G861" t="inlineStr">
        <is>
          <t>25919 Gading Road</t>
        </is>
      </c>
      <c r="H861" t="inlineStr">
        <is>
          <t>Hayward</t>
        </is>
      </c>
      <c r="I861" t="inlineStr">
        <is>
          <t>Alameda</t>
        </is>
      </c>
      <c r="J861" t="inlineStr">
        <is>
          <t>Windsor Post-Acute Care Center Of Hayward</t>
        </is>
      </c>
    </row>
    <row r="862">
      <c r="A862">
        <f>--ISNUMBER(IFERROR(SEARCH($C$5,Inputs!$D862,1),""))</f>
        <v/>
      </c>
      <c r="B862">
        <f>IF(A862=1,COUNTIF($A$6:A862,1),"")</f>
        <v/>
      </c>
      <c r="C862">
        <f>IFERROR(INDEX($D$6:$D$1750,MATCH(ROWS($B$6:B862),$B$6:$B$1750,0)),"")</f>
        <v/>
      </c>
      <c r="D862">
        <f>J862&amp;" ("&amp;E862&amp;")"</f>
        <v/>
      </c>
      <c r="E862" t="n">
        <v>21218</v>
      </c>
      <c r="F862" t="inlineStr">
        <is>
          <t>Skilled Nursing and Interm. Care Facility</t>
        </is>
      </c>
      <c r="G862" t="inlineStr">
        <is>
          <t>2270 Ashby Avenue</t>
        </is>
      </c>
      <c r="H862" t="inlineStr">
        <is>
          <t>Berkeley</t>
        </is>
      </c>
      <c r="I862" t="inlineStr">
        <is>
          <t>Alameda</t>
        </is>
      </c>
      <c r="J862" t="inlineStr">
        <is>
          <t>Ashby Care Center</t>
        </is>
      </c>
    </row>
    <row r="863">
      <c r="A863">
        <f>--ISNUMBER(IFERROR(SEARCH($C$5,Inputs!$D863,1),""))</f>
        <v/>
      </c>
      <c r="B863">
        <f>IF(A863=1,COUNTIF($A$6:A863,1),"")</f>
        <v/>
      </c>
      <c r="C863">
        <f>IFERROR(INDEX($D$6:$D$1750,MATCH(ROWS($B$6:B863),$B$6:$B$1750,0)),"")</f>
        <v/>
      </c>
      <c r="D863">
        <f>J863&amp;" ("&amp;E863&amp;")"</f>
        <v/>
      </c>
      <c r="E863" t="n">
        <v>21220</v>
      </c>
      <c r="F863" t="inlineStr">
        <is>
          <t>Skilled Nursing and Interm. Care Facility</t>
        </is>
      </c>
      <c r="G863" t="inlineStr">
        <is>
          <t>1475 Bancroft Avenue</t>
        </is>
      </c>
      <c r="H863" t="inlineStr">
        <is>
          <t>San Leandro</t>
        </is>
      </c>
      <c r="I863" t="inlineStr">
        <is>
          <t>Alameda</t>
        </is>
      </c>
      <c r="J863" t="inlineStr">
        <is>
          <t>Bancroft Healthcare Center</t>
        </is>
      </c>
    </row>
    <row r="864">
      <c r="A864">
        <f>--ISNUMBER(IFERROR(SEARCH($C$5,Inputs!$D864,1),""))</f>
        <v/>
      </c>
      <c r="B864">
        <f>IF(A864=1,COUNTIF($A$6:A864,1),"")</f>
        <v/>
      </c>
      <c r="C864">
        <f>IFERROR(INDEX($D$6:$D$1750,MATCH(ROWS($B$6:B864),$B$6:$B$1750,0)),"")</f>
        <v/>
      </c>
      <c r="D864">
        <f>J864&amp;" ("&amp;E864&amp;")"</f>
        <v/>
      </c>
      <c r="E864" t="n">
        <v>21222</v>
      </c>
      <c r="F864" t="inlineStr">
        <is>
          <t>Skilled Nursing and Interm. Care Facility</t>
        </is>
      </c>
      <c r="G864" t="inlineStr">
        <is>
          <t>718 Bartlett Ave</t>
        </is>
      </c>
      <c r="H864" t="inlineStr">
        <is>
          <t>Hayward</t>
        </is>
      </c>
      <c r="I864" t="inlineStr">
        <is>
          <t>Alameda</t>
        </is>
      </c>
      <c r="J864" t="inlineStr">
        <is>
          <t>St Francis Healthcare Center</t>
        </is>
      </c>
    </row>
    <row r="865">
      <c r="A865">
        <f>--ISNUMBER(IFERROR(SEARCH($C$5,Inputs!$D865,1),""))</f>
        <v/>
      </c>
      <c r="B865">
        <f>IF(A865=1,COUNTIF($A$6:A865,1),"")</f>
        <v/>
      </c>
      <c r="C865">
        <f>IFERROR(INDEX($D$6:$D$1750,MATCH(ROWS($B$6:B865),$B$6:$B$1750,0)),"")</f>
        <v/>
      </c>
      <c r="D865">
        <f>J865&amp;" ("&amp;E865&amp;")"</f>
        <v/>
      </c>
      <c r="E865" t="n">
        <v>21223</v>
      </c>
      <c r="F865" t="inlineStr">
        <is>
          <t>Skilled Nursing and Interm. Care Facility</t>
        </is>
      </c>
      <c r="G865" t="inlineStr">
        <is>
          <t>3269 D Street</t>
        </is>
      </c>
      <c r="H865" t="inlineStr">
        <is>
          <t>Hayward</t>
        </is>
      </c>
      <c r="I865" t="inlineStr">
        <is>
          <t>Alameda</t>
        </is>
      </c>
      <c r="J865" t="inlineStr">
        <is>
          <t>Vista Post Acute</t>
        </is>
      </c>
    </row>
    <row r="866">
      <c r="A866">
        <f>--ISNUMBER(IFERROR(SEARCH($C$5,Inputs!$D866,1),""))</f>
        <v/>
      </c>
      <c r="B866">
        <f>IF(A866=1,COUNTIF($A$6:A866,1),"")</f>
        <v/>
      </c>
      <c r="C866">
        <f>IFERROR(INDEX($D$6:$D$1750,MATCH(ROWS($B$6:B866),$B$6:$B$1750,0)),"")</f>
        <v/>
      </c>
      <c r="D866">
        <f>J866&amp;" ("&amp;E866&amp;")"</f>
        <v/>
      </c>
      <c r="E866" t="n">
        <v>21225</v>
      </c>
      <c r="F866" t="inlineStr">
        <is>
          <t>Skilled Nursing and Interm. Care Facility</t>
        </is>
      </c>
      <c r="G866" t="inlineStr">
        <is>
          <t>2223 Ashby Avenue</t>
        </is>
      </c>
      <c r="H866" t="inlineStr">
        <is>
          <t>Berkeley</t>
        </is>
      </c>
      <c r="I866" t="inlineStr">
        <is>
          <t>Alameda</t>
        </is>
      </c>
      <c r="J866" t="inlineStr">
        <is>
          <t>Berkeley Pines Skilled Nursing Center</t>
        </is>
      </c>
    </row>
    <row r="867">
      <c r="A867">
        <f>--ISNUMBER(IFERROR(SEARCH($C$5,Inputs!$D867,1),""))</f>
        <v/>
      </c>
      <c r="B867">
        <f>IF(A867=1,COUNTIF($A$6:A867,1),"")</f>
        <v/>
      </c>
      <c r="C867">
        <f>IFERROR(INDEX($D$6:$D$1750,MATCH(ROWS($B$6:B867),$B$6:$B$1750,0)),"")</f>
        <v/>
      </c>
      <c r="D867">
        <f>J867&amp;" ("&amp;E867&amp;")"</f>
        <v/>
      </c>
      <c r="E867" t="n">
        <v>21236</v>
      </c>
      <c r="F867" t="inlineStr">
        <is>
          <t>Skilled Nursing and Interm. Care Facility</t>
        </is>
      </c>
      <c r="G867" t="inlineStr">
        <is>
          <t>20090 Stanton Avenue</t>
        </is>
      </c>
      <c r="H867" t="inlineStr">
        <is>
          <t>Castro Valley</t>
        </is>
      </c>
      <c r="I867" t="inlineStr">
        <is>
          <t>Alameda</t>
        </is>
      </c>
      <c r="J867" t="inlineStr">
        <is>
          <t>Valley Pointe Nursing &amp; Rehabilitation Center</t>
        </is>
      </c>
    </row>
    <row r="868">
      <c r="A868">
        <f>--ISNUMBER(IFERROR(SEARCH($C$5,Inputs!$D868,1),""))</f>
        <v/>
      </c>
      <c r="B868">
        <f>IF(A868=1,COUNTIF($A$6:A868,1),"")</f>
        <v/>
      </c>
      <c r="C868">
        <f>IFERROR(INDEX($D$6:$D$1750,MATCH(ROWS($B$6:B868),$B$6:$B$1750,0)),"")</f>
        <v/>
      </c>
      <c r="D868">
        <f>J868&amp;" ("&amp;E868&amp;")"</f>
        <v/>
      </c>
      <c r="E868" t="n">
        <v>21237</v>
      </c>
      <c r="F868" t="inlineStr">
        <is>
          <t>Skilled Nursing and Interm. Care Facility</t>
        </is>
      </c>
      <c r="G868" t="inlineStr">
        <is>
          <t>39022 Presidio Way</t>
        </is>
      </c>
      <c r="H868" t="inlineStr">
        <is>
          <t>Fremont</t>
        </is>
      </c>
      <c r="I868" t="inlineStr">
        <is>
          <t>Alameda</t>
        </is>
      </c>
      <c r="J868" t="inlineStr">
        <is>
          <t>Fremont Healthcare Center</t>
        </is>
      </c>
    </row>
    <row r="869">
      <c r="A869">
        <f>--ISNUMBER(IFERROR(SEARCH($C$5,Inputs!$D869,1),""))</f>
        <v/>
      </c>
      <c r="B869">
        <f>IF(A869=1,COUNTIF($A$6:A869,1),"")</f>
        <v/>
      </c>
      <c r="C869">
        <f>IFERROR(INDEX($D$6:$D$1750,MATCH(ROWS($B$6:B869),$B$6:$B$1750,0)),"")</f>
        <v/>
      </c>
      <c r="D869">
        <f>J869&amp;" ("&amp;E869&amp;")"</f>
        <v/>
      </c>
      <c r="E869" t="n">
        <v>21240</v>
      </c>
      <c r="F869" t="inlineStr">
        <is>
          <t>Skilled Nursing and Interm. Care Facility</t>
        </is>
      </c>
      <c r="G869" t="inlineStr">
        <is>
          <t>20259 Lake Chabot Road</t>
        </is>
      </c>
      <c r="H869" t="inlineStr">
        <is>
          <t>Castro Valley</t>
        </is>
      </c>
      <c r="I869" t="inlineStr">
        <is>
          <t>Alameda</t>
        </is>
      </c>
      <c r="J869" t="inlineStr">
        <is>
          <t>East Bay Post-Acute</t>
        </is>
      </c>
    </row>
    <row r="870">
      <c r="A870">
        <f>--ISNUMBER(IFERROR(SEARCH($C$5,Inputs!$D870,1),""))</f>
        <v/>
      </c>
      <c r="B870">
        <f>IF(A870=1,COUNTIF($A$6:A870,1),"")</f>
        <v/>
      </c>
      <c r="C870">
        <f>IFERROR(INDEX($D$6:$D$1750,MATCH(ROWS($B$6:B870),$B$6:$B$1750,0)),"")</f>
        <v/>
      </c>
      <c r="D870">
        <f>J870&amp;" ("&amp;E870&amp;")"</f>
        <v/>
      </c>
      <c r="E870" t="n">
        <v>21250</v>
      </c>
      <c r="F870" t="inlineStr">
        <is>
          <t>Skilled Nursing and Interm. Care Facility</t>
        </is>
      </c>
      <c r="G870" t="inlineStr">
        <is>
          <t>2500 Country Drive</t>
        </is>
      </c>
      <c r="H870" t="inlineStr">
        <is>
          <t>Fremont</t>
        </is>
      </c>
      <c r="I870" t="inlineStr">
        <is>
          <t>Alameda</t>
        </is>
      </c>
      <c r="J870" t="inlineStr">
        <is>
          <t>Windsor Country Drive Care Center</t>
        </is>
      </c>
    </row>
    <row r="871">
      <c r="A871">
        <f>--ISNUMBER(IFERROR(SEARCH($C$5,Inputs!$D871,1),""))</f>
        <v/>
      </c>
      <c r="B871">
        <f>IF(A871=1,COUNTIF($A$6:A871,1),"")</f>
        <v/>
      </c>
      <c r="C871">
        <f>IFERROR(INDEX($D$6:$D$1750,MATCH(ROWS($B$6:B871),$B$6:$B$1750,0)),"")</f>
        <v/>
      </c>
      <c r="D871">
        <f>J871&amp;" ("&amp;E871&amp;")"</f>
        <v/>
      </c>
      <c r="E871" t="n">
        <v>21261</v>
      </c>
      <c r="F871" t="inlineStr">
        <is>
          <t>Skilled Nursing and Interm. Care Facility</t>
        </is>
      </c>
      <c r="G871" t="inlineStr">
        <is>
          <t>1805 West Street</t>
        </is>
      </c>
      <c r="H871" t="inlineStr">
        <is>
          <t>Hayward</t>
        </is>
      </c>
      <c r="I871" t="inlineStr">
        <is>
          <t>Alameda</t>
        </is>
      </c>
      <c r="J871" t="inlineStr">
        <is>
          <t>Hayward Healthcare &amp; Wellness Center</t>
        </is>
      </c>
    </row>
    <row r="872">
      <c r="A872">
        <f>--ISNUMBER(IFERROR(SEARCH($C$5,Inputs!$D872,1),""))</f>
        <v/>
      </c>
      <c r="B872">
        <f>IF(A872=1,COUNTIF($A$6:A872,1),"")</f>
        <v/>
      </c>
      <c r="C872">
        <f>IFERROR(INDEX($D$6:$D$1750,MATCH(ROWS($B$6:B872),$B$6:$B$1750,0)),"")</f>
        <v/>
      </c>
      <c r="D872">
        <f>J872&amp;" ("&amp;E872&amp;")"</f>
        <v/>
      </c>
      <c r="E872" t="n">
        <v>21264</v>
      </c>
      <c r="F872" t="inlineStr">
        <is>
          <t>Skilled Nursing and Interm. Care Facility</t>
        </is>
      </c>
      <c r="G872" t="inlineStr">
        <is>
          <t>2829 Shattuck Avenue</t>
        </is>
      </c>
      <c r="H872" t="inlineStr">
        <is>
          <t>Berkeley</t>
        </is>
      </c>
      <c r="I872" t="inlineStr">
        <is>
          <t>Alameda</t>
        </is>
      </c>
      <c r="J872" t="inlineStr">
        <is>
          <t>Elmwood Care Center</t>
        </is>
      </c>
    </row>
    <row r="873">
      <c r="A873">
        <f>--ISNUMBER(IFERROR(SEARCH($C$5,Inputs!$D873,1),""))</f>
        <v/>
      </c>
      <c r="B873">
        <f>IF(A873=1,COUNTIF($A$6:A873,1),"")</f>
        <v/>
      </c>
      <c r="C873">
        <f>IFERROR(INDEX($D$6:$D$1750,MATCH(ROWS($B$6:B873),$B$6:$B$1750,0)),"")</f>
        <v/>
      </c>
      <c r="D873">
        <f>J873&amp;" ("&amp;E873&amp;")"</f>
        <v/>
      </c>
      <c r="E873" t="n">
        <v>21265</v>
      </c>
      <c r="F873" t="inlineStr">
        <is>
          <t>Skilled Nursing and Interm. Care Facility</t>
        </is>
      </c>
      <c r="G873" t="inlineStr">
        <is>
          <t>1833 10th Avenue</t>
        </is>
      </c>
      <c r="H873" t="inlineStr">
        <is>
          <t>Oakland</t>
        </is>
      </c>
      <c r="I873" t="inlineStr">
        <is>
          <t>Alameda</t>
        </is>
      </c>
      <c r="J873" t="inlineStr">
        <is>
          <t>Bay Area Healthcare Center</t>
        </is>
      </c>
    </row>
    <row r="874">
      <c r="A874">
        <f>--ISNUMBER(IFERROR(SEARCH($C$5,Inputs!$D874,1),""))</f>
        <v/>
      </c>
      <c r="B874">
        <f>IF(A874=1,COUNTIF($A$6:A874,1),"")</f>
        <v/>
      </c>
      <c r="C874">
        <f>IFERROR(INDEX($D$6:$D$1750,MATCH(ROWS($B$6:B874),$B$6:$B$1750,0)),"")</f>
        <v/>
      </c>
      <c r="D874">
        <f>J874&amp;" ("&amp;E874&amp;")"</f>
        <v/>
      </c>
      <c r="E874" t="n">
        <v>21273</v>
      </c>
      <c r="F874" t="inlineStr">
        <is>
          <t>Skilled Nursing and Interm. Care Facility</t>
        </is>
      </c>
      <c r="G874" t="inlineStr">
        <is>
          <t>2171 Mowry Avenue</t>
        </is>
      </c>
      <c r="H874" t="inlineStr">
        <is>
          <t>Fremont</t>
        </is>
      </c>
      <c r="I874" t="inlineStr">
        <is>
          <t>Alameda</t>
        </is>
      </c>
      <c r="J874" t="inlineStr">
        <is>
          <t>Crestwood Treatment Center</t>
        </is>
      </c>
    </row>
    <row r="875">
      <c r="A875">
        <f>--ISNUMBER(IFERROR(SEARCH($C$5,Inputs!$D875,1),""))</f>
        <v/>
      </c>
      <c r="B875">
        <f>IF(A875=1,COUNTIF($A$6:A875,1),"")</f>
        <v/>
      </c>
      <c r="C875">
        <f>IFERROR(INDEX($D$6:$D$1750,MATCH(ROWS($B$6:B875),$B$6:$B$1750,0)),"")</f>
        <v/>
      </c>
      <c r="D875">
        <f>J875&amp;" ("&amp;E875&amp;")"</f>
        <v/>
      </c>
      <c r="E875" t="n">
        <v>21274</v>
      </c>
      <c r="F875" t="inlineStr">
        <is>
          <t>Skilled Nursing and Interm. Care Facility</t>
        </is>
      </c>
      <c r="G875" t="inlineStr">
        <is>
          <t>553 Smalley Avenue</t>
        </is>
      </c>
      <c r="H875" t="inlineStr">
        <is>
          <t>Hayward</t>
        </is>
      </c>
      <c r="I875" t="inlineStr">
        <is>
          <t>Alameda</t>
        </is>
      </c>
      <c r="J875" t="inlineStr">
        <is>
          <t>St Anthony Care Center</t>
        </is>
      </c>
    </row>
    <row r="876">
      <c r="A876">
        <f>--ISNUMBER(IFERROR(SEARCH($C$5,Inputs!$D876,1),""))</f>
        <v/>
      </c>
      <c r="B876">
        <f>IF(A876=1,COUNTIF($A$6:A876,1),"")</f>
        <v/>
      </c>
      <c r="C876">
        <f>IFERROR(INDEX($D$6:$D$1750,MATCH(ROWS($B$6:B876),$B$6:$B$1750,0)),"")</f>
        <v/>
      </c>
      <c r="D876">
        <f>J876&amp;" ("&amp;E876&amp;")"</f>
        <v/>
      </c>
      <c r="E876" t="n">
        <v>21281</v>
      </c>
      <c r="F876" t="inlineStr">
        <is>
          <t>Skilled Nursing and Interm. Care Facility</t>
        </is>
      </c>
      <c r="G876" t="inlineStr">
        <is>
          <t>76 Fenton Street</t>
        </is>
      </c>
      <c r="H876" t="inlineStr">
        <is>
          <t>Livermore</t>
        </is>
      </c>
      <c r="I876" t="inlineStr">
        <is>
          <t>Alameda</t>
        </is>
      </c>
      <c r="J876" t="inlineStr">
        <is>
          <t>The Vineyards Healthcare Center</t>
        </is>
      </c>
    </row>
    <row r="877">
      <c r="A877">
        <f>--ISNUMBER(IFERROR(SEARCH($C$5,Inputs!$D877,1),""))</f>
        <v/>
      </c>
      <c r="B877">
        <f>IF(A877=1,COUNTIF($A$6:A877,1),"")</f>
        <v/>
      </c>
      <c r="C877">
        <f>IFERROR(INDEX($D$6:$D$1750,MATCH(ROWS($B$6:B877),$B$6:$B$1750,0)),"")</f>
        <v/>
      </c>
      <c r="D877">
        <f>J877&amp;" ("&amp;E877&amp;")"</f>
        <v/>
      </c>
      <c r="E877" t="n">
        <v>21283</v>
      </c>
      <c r="F877" t="inlineStr">
        <is>
          <t>Skilled Nursing and Interm. Care Facility</t>
        </is>
      </c>
      <c r="G877" t="inlineStr">
        <is>
          <t>1832 B Street</t>
        </is>
      </c>
      <c r="H877" t="inlineStr">
        <is>
          <t>Hayward</t>
        </is>
      </c>
      <c r="I877" t="inlineStr">
        <is>
          <t>Alameda</t>
        </is>
      </c>
      <c r="J877" t="inlineStr">
        <is>
          <t>Hayward Convalescent Hospital</t>
        </is>
      </c>
    </row>
    <row r="878">
      <c r="A878">
        <f>--ISNUMBER(IFERROR(SEARCH($C$5,Inputs!$D878,1),""))</f>
        <v/>
      </c>
      <c r="B878">
        <f>IF(A878=1,COUNTIF($A$6:A878,1),"")</f>
        <v/>
      </c>
      <c r="C878">
        <f>IFERROR(INDEX($D$6:$D$1750,MATCH(ROWS($B$6:B878),$B$6:$B$1750,0)),"")</f>
        <v/>
      </c>
      <c r="D878">
        <f>J878&amp;" ("&amp;E878&amp;")"</f>
        <v/>
      </c>
      <c r="E878" t="n">
        <v>21284</v>
      </c>
      <c r="F878" t="inlineStr">
        <is>
          <t>Skilled Nursing and Interm. Care Facility</t>
        </is>
      </c>
      <c r="G878" t="inlineStr">
        <is>
          <t>1768 B Street</t>
        </is>
      </c>
      <c r="H878" t="inlineStr">
        <is>
          <t>Hayward</t>
        </is>
      </c>
      <c r="I878" t="inlineStr">
        <is>
          <t>Alameda</t>
        </is>
      </c>
      <c r="J878" t="inlineStr">
        <is>
          <t>Hayward Hills Health Care Center</t>
        </is>
      </c>
    </row>
    <row r="879">
      <c r="A879">
        <f>--ISNUMBER(IFERROR(SEARCH($C$5,Inputs!$D879,1),""))</f>
        <v/>
      </c>
      <c r="B879">
        <f>IF(A879=1,COUNTIF($A$6:A879,1),"")</f>
        <v/>
      </c>
      <c r="C879">
        <f>IFERROR(INDEX($D$6:$D$1750,MATCH(ROWS($B$6:B879),$B$6:$B$1750,0)),"")</f>
        <v/>
      </c>
      <c r="D879">
        <f>J879&amp;" ("&amp;E879&amp;")"</f>
        <v/>
      </c>
      <c r="E879" t="n">
        <v>21286</v>
      </c>
      <c r="F879" t="inlineStr">
        <is>
          <t>Skilled Nursing and Interm. Care Facility</t>
        </is>
      </c>
      <c r="G879" t="inlineStr">
        <is>
          <t>19700 Hesperian Boulevard</t>
        </is>
      </c>
      <c r="H879" t="inlineStr">
        <is>
          <t>Hayward</t>
        </is>
      </c>
      <c r="I879" t="inlineStr">
        <is>
          <t>Alameda</t>
        </is>
      </c>
      <c r="J879" t="inlineStr">
        <is>
          <t>Driftwood Healthcare Center - Hayward</t>
        </is>
      </c>
    </row>
    <row r="880">
      <c r="A880">
        <f>--ISNUMBER(IFERROR(SEARCH($C$5,Inputs!$D880,1),""))</f>
        <v/>
      </c>
      <c r="B880">
        <f>IF(A880=1,COUNTIF($A$6:A880,1),"")</f>
        <v/>
      </c>
      <c r="C880">
        <f>IFERROR(INDEX($D$6:$D$1750,MATCH(ROWS($B$6:B880),$B$6:$B$1750,0)),"")</f>
        <v/>
      </c>
      <c r="D880">
        <f>J880&amp;" ("&amp;E880&amp;")"</f>
        <v/>
      </c>
      <c r="E880" t="n">
        <v>21287</v>
      </c>
      <c r="F880" t="inlineStr">
        <is>
          <t>Skilled Nursing and Interm. Care Facility</t>
        </is>
      </c>
      <c r="G880" t="inlineStr">
        <is>
          <t>3145 High Street</t>
        </is>
      </c>
      <c r="H880" t="inlineStr">
        <is>
          <t>Oakland</t>
        </is>
      </c>
      <c r="I880" t="inlineStr">
        <is>
          <t>Alameda</t>
        </is>
      </c>
      <c r="J880" t="inlineStr">
        <is>
          <t>Redwood Healthcare Center LLC</t>
        </is>
      </c>
    </row>
    <row r="881">
      <c r="A881">
        <f>--ISNUMBER(IFERROR(SEARCH($C$5,Inputs!$D881,1),""))</f>
        <v/>
      </c>
      <c r="B881">
        <f>IF(A881=1,COUNTIF($A$6:A881,1),"")</f>
        <v/>
      </c>
      <c r="C881">
        <f>IFERROR(INDEX($D$6:$D$1750,MATCH(ROWS($B$6:B881),$B$6:$B$1750,0)),"")</f>
        <v/>
      </c>
      <c r="D881">
        <f>J881&amp;" ("&amp;E881&amp;")"</f>
        <v/>
      </c>
      <c r="E881" t="n">
        <v>21290</v>
      </c>
      <c r="F881" t="inlineStr">
        <is>
          <t>Skilled Nursing and Interm. Care Facility</t>
        </is>
      </c>
      <c r="G881" t="inlineStr">
        <is>
          <t>3030 Webster Street</t>
        </is>
      </c>
      <c r="H881" t="inlineStr">
        <is>
          <t>Oakland</t>
        </is>
      </c>
      <c r="I881" t="inlineStr">
        <is>
          <t>Alameda</t>
        </is>
      </c>
      <c r="J881" t="inlineStr">
        <is>
          <t>Oakland Healthcare &amp; Wellness Center</t>
        </is>
      </c>
    </row>
    <row r="882">
      <c r="A882">
        <f>--ISNUMBER(IFERROR(SEARCH($C$5,Inputs!$D882,1),""))</f>
        <v/>
      </c>
      <c r="B882">
        <f>IF(A882=1,COUNTIF($A$6:A882,1),"")</f>
        <v/>
      </c>
      <c r="C882">
        <f>IFERROR(INDEX($D$6:$D$1750,MATCH(ROWS($B$6:B882),$B$6:$B$1750,0)),"")</f>
        <v/>
      </c>
      <c r="D882">
        <f>J882&amp;" ("&amp;E882&amp;")"</f>
        <v/>
      </c>
      <c r="E882" t="n">
        <v>21291</v>
      </c>
      <c r="F882" t="inlineStr">
        <is>
          <t>Skilled Nursing and Interm. Care Facility</t>
        </is>
      </c>
      <c r="G882" t="inlineStr">
        <is>
          <t>2780 26th Avenue</t>
        </is>
      </c>
      <c r="H882" t="inlineStr">
        <is>
          <t>Oakland</t>
        </is>
      </c>
      <c r="I882" t="inlineStr">
        <is>
          <t>Alameda</t>
        </is>
      </c>
      <c r="J882" t="inlineStr">
        <is>
          <t>Bellaken Skilled Nursing Center</t>
        </is>
      </c>
    </row>
    <row r="883">
      <c r="A883">
        <f>--ISNUMBER(IFERROR(SEARCH($C$5,Inputs!$D883,1),""))</f>
        <v/>
      </c>
      <c r="B883">
        <f>IF(A883=1,COUNTIF($A$6:A883,1),"")</f>
        <v/>
      </c>
      <c r="C883">
        <f>IFERROR(INDEX($D$6:$D$1750,MATCH(ROWS($B$6:B883),$B$6:$B$1750,0)),"")</f>
        <v/>
      </c>
      <c r="D883">
        <f>J883&amp;" ("&amp;E883&amp;")"</f>
        <v/>
      </c>
      <c r="E883" t="n">
        <v>21293</v>
      </c>
      <c r="F883" t="inlineStr">
        <is>
          <t>Skilled Nursing and Interm. Care Facility</t>
        </is>
      </c>
      <c r="G883" t="inlineStr">
        <is>
          <t>1652 Mono Ave</t>
        </is>
      </c>
      <c r="H883" t="inlineStr">
        <is>
          <t>San Leandro</t>
        </is>
      </c>
      <c r="I883" t="inlineStr">
        <is>
          <t>Alameda</t>
        </is>
      </c>
      <c r="J883" t="inlineStr">
        <is>
          <t>All Saints Subacute &amp; Transitional Care</t>
        </is>
      </c>
    </row>
    <row r="884">
      <c r="A884">
        <f>--ISNUMBER(IFERROR(SEARCH($C$5,Inputs!$D884,1),""))</f>
        <v/>
      </c>
      <c r="B884">
        <f>IF(A884=1,COUNTIF($A$6:A884,1),"")</f>
        <v/>
      </c>
      <c r="C884">
        <f>IFERROR(INDEX($D$6:$D$1750,MATCH(ROWS($B$6:B884),$B$6:$B$1750,0)),"")</f>
        <v/>
      </c>
      <c r="D884">
        <f>J884&amp;" ("&amp;E884&amp;")"</f>
        <v/>
      </c>
      <c r="E884" t="n">
        <v>21294</v>
      </c>
      <c r="F884" t="inlineStr">
        <is>
          <t>Skilled Nursing and Interm. Care Facility</t>
        </is>
      </c>
      <c r="G884" t="inlineStr">
        <is>
          <t>524 Callan Avenue</t>
        </is>
      </c>
      <c r="H884" t="inlineStr">
        <is>
          <t>San Leandro</t>
        </is>
      </c>
      <c r="I884" t="inlineStr">
        <is>
          <t>Alameda</t>
        </is>
      </c>
      <c r="J884" t="inlineStr">
        <is>
          <t>Jones Convalescent Hospital</t>
        </is>
      </c>
    </row>
    <row r="885">
      <c r="A885">
        <f>--ISNUMBER(IFERROR(SEARCH($C$5,Inputs!$D885,1),""))</f>
        <v/>
      </c>
      <c r="B885">
        <f>IF(A885=1,COUNTIF($A$6:A885,1),"")</f>
        <v/>
      </c>
      <c r="C885">
        <f>IFERROR(INDEX($D$6:$D$1750,MATCH(ROWS($B$6:B885),$B$6:$B$1750,0)),"")</f>
        <v/>
      </c>
      <c r="D885">
        <f>J885&amp;" ("&amp;E885&amp;")"</f>
        <v/>
      </c>
      <c r="E885" t="n">
        <v>21301</v>
      </c>
      <c r="F885" t="inlineStr">
        <is>
          <t>Skilled Nursing and Interm. Care Facility</t>
        </is>
      </c>
      <c r="G885" t="inlineStr">
        <is>
          <t>2131 Carleton Street</t>
        </is>
      </c>
      <c r="H885" t="inlineStr">
        <is>
          <t>Berkeley</t>
        </is>
      </c>
      <c r="I885" t="inlineStr">
        <is>
          <t>Alameda</t>
        </is>
      </c>
      <c r="J885" t="inlineStr">
        <is>
          <t>Kyakameena Care Center</t>
        </is>
      </c>
    </row>
    <row r="886">
      <c r="A886">
        <f>--ISNUMBER(IFERROR(SEARCH($C$5,Inputs!$D886,1),""))</f>
        <v/>
      </c>
      <c r="B886">
        <f>IF(A886=1,COUNTIF($A$6:A886,1),"")</f>
        <v/>
      </c>
      <c r="C886">
        <f>IFERROR(INDEX($D$6:$D$1750,MATCH(ROWS($B$6:B886),$B$6:$B$1750,0)),"")</f>
        <v/>
      </c>
      <c r="D886">
        <f>J886&amp;" ("&amp;E886&amp;")"</f>
        <v/>
      </c>
      <c r="E886" t="n">
        <v>21303</v>
      </c>
      <c r="F886" t="inlineStr">
        <is>
          <t>Skilled Nursing and Interm. Care Facility</t>
        </is>
      </c>
      <c r="G886" t="inlineStr">
        <is>
          <t>1850 Alice Street</t>
        </is>
      </c>
      <c r="H886" t="inlineStr">
        <is>
          <t>Oakland</t>
        </is>
      </c>
      <c r="I886" t="inlineStr">
        <is>
          <t>Alameda</t>
        </is>
      </c>
      <c r="J886" t="inlineStr">
        <is>
          <t>Lake Park Retirement Residence</t>
        </is>
      </c>
    </row>
    <row r="887">
      <c r="A887">
        <f>--ISNUMBER(IFERROR(SEARCH($C$5,Inputs!$D887,1),""))</f>
        <v/>
      </c>
      <c r="B887">
        <f>IF(A887=1,COUNTIF($A$6:A887,1),"")</f>
        <v/>
      </c>
      <c r="C887">
        <f>IFERROR(INDEX($D$6:$D$1750,MATCH(ROWS($B$6:B887),$B$6:$B$1750,0)),"")</f>
        <v/>
      </c>
      <c r="D887">
        <f>J887&amp;" ("&amp;E887&amp;")"</f>
        <v/>
      </c>
      <c r="E887" t="n">
        <v>21305</v>
      </c>
      <c r="F887" t="inlineStr">
        <is>
          <t>Skilled Nursing and Interm. Care Facility</t>
        </is>
      </c>
      <c r="G887" t="inlineStr">
        <is>
          <t>3939 Walnut Avenue</t>
        </is>
      </c>
      <c r="H887" t="inlineStr">
        <is>
          <t>Carmichael</t>
        </is>
      </c>
      <c r="I887" t="inlineStr">
        <is>
          <t>Sacramento</t>
        </is>
      </c>
      <c r="J887" t="inlineStr">
        <is>
          <t>Eskaton Village Care Center</t>
        </is>
      </c>
    </row>
    <row r="888">
      <c r="A888">
        <f>--ISNUMBER(IFERROR(SEARCH($C$5,Inputs!$D888,1),""))</f>
        <v/>
      </c>
      <c r="B888">
        <f>IF(A888=1,COUNTIF($A$6:A888,1),"")</f>
        <v/>
      </c>
      <c r="C888">
        <f>IFERROR(INDEX($D$6:$D$1750,MATCH(ROWS($B$6:B888),$B$6:$B$1750,0)),"")</f>
        <v/>
      </c>
      <c r="D888">
        <f>J888&amp;" ("&amp;E888&amp;")"</f>
        <v/>
      </c>
      <c r="E888" t="n">
        <v>21308</v>
      </c>
      <c r="F888" t="inlineStr">
        <is>
          <t>Skilled Nursing and Interm. Care Facility</t>
        </is>
      </c>
      <c r="G888" t="inlineStr">
        <is>
          <t>788 Holmes Street</t>
        </is>
      </c>
      <c r="H888" t="inlineStr">
        <is>
          <t>Livermore</t>
        </is>
      </c>
      <c r="I888" t="inlineStr">
        <is>
          <t>Alameda</t>
        </is>
      </c>
      <c r="J888" t="inlineStr">
        <is>
          <t>Avondale Villa Post-Acute</t>
        </is>
      </c>
    </row>
    <row r="889">
      <c r="A889">
        <f>--ISNUMBER(IFERROR(SEARCH($C$5,Inputs!$D889,1),""))</f>
        <v/>
      </c>
      <c r="B889">
        <f>IF(A889=1,COUNTIF($A$6:A889,1),"")</f>
        <v/>
      </c>
      <c r="C889">
        <f>IFERROR(INDEX($D$6:$D$1750,MATCH(ROWS($B$6:B889),$B$6:$B$1750,0)),"")</f>
        <v/>
      </c>
      <c r="D889">
        <f>J889&amp;" ("&amp;E889&amp;")"</f>
        <v/>
      </c>
      <c r="E889" t="n">
        <v>21310</v>
      </c>
      <c r="F889" t="inlineStr">
        <is>
          <t>Skilled Nursing and Interm. Care Facility</t>
        </is>
      </c>
      <c r="G889" t="inlineStr">
        <is>
          <t>309 Macarthur Boulevard</t>
        </is>
      </c>
      <c r="H889" t="inlineStr">
        <is>
          <t>Oakland</t>
        </is>
      </c>
      <c r="I889" t="inlineStr">
        <is>
          <t>Alameda</t>
        </is>
      </c>
      <c r="J889" t="inlineStr">
        <is>
          <t>Lake Merritt Healthcare Center LLC</t>
        </is>
      </c>
    </row>
    <row r="890">
      <c r="A890">
        <f>--ISNUMBER(IFERROR(SEARCH($C$5,Inputs!$D890,1),""))</f>
        <v/>
      </c>
      <c r="B890">
        <f>IF(A890=1,COUNTIF($A$6:A890,1),"")</f>
        <v/>
      </c>
      <c r="C890">
        <f>IFERROR(INDEX($D$6:$D$1750,MATCH(ROWS($B$6:B890),$B$6:$B$1750,0)),"")</f>
        <v/>
      </c>
      <c r="D890">
        <f>J890&amp;" ("&amp;E890&amp;")"</f>
        <v/>
      </c>
      <c r="E890" t="n">
        <v>21312</v>
      </c>
      <c r="F890" t="inlineStr">
        <is>
          <t>Skilled Nursing and Interm. Care Facility</t>
        </is>
      </c>
      <c r="G890" t="inlineStr">
        <is>
          <t>1628 B Street</t>
        </is>
      </c>
      <c r="H890" t="inlineStr">
        <is>
          <t>Hayward</t>
        </is>
      </c>
      <c r="I890" t="inlineStr">
        <is>
          <t>Alameda</t>
        </is>
      </c>
      <c r="J890" t="inlineStr">
        <is>
          <t>Windsor Gardens Care Center of Hayward</t>
        </is>
      </c>
    </row>
    <row r="891">
      <c r="A891">
        <f>--ISNUMBER(IFERROR(SEARCH($C$5,Inputs!$D891,1),""))</f>
        <v/>
      </c>
      <c r="B891">
        <f>IF(A891=1,COUNTIF($A$6:A891,1),"")</f>
        <v/>
      </c>
      <c r="C891">
        <f>IFERROR(INDEX($D$6:$D$1750,MATCH(ROWS($B$6:B891),$B$6:$B$1750,0)),"")</f>
        <v/>
      </c>
      <c r="D891">
        <f>J891&amp;" ("&amp;E891&amp;")"</f>
        <v/>
      </c>
      <c r="E891" t="n">
        <v>21313</v>
      </c>
      <c r="F891" t="inlineStr">
        <is>
          <t>Skilled Nursing and Interm. Care Facility</t>
        </is>
      </c>
      <c r="G891" t="inlineStr">
        <is>
          <t>3201 Fernside Boulevard</t>
        </is>
      </c>
      <c r="H891" t="inlineStr">
        <is>
          <t>Alameda</t>
        </is>
      </c>
      <c r="I891" t="inlineStr">
        <is>
          <t>Alameda</t>
        </is>
      </c>
      <c r="J891" t="inlineStr">
        <is>
          <t>Marina Garden Nursing Center</t>
        </is>
      </c>
    </row>
    <row r="892">
      <c r="A892">
        <f>--ISNUMBER(IFERROR(SEARCH($C$5,Inputs!$D892,1),""))</f>
        <v/>
      </c>
      <c r="B892">
        <f>IF(A892=1,COUNTIF($A$6:A892,1),"")</f>
        <v/>
      </c>
      <c r="C892">
        <f>IFERROR(INDEX($D$6:$D$1750,MATCH(ROWS($B$6:B892),$B$6:$B$1750,0)),"")</f>
        <v/>
      </c>
      <c r="D892">
        <f>J892&amp;" ("&amp;E892&amp;")"</f>
        <v/>
      </c>
      <c r="E892" t="n">
        <v>21315</v>
      </c>
      <c r="F892" t="inlineStr">
        <is>
          <t>Skilled Nursing and Interm. Care Facility</t>
        </is>
      </c>
      <c r="G892" t="inlineStr">
        <is>
          <t>34400 Mission Blvd</t>
        </is>
      </c>
      <c r="H892" t="inlineStr">
        <is>
          <t>Union City</t>
        </is>
      </c>
      <c r="I892" t="inlineStr">
        <is>
          <t>Alameda</t>
        </is>
      </c>
      <c r="J892" t="inlineStr">
        <is>
          <t>Masonic Home</t>
        </is>
      </c>
    </row>
    <row r="893">
      <c r="A893">
        <f>--ISNUMBER(IFERROR(SEARCH($C$5,Inputs!$D893,1),""))</f>
        <v/>
      </c>
      <c r="B893">
        <f>IF(A893=1,COUNTIF($A$6:A893,1),"")</f>
        <v/>
      </c>
      <c r="C893">
        <f>IFERROR(INDEX($D$6:$D$1750,MATCH(ROWS($B$6:B893),$B$6:$B$1750,0)),"")</f>
        <v/>
      </c>
      <c r="D893">
        <f>J893&amp;" ("&amp;E893&amp;")"</f>
        <v/>
      </c>
      <c r="E893" t="n">
        <v>21317</v>
      </c>
      <c r="F893" t="inlineStr">
        <is>
          <t>Skilled Nursing and Interm. Care Facility</t>
        </is>
      </c>
      <c r="G893" t="inlineStr">
        <is>
          <t>2910 Mcclure Street</t>
        </is>
      </c>
      <c r="H893" t="inlineStr">
        <is>
          <t>Oakland</t>
        </is>
      </c>
      <c r="I893" t="inlineStr">
        <is>
          <t>Alameda</t>
        </is>
      </c>
      <c r="J893" t="inlineStr">
        <is>
          <t>McClure Post Acute</t>
        </is>
      </c>
    </row>
    <row r="894">
      <c r="A894">
        <f>--ISNUMBER(IFERROR(SEARCH($C$5,Inputs!$D894,1),""))</f>
        <v/>
      </c>
      <c r="B894">
        <f>IF(A894=1,COUNTIF($A$6:A894,1),"")</f>
        <v/>
      </c>
      <c r="C894">
        <f>IFERROR(INDEX($D$6:$D$1750,MATCH(ROWS($B$6:B894),$B$6:$B$1750,0)),"")</f>
        <v/>
      </c>
      <c r="D894">
        <f>J894&amp;" ("&amp;E894&amp;")"</f>
        <v/>
      </c>
      <c r="E894" t="n">
        <v>21320</v>
      </c>
      <c r="F894" t="inlineStr">
        <is>
          <t>Skilled Nursing and Interm. Care Facility</t>
        </is>
      </c>
      <c r="G894" t="inlineStr">
        <is>
          <t>475 29th Street</t>
        </is>
      </c>
      <c r="H894" t="inlineStr">
        <is>
          <t>Oakland</t>
        </is>
      </c>
      <c r="I894" t="inlineStr">
        <is>
          <t>Alameda</t>
        </is>
      </c>
      <c r="J894" t="inlineStr">
        <is>
          <t>Medical Hill Healthcare Center</t>
        </is>
      </c>
    </row>
    <row r="895">
      <c r="A895">
        <f>--ISNUMBER(IFERROR(SEARCH($C$5,Inputs!$D895,1),""))</f>
        <v/>
      </c>
      <c r="B895">
        <f>IF(A895=1,COUNTIF($A$6:A895,1),"")</f>
        <v/>
      </c>
      <c r="C895">
        <f>IFERROR(INDEX($D$6:$D$1750,MATCH(ROWS($B$6:B895),$B$6:$B$1750,0)),"")</f>
        <v/>
      </c>
      <c r="D895">
        <f>J895&amp;" ("&amp;E895&amp;")"</f>
        <v/>
      </c>
      <c r="E895" t="n">
        <v>21323</v>
      </c>
      <c r="F895" t="inlineStr">
        <is>
          <t>Skilled Nursing and Interm. Care Facility</t>
        </is>
      </c>
      <c r="G895" t="inlineStr">
        <is>
          <t>38650 Mission Boulevard</t>
        </is>
      </c>
      <c r="H895" t="inlineStr">
        <is>
          <t>Fremont</t>
        </is>
      </c>
      <c r="I895" t="inlineStr">
        <is>
          <t>Alameda</t>
        </is>
      </c>
      <c r="J895" t="inlineStr">
        <is>
          <t>Niles Canyon Post Acute</t>
        </is>
      </c>
    </row>
    <row r="896">
      <c r="A896">
        <f>--ISNUMBER(IFERROR(SEARCH($C$5,Inputs!$D896,1),""))</f>
        <v/>
      </c>
      <c r="B896">
        <f>IF(A896=1,COUNTIF($A$6:A896,1),"")</f>
        <v/>
      </c>
      <c r="C896">
        <f>IFERROR(INDEX($D$6:$D$1750,MATCH(ROWS($B$6:B896),$B$6:$B$1750,0)),"")</f>
        <v/>
      </c>
      <c r="D896">
        <f>J896&amp;" ("&amp;E896&amp;")"</f>
        <v/>
      </c>
      <c r="E896" t="n">
        <v>21324</v>
      </c>
      <c r="F896" t="inlineStr">
        <is>
          <t>Skilled Nursing and Interm. Care Facility</t>
        </is>
      </c>
      <c r="G896" t="inlineStr">
        <is>
          <t>22822 Myrtle Street</t>
        </is>
      </c>
      <c r="H896" t="inlineStr">
        <is>
          <t>Hayward</t>
        </is>
      </c>
      <c r="I896" t="inlineStr">
        <is>
          <t>Alameda</t>
        </is>
      </c>
      <c r="J896" t="inlineStr">
        <is>
          <t>Serenethos Care Center, LLC</t>
        </is>
      </c>
    </row>
    <row r="897">
      <c r="A897">
        <f>--ISNUMBER(IFERROR(SEARCH($C$5,Inputs!$D897,1),""))</f>
        <v/>
      </c>
      <c r="B897">
        <f>IF(A897=1,COUNTIF($A$6:A897,1),"")</f>
        <v/>
      </c>
      <c r="C897">
        <f>IFERROR(INDEX($D$6:$D$1750,MATCH(ROWS($B$6:B897),$B$6:$B$1750,0)),"")</f>
        <v/>
      </c>
      <c r="D897">
        <f>J897&amp;" ("&amp;E897&amp;")"</f>
        <v/>
      </c>
      <c r="E897" t="n">
        <v>21331</v>
      </c>
      <c r="F897" t="inlineStr">
        <is>
          <t>Skilled Nursing and Interm. Care Facility</t>
        </is>
      </c>
      <c r="G897" t="inlineStr">
        <is>
          <t>525 East 18th Street</t>
        </is>
      </c>
      <c r="H897" t="inlineStr">
        <is>
          <t>Oakland</t>
        </is>
      </c>
      <c r="I897" t="inlineStr">
        <is>
          <t>Alameda</t>
        </is>
      </c>
      <c r="J897" t="inlineStr">
        <is>
          <t>Park Merritt Care Center</t>
        </is>
      </c>
    </row>
    <row r="898">
      <c r="A898">
        <f>--ISNUMBER(IFERROR(SEARCH($C$5,Inputs!$D898,1),""))</f>
        <v/>
      </c>
      <c r="B898">
        <f>IF(A898=1,COUNTIF($A$6:A898,1),"")</f>
        <v/>
      </c>
      <c r="C898">
        <f>IFERROR(INDEX($D$6:$D$1750,MATCH(ROWS($B$6:B898),$B$6:$B$1750,0)),"")</f>
        <v/>
      </c>
      <c r="D898">
        <f>J898&amp;" ("&amp;E898&amp;")"</f>
        <v/>
      </c>
      <c r="E898" t="n">
        <v>21332</v>
      </c>
      <c r="F898" t="inlineStr">
        <is>
          <t>Skilled Nursing and Interm. Care Facility</t>
        </is>
      </c>
      <c r="G898" t="inlineStr">
        <is>
          <t>1440 168th Avenue</t>
        </is>
      </c>
      <c r="H898" t="inlineStr">
        <is>
          <t>San Leandro</t>
        </is>
      </c>
      <c r="I898" t="inlineStr">
        <is>
          <t>Alameda</t>
        </is>
      </c>
      <c r="J898" t="inlineStr">
        <is>
          <t>Kaiser Permanente Post Acute Care Center</t>
        </is>
      </c>
    </row>
    <row r="899">
      <c r="A899">
        <f>--ISNUMBER(IFERROR(SEARCH($C$5,Inputs!$D899,1),""))</f>
        <v/>
      </c>
      <c r="B899">
        <f>IF(A899=1,COUNTIF($A$6:A899,1),"")</f>
        <v/>
      </c>
      <c r="C899">
        <f>IFERROR(INDEX($D$6:$D$1750,MATCH(ROWS($B$6:B899),$B$6:$B$1750,0)),"")</f>
        <v/>
      </c>
      <c r="D899">
        <f>J899&amp;" ("&amp;E899&amp;")"</f>
        <v/>
      </c>
      <c r="E899" t="n">
        <v>21333</v>
      </c>
      <c r="F899" t="inlineStr">
        <is>
          <t>Skilled Nursing and Interm. Care Facility</t>
        </is>
      </c>
      <c r="G899" t="inlineStr">
        <is>
          <t>2400 Parkside Drive</t>
        </is>
      </c>
      <c r="H899" t="inlineStr">
        <is>
          <t>Fremont</t>
        </is>
      </c>
      <c r="I899" t="inlineStr">
        <is>
          <t>Alameda</t>
        </is>
      </c>
      <c r="J899" t="inlineStr">
        <is>
          <t>Windsor Park Care Center of Fremont</t>
        </is>
      </c>
    </row>
    <row r="900">
      <c r="A900">
        <f>--ISNUMBER(IFERROR(SEARCH($C$5,Inputs!$D900,1),""))</f>
        <v/>
      </c>
      <c r="B900">
        <f>IF(A900=1,COUNTIF($A$6:A900,1),"")</f>
        <v/>
      </c>
      <c r="C900">
        <f>IFERROR(INDEX($D$6:$D$1750,MATCH(ROWS($B$6:B900),$B$6:$B$1750,0)),"")</f>
        <v/>
      </c>
      <c r="D900">
        <f>J900&amp;" ("&amp;E900&amp;")"</f>
        <v/>
      </c>
      <c r="E900" t="n">
        <v>21337</v>
      </c>
      <c r="F900" t="inlineStr">
        <is>
          <t>Skilled Nursing and Interm. Care Facility</t>
        </is>
      </c>
      <c r="G900" t="inlineStr">
        <is>
          <t>4432 James Avenue</t>
        </is>
      </c>
      <c r="H900" t="inlineStr">
        <is>
          <t>Castro Valley</t>
        </is>
      </c>
      <c r="I900" t="inlineStr">
        <is>
          <t>Alameda</t>
        </is>
      </c>
      <c r="J900" t="inlineStr">
        <is>
          <t>St John Kronstadt Convalescent Center</t>
        </is>
      </c>
    </row>
    <row r="901">
      <c r="A901">
        <f>--ISNUMBER(IFERROR(SEARCH($C$5,Inputs!$D901,1),""))</f>
        <v/>
      </c>
      <c r="B901">
        <f>IF(A901=1,COUNTIF($A$6:A901,1),"")</f>
        <v/>
      </c>
      <c r="C901">
        <f>IFERROR(INDEX($D$6:$D$1750,MATCH(ROWS($B$6:B901),$B$6:$B$1750,0)),"")</f>
        <v/>
      </c>
      <c r="D901">
        <f>J901&amp;" ("&amp;E901&amp;")"</f>
        <v/>
      </c>
      <c r="E901" t="n">
        <v>21340</v>
      </c>
      <c r="F901" t="inlineStr">
        <is>
          <t>Skilled Nursing and Interm. Care Facility</t>
        </is>
      </c>
      <c r="G901" t="inlineStr">
        <is>
          <t>22103 Redwood Road</t>
        </is>
      </c>
      <c r="H901" t="inlineStr">
        <is>
          <t>Castro Valley</t>
        </is>
      </c>
      <c r="I901" t="inlineStr">
        <is>
          <t>Alameda</t>
        </is>
      </c>
      <c r="J901" t="inlineStr">
        <is>
          <t>Redwood Convalescent Hospital, Inc.</t>
        </is>
      </c>
    </row>
    <row r="902">
      <c r="A902">
        <f>--ISNUMBER(IFERROR(SEARCH($C$5,Inputs!$D902,1),""))</f>
        <v/>
      </c>
      <c r="B902">
        <f>IF(A902=1,COUNTIF($A$6:A902,1),"")</f>
        <v/>
      </c>
      <c r="C902">
        <f>IFERROR(INDEX($D$6:$D$1750,MATCH(ROWS($B$6:B902),$B$6:$B$1750,0)),"")</f>
        <v/>
      </c>
      <c r="D902">
        <f>J902&amp;" ("&amp;E902&amp;")"</f>
        <v/>
      </c>
      <c r="E902" t="n">
        <v>21342</v>
      </c>
      <c r="F902" t="inlineStr">
        <is>
          <t>Skilled Nursing and Interm. Care Facility</t>
        </is>
      </c>
      <c r="G902" t="inlineStr">
        <is>
          <t>210 40th Street Way</t>
        </is>
      </c>
      <c r="H902" t="inlineStr">
        <is>
          <t>Oakland</t>
        </is>
      </c>
      <c r="I902" t="inlineStr">
        <is>
          <t>Alameda</t>
        </is>
      </c>
      <c r="J902" t="inlineStr">
        <is>
          <t>The Rehabilitation Center of Oakland</t>
        </is>
      </c>
    </row>
    <row r="903">
      <c r="A903">
        <f>--ISNUMBER(IFERROR(SEARCH($C$5,Inputs!$D903,1),""))</f>
        <v/>
      </c>
      <c r="B903">
        <f>IF(A903=1,COUNTIF($A$6:A903,1),"")</f>
        <v/>
      </c>
      <c r="C903">
        <f>IFERROR(INDEX($D$6:$D$1750,MATCH(ROWS($B$6:B903),$B$6:$B$1750,0)),"")</f>
        <v/>
      </c>
      <c r="D903">
        <f>J903&amp;" ("&amp;E903&amp;")"</f>
        <v/>
      </c>
      <c r="E903" t="n">
        <v>21343</v>
      </c>
      <c r="F903" t="inlineStr">
        <is>
          <t>Skilled Nursing and Interm. Care Facility</t>
        </is>
      </c>
      <c r="G903" t="inlineStr">
        <is>
          <t>100 Bay Place</t>
        </is>
      </c>
      <c r="H903" t="inlineStr">
        <is>
          <t>Oakland</t>
        </is>
      </c>
      <c r="I903" t="inlineStr">
        <is>
          <t>Alameda</t>
        </is>
      </c>
      <c r="J903" t="inlineStr">
        <is>
          <t>St. Paul's Towers</t>
        </is>
      </c>
    </row>
    <row r="904">
      <c r="A904">
        <f>--ISNUMBER(IFERROR(SEARCH($C$5,Inputs!$D904,1),""))</f>
        <v/>
      </c>
      <c r="B904">
        <f>IF(A904=1,COUNTIF($A$6:A904,1),"")</f>
        <v/>
      </c>
      <c r="C904">
        <f>IFERROR(INDEX($D$6:$D$1750,MATCH(ROWS($B$6:B904),$B$6:$B$1750,0)),"")</f>
        <v/>
      </c>
      <c r="D904">
        <f>J904&amp;" ("&amp;E904&amp;")"</f>
        <v/>
      </c>
      <c r="E904" t="n">
        <v>21345</v>
      </c>
      <c r="F904" t="inlineStr">
        <is>
          <t>Skilled Nursing and Interm. Care Facility</t>
        </is>
      </c>
      <c r="G904" t="inlineStr">
        <is>
          <t>21863 Vallejo Street</t>
        </is>
      </c>
      <c r="H904" t="inlineStr">
        <is>
          <t>Hayward</t>
        </is>
      </c>
      <c r="I904" t="inlineStr">
        <is>
          <t>Alameda</t>
        </is>
      </c>
      <c r="J904" t="inlineStr">
        <is>
          <t>We Care Skilled Nursing Facility</t>
        </is>
      </c>
    </row>
    <row r="905">
      <c r="A905">
        <f>--ISNUMBER(IFERROR(SEARCH($C$5,Inputs!$D905,1),""))</f>
        <v/>
      </c>
      <c r="B905">
        <f>IF(A905=1,COUNTIF($A$6:A905,1),"")</f>
        <v/>
      </c>
      <c r="C905">
        <f>IFERROR(INDEX($D$6:$D$1750,MATCH(ROWS($B$6:B905),$B$6:$B$1750,0)),"")</f>
        <v/>
      </c>
      <c r="D905">
        <f>J905&amp;" ("&amp;E905&amp;")"</f>
        <v/>
      </c>
      <c r="E905" t="n">
        <v>21347</v>
      </c>
      <c r="F905" t="inlineStr">
        <is>
          <t>Skilled Nursing and Interm. Care Facility</t>
        </is>
      </c>
      <c r="G905" t="inlineStr">
        <is>
          <t>368 Juana Avenue</t>
        </is>
      </c>
      <c r="H905" t="inlineStr">
        <is>
          <t>San Leandro</t>
        </is>
      </c>
      <c r="I905" t="inlineStr">
        <is>
          <t>Alameda</t>
        </is>
      </c>
      <c r="J905" t="inlineStr">
        <is>
          <t>San Leandro Healthcare Center</t>
        </is>
      </c>
    </row>
    <row r="906">
      <c r="A906">
        <f>--ISNUMBER(IFERROR(SEARCH($C$5,Inputs!$D906,1),""))</f>
        <v/>
      </c>
      <c r="B906">
        <f>IF(A906=1,COUNTIF($A$6:A906,1),"")</f>
        <v/>
      </c>
      <c r="C906">
        <f>IFERROR(INDEX($D$6:$D$1750,MATCH(ROWS($B$6:B906),$B$6:$B$1750,0)),"")</f>
        <v/>
      </c>
      <c r="D906">
        <f>J906&amp;" ("&amp;E906&amp;")"</f>
        <v/>
      </c>
      <c r="E906" t="n">
        <v>21351</v>
      </c>
      <c r="F906" t="inlineStr">
        <is>
          <t>Skilled Nursing and Interm. Care Facility</t>
        </is>
      </c>
      <c r="G906" t="inlineStr">
        <is>
          <t>516 Willow Street</t>
        </is>
      </c>
      <c r="H906" t="inlineStr">
        <is>
          <t>Alameda</t>
        </is>
      </c>
      <c r="I906" t="inlineStr">
        <is>
          <t>Alameda</t>
        </is>
      </c>
      <c r="J906" t="inlineStr">
        <is>
          <t>Bay View Rehabilitation Hospital, LLC</t>
        </is>
      </c>
    </row>
    <row r="907">
      <c r="A907">
        <f>--ISNUMBER(IFERROR(SEARCH($C$5,Inputs!$D907,1),""))</f>
        <v/>
      </c>
      <c r="B907">
        <f>IF(A907=1,COUNTIF($A$6:A907,1),"")</f>
        <v/>
      </c>
      <c r="C907">
        <f>IFERROR(INDEX($D$6:$D$1750,MATCH(ROWS($B$6:B907),$B$6:$B$1750,0)),"")</f>
        <v/>
      </c>
      <c r="D907">
        <f>J907&amp;" ("&amp;E907&amp;")"</f>
        <v/>
      </c>
      <c r="E907" t="n">
        <v>21352</v>
      </c>
      <c r="F907" t="inlineStr">
        <is>
          <t>Skilled Nursing and Interm. Care Facility</t>
        </is>
      </c>
      <c r="G907" t="inlineStr">
        <is>
          <t>430 Willow Street</t>
        </is>
      </c>
      <c r="H907" t="inlineStr">
        <is>
          <t>Alameda</t>
        </is>
      </c>
      <c r="I907" t="inlineStr">
        <is>
          <t>Alameda</t>
        </is>
      </c>
      <c r="J907" t="inlineStr">
        <is>
          <t>Alameda Healthcare &amp; Wellness Center</t>
        </is>
      </c>
    </row>
    <row r="908">
      <c r="A908">
        <f>--ISNUMBER(IFERROR(SEARCH($C$5,Inputs!$D908,1),""))</f>
        <v/>
      </c>
      <c r="B908">
        <f>IF(A908=1,COUNTIF($A$6:A908,1),"")</f>
        <v/>
      </c>
      <c r="C908">
        <f>IFERROR(INDEX($D$6:$D$1750,MATCH(ROWS($B$6:B908),$B$6:$B$1750,0)),"")</f>
        <v/>
      </c>
      <c r="D908">
        <f>J908&amp;" ("&amp;E908&amp;")"</f>
        <v/>
      </c>
      <c r="E908" t="n">
        <v>21353</v>
      </c>
      <c r="F908" t="inlineStr">
        <is>
          <t>Skilled Nursing and Interm. Care Facility</t>
        </is>
      </c>
      <c r="G908" t="inlineStr">
        <is>
          <t>625 Willow Street</t>
        </is>
      </c>
      <c r="H908" t="inlineStr">
        <is>
          <t>Alameda</t>
        </is>
      </c>
      <c r="I908" t="inlineStr">
        <is>
          <t>Alameda</t>
        </is>
      </c>
      <c r="J908" t="inlineStr">
        <is>
          <t>Alameda Hospital - Southshore Convalescent</t>
        </is>
      </c>
    </row>
    <row r="909">
      <c r="A909">
        <f>--ISNUMBER(IFERROR(SEARCH($C$5,Inputs!$D909,1),""))</f>
        <v/>
      </c>
      <c r="B909">
        <f>IF(A909=1,COUNTIF($A$6:A909,1),"")</f>
        <v/>
      </c>
      <c r="C909">
        <f>IFERROR(INDEX($D$6:$D$1750,MATCH(ROWS($B$6:B909),$B$6:$B$1750,0)),"")</f>
        <v/>
      </c>
      <c r="D909">
        <f>J909&amp;" ("&amp;E909&amp;")"</f>
        <v/>
      </c>
      <c r="E909" t="n">
        <v>21358</v>
      </c>
      <c r="F909" t="inlineStr">
        <is>
          <t>Skilled Nursing and Interm. Care Facility</t>
        </is>
      </c>
      <c r="G909" t="inlineStr">
        <is>
          <t>25622 Alessandro Blvd</t>
        </is>
      </c>
      <c r="H909" t="inlineStr">
        <is>
          <t>Moreno Valley</t>
        </is>
      </c>
      <c r="I909" t="inlineStr">
        <is>
          <t>Riverside</t>
        </is>
      </c>
      <c r="J909" t="inlineStr">
        <is>
          <t>Moreno Valley Skilled Nursing Facility</t>
        </is>
      </c>
    </row>
    <row r="910">
      <c r="A910">
        <f>--ISNUMBER(IFERROR(SEARCH($C$5,Inputs!$D910,1),""))</f>
        <v/>
      </c>
      <c r="B910">
        <f>IF(A910=1,COUNTIF($A$6:A910,1),"")</f>
        <v/>
      </c>
      <c r="C910">
        <f>IFERROR(INDEX($D$6:$D$1750,MATCH(ROWS($B$6:B910),$B$6:$B$1750,0)),"")</f>
        <v/>
      </c>
      <c r="D910">
        <f>J910&amp;" ("&amp;E910&amp;")"</f>
        <v/>
      </c>
      <c r="E910" t="n">
        <v>21368</v>
      </c>
      <c r="F910" t="inlineStr">
        <is>
          <t>Skilled Nursing and Interm. Care Facility</t>
        </is>
      </c>
      <c r="G910" t="inlineStr">
        <is>
          <t>2124 57th Avenue</t>
        </is>
      </c>
      <c r="H910" t="inlineStr">
        <is>
          <t>Oakland</t>
        </is>
      </c>
      <c r="I910" t="inlineStr">
        <is>
          <t>Alameda</t>
        </is>
      </c>
      <c r="J910" t="inlineStr">
        <is>
          <t>Princeton Manor Healthcare Center, LLC</t>
        </is>
      </c>
    </row>
    <row r="911">
      <c r="A911">
        <f>--ISNUMBER(IFERROR(SEARCH($C$5,Inputs!$D911,1),""))</f>
        <v/>
      </c>
      <c r="B911">
        <f>IF(A911=1,COUNTIF($A$6:A911,1),"")</f>
        <v/>
      </c>
      <c r="C911">
        <f>IFERROR(INDEX($D$6:$D$1750,MATCH(ROWS($B$6:B911),$B$6:$B$1750,0)),"")</f>
        <v/>
      </c>
      <c r="D911">
        <f>J911&amp;" ("&amp;E911&amp;")"</f>
        <v/>
      </c>
      <c r="E911" t="n">
        <v>21370</v>
      </c>
      <c r="F911" t="inlineStr">
        <is>
          <t>Skilled Nursing and Interm. Care Facility</t>
        </is>
      </c>
      <c r="G911" t="inlineStr">
        <is>
          <t>2919 Fruitvale Avenue</t>
        </is>
      </c>
      <c r="H911" t="inlineStr">
        <is>
          <t>Oakland</t>
        </is>
      </c>
      <c r="I911" t="inlineStr">
        <is>
          <t>Alameda</t>
        </is>
      </c>
      <c r="J911" t="inlineStr">
        <is>
          <t>Windsor Healthcare Center of Oakland</t>
        </is>
      </c>
    </row>
    <row r="912">
      <c r="A912">
        <f>--ISNUMBER(IFERROR(SEARCH($C$5,Inputs!$D912,1),""))</f>
        <v/>
      </c>
      <c r="B912">
        <f>IF(A912=1,COUNTIF($A$6:A912,1),"")</f>
        <v/>
      </c>
      <c r="C912">
        <f>IFERROR(INDEX($D$6:$D$1750,MATCH(ROWS($B$6:B912),$B$6:$B$1750,0)),"")</f>
        <v/>
      </c>
      <c r="D912">
        <f>J912&amp;" ("&amp;E912&amp;")"</f>
        <v/>
      </c>
      <c r="E912" t="n">
        <v>21371</v>
      </c>
      <c r="F912" t="inlineStr">
        <is>
          <t>Skilled Nursing and Interm. Care Facility</t>
        </is>
      </c>
      <c r="G912" t="inlineStr">
        <is>
          <t>1451 28th Avenue</t>
        </is>
      </c>
      <c r="H912" t="inlineStr">
        <is>
          <t>Oakland</t>
        </is>
      </c>
      <c r="I912" t="inlineStr">
        <is>
          <t>Alameda</t>
        </is>
      </c>
      <c r="J912" t="inlineStr">
        <is>
          <t>Garfield Neurobehavioral Center</t>
        </is>
      </c>
    </row>
    <row r="913">
      <c r="A913">
        <f>--ISNUMBER(IFERROR(SEARCH($C$5,Inputs!$D913,1),""))</f>
        <v/>
      </c>
      <c r="B913">
        <f>IF(A913=1,COUNTIF($A$6:A913,1),"")</f>
        <v/>
      </c>
      <c r="C913">
        <f>IFERROR(INDEX($D$6:$D$1750,MATCH(ROWS($B$6:B913),$B$6:$B$1750,0)),"")</f>
        <v/>
      </c>
      <c r="D913">
        <f>J913&amp;" ("&amp;E913&amp;")"</f>
        <v/>
      </c>
      <c r="E913" t="n">
        <v>21372</v>
      </c>
      <c r="F913" t="inlineStr">
        <is>
          <t>Skilled Nursing and Interm. Care Facility</t>
        </is>
      </c>
      <c r="G913" t="inlineStr">
        <is>
          <t>110 41st St.</t>
        </is>
      </c>
      <c r="H913" t="inlineStr">
        <is>
          <t>Oakland</t>
        </is>
      </c>
      <c r="I913" t="inlineStr">
        <is>
          <t>Alameda</t>
        </is>
      </c>
      <c r="J913" t="inlineStr">
        <is>
          <t>Piedmont Gardens Health Facility</t>
        </is>
      </c>
    </row>
    <row r="914">
      <c r="A914">
        <f>--ISNUMBER(IFERROR(SEARCH($C$5,Inputs!$D914,1),""))</f>
        <v/>
      </c>
      <c r="B914">
        <f>IF(A914=1,COUNTIF($A$6:A914,1),"")</f>
        <v/>
      </c>
      <c r="C914">
        <f>IFERROR(INDEX($D$6:$D$1750,MATCH(ROWS($B$6:B914),$B$6:$B$1750,0)),"")</f>
        <v/>
      </c>
      <c r="D914">
        <f>J914&amp;" ("&amp;E914&amp;")"</f>
        <v/>
      </c>
      <c r="E914" t="n">
        <v>21375</v>
      </c>
      <c r="F914" t="inlineStr">
        <is>
          <t>Skilled Nursing and Interm. Care Facility</t>
        </is>
      </c>
      <c r="G914" t="inlineStr">
        <is>
          <t>26660 Patrick Avenue</t>
        </is>
      </c>
      <c r="H914" t="inlineStr">
        <is>
          <t>Hayward</t>
        </is>
      </c>
      <c r="I914" t="inlineStr">
        <is>
          <t>Alameda</t>
        </is>
      </c>
      <c r="J914" t="inlineStr">
        <is>
          <t>St. Patrick's Post Acute</t>
        </is>
      </c>
    </row>
    <row r="915">
      <c r="A915">
        <f>--ISNUMBER(IFERROR(SEARCH($C$5,Inputs!$D915,1),""))</f>
        <v/>
      </c>
      <c r="B915">
        <f>IF(A915=1,COUNTIF($A$6:A915,1),"")</f>
        <v/>
      </c>
      <c r="C915">
        <f>IFERROR(INDEX($D$6:$D$1750,MATCH(ROWS($B$6:B915),$B$6:$B$1750,0)),"")</f>
        <v/>
      </c>
      <c r="D915">
        <f>J915&amp;" ("&amp;E915&amp;")"</f>
        <v/>
      </c>
      <c r="E915" t="n">
        <v>21376</v>
      </c>
      <c r="F915" t="inlineStr">
        <is>
          <t>Skilled Nursing and Interm. Care Facility</t>
        </is>
      </c>
      <c r="G915" t="inlineStr">
        <is>
          <t>27350 Tampa Avenue</t>
        </is>
      </c>
      <c r="H915" t="inlineStr">
        <is>
          <t>Hayward</t>
        </is>
      </c>
      <c r="I915" t="inlineStr">
        <is>
          <t>Alameda</t>
        </is>
      </c>
      <c r="J915" t="inlineStr">
        <is>
          <t>Parkview Healthcare Center</t>
        </is>
      </c>
    </row>
    <row r="916">
      <c r="A916">
        <f>--ISNUMBER(IFERROR(SEARCH($C$5,Inputs!$D916,1),""))</f>
        <v/>
      </c>
      <c r="B916">
        <f>IF(A916=1,COUNTIF($A$6:A916,1),"")</f>
        <v/>
      </c>
      <c r="C916">
        <f>IFERROR(INDEX($D$6:$D$1750,MATCH(ROWS($B$6:B916),$B$6:$B$1750,0)),"")</f>
        <v/>
      </c>
      <c r="D916">
        <f>J916&amp;" ("&amp;E916&amp;")"</f>
        <v/>
      </c>
      <c r="E916" t="n">
        <v>21377</v>
      </c>
      <c r="F916" t="inlineStr">
        <is>
          <t>Skilled Nursing and Interm. Care Facility</t>
        </is>
      </c>
      <c r="G916" t="inlineStr">
        <is>
          <t>14766 Washington Avenue</t>
        </is>
      </c>
      <c r="H916" t="inlineStr">
        <is>
          <t>San Leandro</t>
        </is>
      </c>
      <c r="I916" t="inlineStr">
        <is>
          <t>Alameda</t>
        </is>
      </c>
      <c r="J916" t="inlineStr">
        <is>
          <t>Washington Center</t>
        </is>
      </c>
    </row>
    <row r="917">
      <c r="A917">
        <f>--ISNUMBER(IFERROR(SEARCH($C$5,Inputs!$D917,1),""))</f>
        <v/>
      </c>
      <c r="B917">
        <f>IF(A917=1,COUNTIF($A$6:A917,1),"")</f>
        <v/>
      </c>
      <c r="C917">
        <f>IFERROR(INDEX($D$6:$D$1750,MATCH(ROWS($B$6:B917),$B$6:$B$1750,0)),"")</f>
        <v/>
      </c>
      <c r="D917">
        <f>J917&amp;" ("&amp;E917&amp;")"</f>
        <v/>
      </c>
      <c r="E917" t="n">
        <v>21382</v>
      </c>
      <c r="F917" t="inlineStr">
        <is>
          <t>Skilled Nursing and Interm. Care Facility</t>
        </is>
      </c>
      <c r="G917" t="inlineStr">
        <is>
          <t>2750 Atlantic Ave.</t>
        </is>
      </c>
      <c r="H917" t="inlineStr">
        <is>
          <t>Long Beach</t>
        </is>
      </c>
      <c r="I917" t="inlineStr">
        <is>
          <t>Los Angeles</t>
        </is>
      </c>
      <c r="J917" t="inlineStr">
        <is>
          <t>Atlantic Memorial Healthcare Center</t>
        </is>
      </c>
    </row>
    <row r="918">
      <c r="A918">
        <f>--ISNUMBER(IFERROR(SEARCH($C$5,Inputs!$D918,1),""))</f>
        <v/>
      </c>
      <c r="B918">
        <f>IF(A918=1,COUNTIF($A$6:A918,1),"")</f>
        <v/>
      </c>
      <c r="C918">
        <f>IFERROR(INDEX($D$6:$D$1750,MATCH(ROWS($B$6:B918),$B$6:$B$1750,0)),"")</f>
        <v/>
      </c>
      <c r="D918">
        <f>J918&amp;" ("&amp;E918&amp;")"</f>
        <v/>
      </c>
      <c r="E918" t="n">
        <v>21383</v>
      </c>
      <c r="F918" t="inlineStr">
        <is>
          <t>Skilled Nursing and Interm. Care Facility</t>
        </is>
      </c>
      <c r="G918" t="inlineStr">
        <is>
          <t>3551 W Olympic Blvd</t>
        </is>
      </c>
      <c r="H918" t="inlineStr">
        <is>
          <t>Los Angeles</t>
        </is>
      </c>
      <c r="I918" t="inlineStr">
        <is>
          <t>Los Angeles</t>
        </is>
      </c>
      <c r="J918" t="inlineStr">
        <is>
          <t>Alcott Rehabilitation Hospital</t>
        </is>
      </c>
    </row>
    <row r="919">
      <c r="A919">
        <f>--ISNUMBER(IFERROR(SEARCH($C$5,Inputs!$D919,1),""))</f>
        <v/>
      </c>
      <c r="B919">
        <f>IF(A919=1,COUNTIF($A$6:A919,1),"")</f>
        <v/>
      </c>
      <c r="C919">
        <f>IFERROR(INDEX($D$6:$D$1750,MATCH(ROWS($B$6:B919),$B$6:$B$1750,0)),"")</f>
        <v/>
      </c>
      <c r="D919">
        <f>J919&amp;" ("&amp;E919&amp;")"</f>
        <v/>
      </c>
      <c r="E919" t="n">
        <v>21385</v>
      </c>
      <c r="F919" t="inlineStr">
        <is>
          <t>Skilled Nursing and Interm. Care Facility</t>
        </is>
      </c>
      <c r="G919" t="inlineStr">
        <is>
          <t>115 Bridge St</t>
        </is>
      </c>
      <c r="H919" t="inlineStr">
        <is>
          <t>San Gabriel</t>
        </is>
      </c>
      <c r="I919" t="inlineStr">
        <is>
          <t>Los Angeles</t>
        </is>
      </c>
      <c r="J919" t="inlineStr">
        <is>
          <t>Ivy Creek Healthcare &amp; Wellness Centre</t>
        </is>
      </c>
    </row>
    <row r="920">
      <c r="A920">
        <f>--ISNUMBER(IFERROR(SEARCH($C$5,Inputs!$D920,1),""))</f>
        <v/>
      </c>
      <c r="B920">
        <f>IF(A920=1,COUNTIF($A$6:A920,1),"")</f>
        <v/>
      </c>
      <c r="C920">
        <f>IFERROR(INDEX($D$6:$D$1750,MATCH(ROWS($B$6:B920),$B$6:$B$1750,0)),"")</f>
        <v/>
      </c>
      <c r="D920">
        <f>J920&amp;" ("&amp;E920&amp;")"</f>
        <v/>
      </c>
      <c r="E920" t="n">
        <v>21387</v>
      </c>
      <c r="F920" t="inlineStr">
        <is>
          <t>Skilled Nursing and Interm. Care Facility</t>
        </is>
      </c>
      <c r="G920" t="inlineStr">
        <is>
          <t>415 S Garfield Ave</t>
        </is>
      </c>
      <c r="H920" t="inlineStr">
        <is>
          <t>Alhambra</t>
        </is>
      </c>
      <c r="I920" t="inlineStr">
        <is>
          <t>Los Angeles</t>
        </is>
      </c>
      <c r="J920" t="inlineStr">
        <is>
          <t>Alhambra Healthcare &amp; Wellness Centre, LP</t>
        </is>
      </c>
    </row>
    <row r="921">
      <c r="A921">
        <f>--ISNUMBER(IFERROR(SEARCH($C$5,Inputs!$D921,1),""))</f>
        <v/>
      </c>
      <c r="B921">
        <f>IF(A921=1,COUNTIF($A$6:A921,1),"")</f>
        <v/>
      </c>
      <c r="C921">
        <f>IFERROR(INDEX($D$6:$D$1750,MATCH(ROWS($B$6:B921),$B$6:$B$1750,0)),"")</f>
        <v/>
      </c>
      <c r="D921">
        <f>J921&amp;" ("&amp;E921&amp;")"</f>
        <v/>
      </c>
      <c r="E921" t="n">
        <v>21389</v>
      </c>
      <c r="F921" t="inlineStr">
        <is>
          <t>Skilled Nursing and Interm. Care Facility</t>
        </is>
      </c>
      <c r="G921" t="inlineStr">
        <is>
          <t>330 Mission Rd</t>
        </is>
      </c>
      <c r="H921" t="inlineStr">
        <is>
          <t>Glendale</t>
        </is>
      </c>
      <c r="I921" t="inlineStr">
        <is>
          <t>Los Angeles</t>
        </is>
      </c>
      <c r="J921" t="inlineStr">
        <is>
          <t>Leisure Glen Post Acute Care Center</t>
        </is>
      </c>
    </row>
    <row r="922">
      <c r="A922">
        <f>--ISNUMBER(IFERROR(SEARCH($C$5,Inputs!$D922,1),""))</f>
        <v/>
      </c>
      <c r="B922">
        <f>IF(A922=1,COUNTIF($A$6:A922,1),"")</f>
        <v/>
      </c>
      <c r="C922">
        <f>IFERROR(INDEX($D$6:$D$1750,MATCH(ROWS($B$6:B922),$B$6:$B$1750,0)),"")</f>
        <v/>
      </c>
      <c r="D922">
        <f>J922&amp;" ("&amp;E922&amp;")"</f>
        <v/>
      </c>
      <c r="E922" t="n">
        <v>21391</v>
      </c>
      <c r="F922" t="inlineStr">
        <is>
          <t>Skilled Nursing and Interm. Care Facility</t>
        </is>
      </c>
      <c r="G922" t="inlineStr">
        <is>
          <t>1140 W. Rosecrans Ave</t>
        </is>
      </c>
      <c r="H922" t="inlineStr">
        <is>
          <t>Gardena</t>
        </is>
      </c>
      <c r="I922" t="inlineStr">
        <is>
          <t>Los Angeles</t>
        </is>
      </c>
      <c r="J922" t="inlineStr">
        <is>
          <t>Rosecrans Care Center</t>
        </is>
      </c>
    </row>
    <row r="923">
      <c r="A923">
        <f>--ISNUMBER(IFERROR(SEARCH($C$5,Inputs!$D923,1),""))</f>
        <v/>
      </c>
      <c r="B923">
        <f>IF(A923=1,COUNTIF($A$6:A923,1),"")</f>
        <v/>
      </c>
      <c r="C923">
        <f>IFERROR(INDEX($D$6:$D$1750,MATCH(ROWS($B$6:B923),$B$6:$B$1750,0)),"")</f>
        <v/>
      </c>
      <c r="D923">
        <f>J923&amp;" ("&amp;E923&amp;")"</f>
        <v/>
      </c>
      <c r="E923" t="n">
        <v>21396</v>
      </c>
      <c r="F923" t="inlineStr">
        <is>
          <t>Skilled Nursing and Interm. Care Facility</t>
        </is>
      </c>
      <c r="G923" t="inlineStr">
        <is>
          <t>415 S Union Ave</t>
        </is>
      </c>
      <c r="H923" t="inlineStr">
        <is>
          <t>Los Angeles</t>
        </is>
      </c>
      <c r="I923" t="inlineStr">
        <is>
          <t>Los Angeles</t>
        </is>
      </c>
      <c r="J923" t="inlineStr">
        <is>
          <t>Angels Nursing Health Center</t>
        </is>
      </c>
    </row>
    <row r="924">
      <c r="A924">
        <f>--ISNUMBER(IFERROR(SEARCH($C$5,Inputs!$D924,1),""))</f>
        <v/>
      </c>
      <c r="B924">
        <f>IF(A924=1,COUNTIF($A$6:A924,1),"")</f>
        <v/>
      </c>
      <c r="C924">
        <f>IFERROR(INDEX($D$6:$D$1750,MATCH(ROWS($B$6:B924),$B$6:$B$1750,0)),"")</f>
        <v/>
      </c>
      <c r="D924">
        <f>J924&amp;" ("&amp;E924&amp;")"</f>
        <v/>
      </c>
      <c r="E924" t="n">
        <v>21398</v>
      </c>
      <c r="F924" t="inlineStr">
        <is>
          <t>Skilled Nursing and Interm. Care Facility</t>
        </is>
      </c>
      <c r="G924" t="inlineStr">
        <is>
          <t>44445 North 15th Street West</t>
        </is>
      </c>
      <c r="H924" t="inlineStr">
        <is>
          <t>Lancaster</t>
        </is>
      </c>
      <c r="I924" t="inlineStr">
        <is>
          <t>Los Angeles</t>
        </is>
      </c>
      <c r="J924" t="inlineStr">
        <is>
          <t>Wellsprings Post-Acute Center</t>
        </is>
      </c>
    </row>
    <row r="925">
      <c r="A925">
        <f>--ISNUMBER(IFERROR(SEARCH($C$5,Inputs!$D925,1),""))</f>
        <v/>
      </c>
      <c r="B925">
        <f>IF(A925=1,COUNTIF($A$6:A925,1),"")</f>
        <v/>
      </c>
      <c r="C925">
        <f>IFERROR(INDEX($D$6:$D$1750,MATCH(ROWS($B$6:B925),$B$6:$B$1750,0)),"")</f>
        <v/>
      </c>
      <c r="D925">
        <f>J925&amp;" ("&amp;E925&amp;")"</f>
        <v/>
      </c>
      <c r="E925" t="n">
        <v>21401</v>
      </c>
      <c r="F925" t="inlineStr">
        <is>
          <t>Skilled Nursing and Interm. Care Facility</t>
        </is>
      </c>
      <c r="G925" t="inlineStr">
        <is>
          <t>1601 S Baldwin Ave</t>
        </is>
      </c>
      <c r="H925" t="inlineStr">
        <is>
          <t>Arcadia</t>
        </is>
      </c>
      <c r="I925" t="inlineStr">
        <is>
          <t>Los Angeles</t>
        </is>
      </c>
      <c r="J925" t="inlineStr">
        <is>
          <t>Arcadia Care Center</t>
        </is>
      </c>
    </row>
    <row r="926">
      <c r="A926">
        <f>--ISNUMBER(IFERROR(SEARCH($C$5,Inputs!$D926,1),""))</f>
        <v/>
      </c>
      <c r="B926">
        <f>IF(A926=1,COUNTIF($A$6:A926,1),"")</f>
        <v/>
      </c>
      <c r="C926">
        <f>IFERROR(INDEX($D$6:$D$1750,MATCH(ROWS($B$6:B926),$B$6:$B$1750,0)),"")</f>
        <v/>
      </c>
      <c r="D926">
        <f>J926&amp;" ("&amp;E926&amp;")"</f>
        <v/>
      </c>
      <c r="E926" t="n">
        <v>21402</v>
      </c>
      <c r="F926" t="inlineStr">
        <is>
          <t>Skilled Nursing and Interm. Care Facility</t>
        </is>
      </c>
      <c r="G926" t="inlineStr">
        <is>
          <t>1330 17th St.</t>
        </is>
      </c>
      <c r="H926" t="inlineStr">
        <is>
          <t>Santa Monica</t>
        </is>
      </c>
      <c r="I926" t="inlineStr">
        <is>
          <t>Los Angeles</t>
        </is>
      </c>
      <c r="J926" t="inlineStr">
        <is>
          <t>Ocean Pointe Healthcare Center</t>
        </is>
      </c>
    </row>
    <row r="927">
      <c r="A927">
        <f>--ISNUMBER(IFERROR(SEARCH($C$5,Inputs!$D927,1),""))</f>
        <v/>
      </c>
      <c r="B927">
        <f>IF(A927=1,COUNTIF($A$6:A927,1),"")</f>
        <v/>
      </c>
      <c r="C927">
        <f>IFERROR(INDEX($D$6:$D$1750,MATCH(ROWS($B$6:B927),$B$6:$B$1750,0)),"")</f>
        <v/>
      </c>
      <c r="D927">
        <f>J927&amp;" ("&amp;E927&amp;")"</f>
        <v/>
      </c>
      <c r="E927" t="n">
        <v>21403</v>
      </c>
      <c r="F927" t="inlineStr">
        <is>
          <t>Skilled Nursing and Interm. Care Facility</t>
        </is>
      </c>
      <c r="G927" t="inlineStr">
        <is>
          <t>1033 East Arrow Highway</t>
        </is>
      </c>
      <c r="H927" t="inlineStr">
        <is>
          <t>Glendora</t>
        </is>
      </c>
      <c r="I927" t="inlineStr">
        <is>
          <t>Los Angeles</t>
        </is>
      </c>
      <c r="J927" t="inlineStr">
        <is>
          <t>Arbor Glen Care Center</t>
        </is>
      </c>
    </row>
    <row r="928">
      <c r="A928">
        <f>--ISNUMBER(IFERROR(SEARCH($C$5,Inputs!$D928,1),""))</f>
        <v/>
      </c>
      <c r="B928">
        <f>IF(A928=1,COUNTIF($A$6:A928,1),"")</f>
        <v/>
      </c>
      <c r="C928">
        <f>IFERROR(INDEX($D$6:$D$1750,MATCH(ROWS($B$6:B928),$B$6:$B$1750,0)),"")</f>
        <v/>
      </c>
      <c r="D928">
        <f>J928&amp;" ("&amp;E928&amp;")"</f>
        <v/>
      </c>
      <c r="E928" t="n">
        <v>21411</v>
      </c>
      <c r="F928" t="inlineStr">
        <is>
          <t>Skilled Nursing and Interm. Care Facility</t>
        </is>
      </c>
      <c r="G928" t="inlineStr">
        <is>
          <t>16530 South Broadway</t>
        </is>
      </c>
      <c r="H928" t="inlineStr">
        <is>
          <t>Gardena</t>
        </is>
      </c>
      <c r="I928" t="inlineStr">
        <is>
          <t>Los Angeles</t>
        </is>
      </c>
      <c r="J928" t="inlineStr">
        <is>
          <t>West Gardena Care Center</t>
        </is>
      </c>
    </row>
    <row r="929">
      <c r="A929">
        <f>--ISNUMBER(IFERROR(SEARCH($C$5,Inputs!$D929,1),""))</f>
        <v/>
      </c>
      <c r="B929">
        <f>IF(A929=1,COUNTIF($A$6:A929,1),"")</f>
        <v/>
      </c>
      <c r="C929">
        <f>IFERROR(INDEX($D$6:$D$1750,MATCH(ROWS($B$6:B929),$B$6:$B$1750,0)),"")</f>
        <v/>
      </c>
      <c r="D929">
        <f>J929&amp;" ("&amp;E929&amp;")"</f>
        <v/>
      </c>
      <c r="E929" t="n">
        <v>21413</v>
      </c>
      <c r="F929" t="inlineStr">
        <is>
          <t>Skilled Nursing and Interm. Care Facility</t>
        </is>
      </c>
      <c r="G929" t="inlineStr">
        <is>
          <t>519 West Badillo Street</t>
        </is>
      </c>
      <c r="H929" t="inlineStr">
        <is>
          <t>Covina</t>
        </is>
      </c>
      <c r="I929" t="inlineStr">
        <is>
          <t>Los Angeles</t>
        </is>
      </c>
      <c r="J929" t="inlineStr">
        <is>
          <t>Harvard Creek Post Acute</t>
        </is>
      </c>
    </row>
    <row r="930">
      <c r="A930">
        <f>--ISNUMBER(IFERROR(SEARCH($C$5,Inputs!$D930,1),""))</f>
        <v/>
      </c>
      <c r="B930">
        <f>IF(A930=1,COUNTIF($A$6:A930,1),"")</f>
        <v/>
      </c>
      <c r="C930">
        <f>IFERROR(INDEX($D$6:$D$1750,MATCH(ROWS($B$6:B930),$B$6:$B$1750,0)),"")</f>
        <v/>
      </c>
      <c r="D930">
        <f>J930&amp;" ("&amp;E930&amp;")"</f>
        <v/>
      </c>
      <c r="E930" t="n">
        <v>21415</v>
      </c>
      <c r="F930" t="inlineStr">
        <is>
          <t>Skilled Nursing and Interm. Care Facility</t>
        </is>
      </c>
      <c r="G930" t="inlineStr">
        <is>
          <t>14518 E Los Angels St</t>
        </is>
      </c>
      <c r="H930" t="inlineStr">
        <is>
          <t>Baldwin Park</t>
        </is>
      </c>
      <c r="I930" t="inlineStr">
        <is>
          <t>Los Angeles</t>
        </is>
      </c>
      <c r="J930" t="inlineStr">
        <is>
          <t>Coast Care Convalescent Center</t>
        </is>
      </c>
    </row>
    <row r="931">
      <c r="A931">
        <f>--ISNUMBER(IFERROR(SEARCH($C$5,Inputs!$D931,1),""))</f>
        <v/>
      </c>
      <c r="B931">
        <f>IF(A931=1,COUNTIF($A$6:A931,1),"")</f>
        <v/>
      </c>
      <c r="C931">
        <f>IFERROR(INDEX($D$6:$D$1750,MATCH(ROWS($B$6:B931),$B$6:$B$1750,0)),"")</f>
        <v/>
      </c>
      <c r="D931">
        <f>J931&amp;" ("&amp;E931&amp;")"</f>
        <v/>
      </c>
      <c r="E931" t="n">
        <v>21416</v>
      </c>
      <c r="F931" t="inlineStr">
        <is>
          <t>Skilled Nursing and Interm. Care Facility</t>
        </is>
      </c>
      <c r="G931" t="inlineStr">
        <is>
          <t>16955 Vanowen St.</t>
        </is>
      </c>
      <c r="H931" t="inlineStr">
        <is>
          <t>Van Nuys</t>
        </is>
      </c>
      <c r="I931" t="inlineStr">
        <is>
          <t>Los Angeles</t>
        </is>
      </c>
      <c r="J931" t="inlineStr">
        <is>
          <t>Lake Balboa Care Center</t>
        </is>
      </c>
    </row>
    <row r="932">
      <c r="A932">
        <f>--ISNUMBER(IFERROR(SEARCH($C$5,Inputs!$D932,1),""))</f>
        <v/>
      </c>
      <c r="B932">
        <f>IF(A932=1,COUNTIF($A$6:A932,1),"")</f>
        <v/>
      </c>
      <c r="C932">
        <f>IFERROR(INDEX($D$6:$D$1750,MATCH(ROWS($B$6:B932),$B$6:$B$1750,0)),"")</f>
        <v/>
      </c>
      <c r="D932">
        <f>J932&amp;" ("&amp;E932&amp;")"</f>
        <v/>
      </c>
      <c r="E932" t="n">
        <v>21419</v>
      </c>
      <c r="F932" t="inlineStr">
        <is>
          <t>Skilled Nursing and Interm. Care Facility</t>
        </is>
      </c>
      <c r="G932" t="inlineStr">
        <is>
          <t>5901 Downey Avenue</t>
        </is>
      </c>
      <c r="H932" t="inlineStr">
        <is>
          <t>Long Beach</t>
        </is>
      </c>
      <c r="I932" t="inlineStr">
        <is>
          <t>Los Angeles</t>
        </is>
      </c>
      <c r="J932" t="inlineStr">
        <is>
          <t>Country Villa Bay Vista Healthcare Center</t>
        </is>
      </c>
    </row>
    <row r="933">
      <c r="A933">
        <f>--ISNUMBER(IFERROR(SEARCH($C$5,Inputs!$D933,1),""))</f>
        <v/>
      </c>
      <c r="B933">
        <f>IF(A933=1,COUNTIF($A$6:A933,1),"")</f>
        <v/>
      </c>
      <c r="C933">
        <f>IFERROR(INDEX($D$6:$D$1750,MATCH(ROWS($B$6:B933),$B$6:$B$1750,0)),"")</f>
        <v/>
      </c>
      <c r="D933">
        <f>J933&amp;" ("&amp;E933&amp;")"</f>
        <v/>
      </c>
      <c r="E933" t="n">
        <v>21420</v>
      </c>
      <c r="F933" t="inlineStr">
        <is>
          <t>Skilled Nursing and Interm. Care Facility</t>
        </is>
      </c>
      <c r="G933" t="inlineStr">
        <is>
          <t>3750 Garnet St</t>
        </is>
      </c>
      <c r="H933" t="inlineStr">
        <is>
          <t>Torrance</t>
        </is>
      </c>
      <c r="I933" t="inlineStr">
        <is>
          <t>Los Angeles</t>
        </is>
      </c>
      <c r="J933" t="inlineStr">
        <is>
          <t>Bay Crest Care Center</t>
        </is>
      </c>
    </row>
    <row r="934">
      <c r="A934">
        <f>--ISNUMBER(IFERROR(SEARCH($C$5,Inputs!$D934,1),""))</f>
        <v/>
      </c>
      <c r="B934">
        <f>IF(A934=1,COUNTIF($A$6:A934,1),"")</f>
        <v/>
      </c>
      <c r="C934">
        <f>IFERROR(INDEX($D$6:$D$1750,MATCH(ROWS($B$6:B934),$B$6:$B$1750,0)),"")</f>
        <v/>
      </c>
      <c r="D934">
        <f>J934&amp;" ("&amp;E934&amp;")"</f>
        <v/>
      </c>
      <c r="E934" t="n">
        <v>21426</v>
      </c>
      <c r="F934" t="inlineStr">
        <is>
          <t>Skilled Nursing and Interm. Care Facility</t>
        </is>
      </c>
      <c r="G934" t="inlineStr">
        <is>
          <t>5001 E Anaheim St</t>
        </is>
      </c>
      <c r="H934" t="inlineStr">
        <is>
          <t>Long Beach</t>
        </is>
      </c>
      <c r="I934" t="inlineStr">
        <is>
          <t>Los Angeles</t>
        </is>
      </c>
      <c r="J934" t="inlineStr">
        <is>
          <t>Bel Vista Healthcare Center</t>
        </is>
      </c>
    </row>
    <row r="935">
      <c r="A935">
        <f>--ISNUMBER(IFERROR(SEARCH($C$5,Inputs!$D935,1),""))</f>
        <v/>
      </c>
      <c r="B935">
        <f>IF(A935=1,COUNTIF($A$6:A935,1),"")</f>
        <v/>
      </c>
      <c r="C935">
        <f>IFERROR(INDEX($D$6:$D$1750,MATCH(ROWS($B$6:B935),$B$6:$B$1750,0)),"")</f>
        <v/>
      </c>
      <c r="D935">
        <f>J935&amp;" ("&amp;E935&amp;")"</f>
        <v/>
      </c>
      <c r="E935" t="n">
        <v>21429</v>
      </c>
      <c r="F935" t="inlineStr">
        <is>
          <t>Skilled Nursing and Interm. Care Facility</t>
        </is>
      </c>
      <c r="G935" t="inlineStr">
        <is>
          <t>9710 East Artesia Boulevard</t>
        </is>
      </c>
      <c r="H935" t="inlineStr">
        <is>
          <t>Bellflower</t>
        </is>
      </c>
      <c r="I935" t="inlineStr">
        <is>
          <t>Los Angeles</t>
        </is>
      </c>
      <c r="J935" t="inlineStr">
        <is>
          <t>Bellflower Post Acute</t>
        </is>
      </c>
    </row>
    <row r="936">
      <c r="A936">
        <f>--ISNUMBER(IFERROR(SEARCH($C$5,Inputs!$D936,1),""))</f>
        <v/>
      </c>
      <c r="B936">
        <f>IF(A936=1,COUNTIF($A$6:A936,1),"")</f>
        <v/>
      </c>
      <c r="C936">
        <f>IFERROR(INDEX($D$6:$D$1750,MATCH(ROWS($B$6:B936),$B$6:$B$1750,0)),"")</f>
        <v/>
      </c>
      <c r="D936">
        <f>J936&amp;" ("&amp;E936&amp;")"</f>
        <v/>
      </c>
      <c r="E936" t="n">
        <v>21434</v>
      </c>
      <c r="F936" t="inlineStr">
        <is>
          <t>Skilled Nursing and Interm. Care Facility</t>
        </is>
      </c>
      <c r="G936" t="inlineStr">
        <is>
          <t>1623 Arizona Avenue</t>
        </is>
      </c>
      <c r="H936" t="inlineStr">
        <is>
          <t>Santa Monica</t>
        </is>
      </c>
      <c r="I936" t="inlineStr">
        <is>
          <t>Los Angeles</t>
        </is>
      </c>
      <c r="J936" t="inlineStr">
        <is>
          <t>Berkley West Healthcare Center</t>
        </is>
      </c>
    </row>
    <row r="937">
      <c r="A937">
        <f>--ISNUMBER(IFERROR(SEARCH($C$5,Inputs!$D937,1),""))</f>
        <v/>
      </c>
      <c r="B937">
        <f>IF(A937=1,COUNTIF($A$6:A937,1),"")</f>
        <v/>
      </c>
      <c r="C937">
        <f>IFERROR(INDEX($D$6:$D$1750,MATCH(ROWS($B$6:B937),$B$6:$B$1750,0)),"")</f>
        <v/>
      </c>
      <c r="D937">
        <f>J937&amp;" ("&amp;E937&amp;")"</f>
        <v/>
      </c>
      <c r="E937" t="n">
        <v>21443</v>
      </c>
      <c r="F937" t="inlineStr">
        <is>
          <t>Skilled Nursing and Interm. Care Facility</t>
        </is>
      </c>
      <c r="G937" t="inlineStr">
        <is>
          <t>850 S Sunkist Ave</t>
        </is>
      </c>
      <c r="H937" t="inlineStr">
        <is>
          <t>West Covina</t>
        </is>
      </c>
      <c r="I937" t="inlineStr">
        <is>
          <t>Los Angeles</t>
        </is>
      </c>
      <c r="J937" t="inlineStr">
        <is>
          <t>West Covina Healthcare Center</t>
        </is>
      </c>
    </row>
    <row r="938">
      <c r="A938">
        <f>--ISNUMBER(IFERROR(SEARCH($C$5,Inputs!$D938,1),""))</f>
        <v/>
      </c>
      <c r="B938">
        <f>IF(A938=1,COUNTIF($A$6:A938,1),"")</f>
        <v/>
      </c>
      <c r="C938">
        <f>IFERROR(INDEX($D$6:$D$1750,MATCH(ROWS($B$6:B938),$B$6:$B$1750,0)),"")</f>
        <v/>
      </c>
      <c r="D938">
        <f>J938&amp;" ("&amp;E938&amp;")"</f>
        <v/>
      </c>
      <c r="E938" t="n">
        <v>21444</v>
      </c>
      <c r="F938" t="inlineStr">
        <is>
          <t>Skilled Nursing and Interm. Care Facility</t>
        </is>
      </c>
      <c r="G938" t="inlineStr">
        <is>
          <t>925 W Alameda Ave</t>
        </is>
      </c>
      <c r="H938" t="inlineStr">
        <is>
          <t>Burbank</t>
        </is>
      </c>
      <c r="I938" t="inlineStr">
        <is>
          <t>Los Angeles</t>
        </is>
      </c>
      <c r="J938" t="inlineStr">
        <is>
          <t>Alameda Care Center</t>
        </is>
      </c>
    </row>
    <row r="939">
      <c r="A939">
        <f>--ISNUMBER(IFERROR(SEARCH($C$5,Inputs!$D939,1),""))</f>
        <v/>
      </c>
      <c r="B939">
        <f>IF(A939=1,COUNTIF($A$6:A939,1),"")</f>
        <v/>
      </c>
      <c r="C939">
        <f>IFERROR(INDEX($D$6:$D$1750,MATCH(ROWS($B$6:B939),$B$6:$B$1750,0)),"")</f>
        <v/>
      </c>
      <c r="D939">
        <f>J939&amp;" ("&amp;E939&amp;")"</f>
        <v/>
      </c>
      <c r="E939" t="n">
        <v>21447</v>
      </c>
      <c r="F939" t="inlineStr">
        <is>
          <t>Skilled Nursing and Interm. Care Facility</t>
        </is>
      </c>
      <c r="G939" t="inlineStr">
        <is>
          <t>1516 Sawtelle Blvd</t>
        </is>
      </c>
      <c r="H939" t="inlineStr">
        <is>
          <t>Los Angeles</t>
        </is>
      </c>
      <c r="I939" t="inlineStr">
        <is>
          <t>Los Angeles</t>
        </is>
      </c>
      <c r="J939" t="inlineStr">
        <is>
          <t>New Vista Post-Acute Care Center</t>
        </is>
      </c>
    </row>
    <row r="940">
      <c r="A940">
        <f>--ISNUMBER(IFERROR(SEARCH($C$5,Inputs!$D940,1),""))</f>
        <v/>
      </c>
      <c r="B940">
        <f>IF(A940=1,COUNTIF($A$6:A940,1),"")</f>
        <v/>
      </c>
      <c r="C940">
        <f>IFERROR(INDEX($D$6:$D$1750,MATCH(ROWS($B$6:B940),$B$6:$B$1750,0)),"")</f>
        <v/>
      </c>
      <c r="D940">
        <f>J940&amp;" ("&amp;E940&amp;")"</f>
        <v/>
      </c>
      <c r="E940" t="n">
        <v>21449</v>
      </c>
      <c r="F940" t="inlineStr">
        <is>
          <t>Skilled Nursing and Interm. Care Facility</t>
        </is>
      </c>
      <c r="G940" t="inlineStr">
        <is>
          <t>16910 Woodruff Avenue</t>
        </is>
      </c>
      <c r="H940" t="inlineStr">
        <is>
          <t>Bellflower</t>
        </is>
      </c>
      <c r="I940" t="inlineStr">
        <is>
          <t>Los Angeles</t>
        </is>
      </c>
      <c r="J940" t="inlineStr">
        <is>
          <t>Bel Tooren Villa Convalescent Hospital</t>
        </is>
      </c>
    </row>
    <row r="941">
      <c r="A941">
        <f>--ISNUMBER(IFERROR(SEARCH($C$5,Inputs!$D941,1),""))</f>
        <v/>
      </c>
      <c r="B941">
        <f>IF(A941=1,COUNTIF($A$6:A941,1),"")</f>
        <v/>
      </c>
      <c r="C941">
        <f>IFERROR(INDEX($D$6:$D$1750,MATCH(ROWS($B$6:B941),$B$6:$B$1750,0)),"")</f>
        <v/>
      </c>
      <c r="D941">
        <f>J941&amp;" ("&amp;E941&amp;")"</f>
        <v/>
      </c>
      <c r="E941" t="n">
        <v>21450</v>
      </c>
      <c r="F941" t="inlineStr">
        <is>
          <t>Skilled Nursing and Interm. Care Facility</t>
        </is>
      </c>
      <c r="G941" t="inlineStr">
        <is>
          <t>12350 Rosecrans Avenue</t>
        </is>
      </c>
      <c r="H941" t="inlineStr">
        <is>
          <t>Norwalk</t>
        </is>
      </c>
      <c r="I941" t="inlineStr">
        <is>
          <t>Los Angeles</t>
        </is>
      </c>
      <c r="J941" t="inlineStr">
        <is>
          <t>North Walk Villa Convalescent Hospital</t>
        </is>
      </c>
    </row>
    <row r="942">
      <c r="A942">
        <f>--ISNUMBER(IFERROR(SEARCH($C$5,Inputs!$D942,1),""))</f>
        <v/>
      </c>
      <c r="B942">
        <f>IF(A942=1,COUNTIF($A$6:A942,1),"")</f>
        <v/>
      </c>
      <c r="C942">
        <f>IFERROR(INDEX($D$6:$D$1750,MATCH(ROWS($B$6:B942),$B$6:$B$1750,0)),"")</f>
        <v/>
      </c>
      <c r="D942">
        <f>J942&amp;" ("&amp;E942&amp;")"</f>
        <v/>
      </c>
      <c r="E942" t="n">
        <v>21454</v>
      </c>
      <c r="F942" t="inlineStr">
        <is>
          <t>Skilled Nursing and Interm. Care Facility</t>
        </is>
      </c>
      <c r="G942" t="inlineStr">
        <is>
          <t>420 S Bonnie Brae St</t>
        </is>
      </c>
      <c r="H942" t="inlineStr">
        <is>
          <t>Los Angeles</t>
        </is>
      </c>
      <c r="I942" t="inlineStr">
        <is>
          <t>Los Angeles</t>
        </is>
      </c>
      <c r="J942" t="inlineStr">
        <is>
          <t>Bonnie Brae Skilled Nursing</t>
        </is>
      </c>
    </row>
    <row r="943">
      <c r="A943">
        <f>--ISNUMBER(IFERROR(SEARCH($C$5,Inputs!$D943,1),""))</f>
        <v/>
      </c>
      <c r="B943">
        <f>IF(A943=1,COUNTIF($A$6:A943,1),"")</f>
        <v/>
      </c>
      <c r="C943">
        <f>IFERROR(INDEX($D$6:$D$1750,MATCH(ROWS($B$6:B943),$B$6:$B$1750,0)),"")</f>
        <v/>
      </c>
      <c r="D943">
        <f>J943&amp;" ("&amp;E943&amp;")"</f>
        <v/>
      </c>
      <c r="E943" t="n">
        <v>21462</v>
      </c>
      <c r="F943" t="inlineStr">
        <is>
          <t>Skilled Nursing and Interm. Care Facility</t>
        </is>
      </c>
      <c r="G943" t="inlineStr">
        <is>
          <t>7716 Pickering Ave</t>
        </is>
      </c>
      <c r="H943" t="inlineStr">
        <is>
          <t>Whittier</t>
        </is>
      </c>
      <c r="I943" t="inlineStr">
        <is>
          <t>Los Angeles</t>
        </is>
      </c>
      <c r="J943" t="inlineStr">
        <is>
          <t>Whittier Pacific Care Center</t>
        </is>
      </c>
    </row>
    <row r="944">
      <c r="A944">
        <f>--ISNUMBER(IFERROR(SEARCH($C$5,Inputs!$D944,1),""))</f>
        <v/>
      </c>
      <c r="B944">
        <f>IF(A944=1,COUNTIF($A$6:A944,1),"")</f>
        <v/>
      </c>
      <c r="C944">
        <f>IFERROR(INDEX($D$6:$D$1750,MATCH(ROWS($B$6:B944),$B$6:$B$1750,0)),"")</f>
        <v/>
      </c>
      <c r="D944">
        <f>J944&amp;" ("&amp;E944&amp;")"</f>
        <v/>
      </c>
      <c r="E944" t="n">
        <v>21463</v>
      </c>
      <c r="F944" t="inlineStr">
        <is>
          <t>Skilled Nursing and Interm. Care Facility</t>
        </is>
      </c>
      <c r="G944" t="inlineStr">
        <is>
          <t>301 Centinela Ave</t>
        </is>
      </c>
      <c r="H944" t="inlineStr">
        <is>
          <t>Inglewood</t>
        </is>
      </c>
      <c r="I944" t="inlineStr">
        <is>
          <t>Los Angeles</t>
        </is>
      </c>
      <c r="J944" t="inlineStr">
        <is>
          <t>Century Villa, Inc.</t>
        </is>
      </c>
    </row>
    <row r="945">
      <c r="A945">
        <f>--ISNUMBER(IFERROR(SEARCH($C$5,Inputs!$D945,1),""))</f>
        <v/>
      </c>
      <c r="B945">
        <f>IF(A945=1,COUNTIF($A$6:A945,1),"")</f>
        <v/>
      </c>
      <c r="C945">
        <f>IFERROR(INDEX($D$6:$D$1750,MATCH(ROWS($B$6:B945),$B$6:$B$1750,0)),"")</f>
        <v/>
      </c>
      <c r="D945">
        <f>J945&amp;" ("&amp;E945&amp;")"</f>
        <v/>
      </c>
      <c r="E945" t="n">
        <v>21465</v>
      </c>
      <c r="F945" t="inlineStr">
        <is>
          <t>Skilled Nursing and Interm. Care Facility</t>
        </is>
      </c>
      <c r="G945" t="inlineStr">
        <is>
          <t>605 W Broadway</t>
        </is>
      </c>
      <c r="H945" t="inlineStr">
        <is>
          <t>Glendale</t>
        </is>
      </c>
      <c r="I945" t="inlineStr">
        <is>
          <t>Los Angeles</t>
        </is>
      </c>
      <c r="J945" t="inlineStr">
        <is>
          <t>Broadway Manor Care Center</t>
        </is>
      </c>
    </row>
    <row r="946">
      <c r="A946">
        <f>--ISNUMBER(IFERROR(SEARCH($C$5,Inputs!$D946,1),""))</f>
        <v/>
      </c>
      <c r="B946">
        <f>IF(A946=1,COUNTIF($A$6:A946,1),"")</f>
        <v/>
      </c>
      <c r="C946">
        <f>IFERROR(INDEX($D$6:$D$1750,MATCH(ROWS($B$6:B946),$B$6:$B$1750,0)),"")</f>
        <v/>
      </c>
      <c r="D946">
        <f>J946&amp;" ("&amp;E946&amp;")"</f>
        <v/>
      </c>
      <c r="E946" t="n">
        <v>21467</v>
      </c>
      <c r="F946" t="inlineStr">
        <is>
          <t>Skilled Nursing and Interm. Care Facility</t>
        </is>
      </c>
      <c r="G946" t="inlineStr">
        <is>
          <t>112 E Broadway</t>
        </is>
      </c>
      <c r="H946" t="inlineStr">
        <is>
          <t>San Gabriel</t>
        </is>
      </c>
      <c r="I946" t="inlineStr">
        <is>
          <t>Los Angeles</t>
        </is>
      </c>
      <c r="J946" t="inlineStr">
        <is>
          <t>Broadway Healthcare Center</t>
        </is>
      </c>
    </row>
    <row r="947">
      <c r="A947">
        <f>--ISNUMBER(IFERROR(SEARCH($C$5,Inputs!$D947,1),""))</f>
        <v/>
      </c>
      <c r="B947">
        <f>IF(A947=1,COUNTIF($A$6:A947,1),"")</f>
        <v/>
      </c>
      <c r="C947">
        <f>IFERROR(INDEX($D$6:$D$1750,MATCH(ROWS($B$6:B947),$B$6:$B$1750,0)),"")</f>
        <v/>
      </c>
      <c r="D947">
        <f>J947&amp;" ("&amp;E947&amp;")"</f>
        <v/>
      </c>
      <c r="E947" t="n">
        <v>21469</v>
      </c>
      <c r="F947" t="inlineStr">
        <is>
          <t>Skilled Nursing and Interm. Care Facility</t>
        </is>
      </c>
      <c r="G947" t="inlineStr">
        <is>
          <t>1016 South Record Avenue</t>
        </is>
      </c>
      <c r="H947" t="inlineStr">
        <is>
          <t>Los Angeles</t>
        </is>
      </c>
      <c r="I947" t="inlineStr">
        <is>
          <t>Los Angeles</t>
        </is>
      </c>
      <c r="J947" t="inlineStr">
        <is>
          <t>Buena Ventura Post Acute Care Center</t>
        </is>
      </c>
    </row>
    <row r="948">
      <c r="A948">
        <f>--ISNUMBER(IFERROR(SEARCH($C$5,Inputs!$D948,1),""))</f>
        <v/>
      </c>
      <c r="B948">
        <f>IF(A948=1,COUNTIF($A$6:A948,1),"")</f>
        <v/>
      </c>
      <c r="C948">
        <f>IFERROR(INDEX($D$6:$D$1750,MATCH(ROWS($B$6:B948),$B$6:$B$1750,0)),"")</f>
        <v/>
      </c>
      <c r="D948">
        <f>J948&amp;" ("&amp;E948&amp;")"</f>
        <v/>
      </c>
      <c r="E948" t="n">
        <v>21472</v>
      </c>
      <c r="F948" t="inlineStr">
        <is>
          <t>Skilled Nursing and Interm. Care Facility</t>
        </is>
      </c>
      <c r="G948" t="inlineStr">
        <is>
          <t>845 S Burlington Ave</t>
        </is>
      </c>
      <c r="H948" t="inlineStr">
        <is>
          <t>Los Angeles</t>
        </is>
      </c>
      <c r="I948" t="inlineStr">
        <is>
          <t>Los Angeles</t>
        </is>
      </c>
      <c r="J948" t="inlineStr">
        <is>
          <t>Burlington Convalescent Hospital</t>
        </is>
      </c>
    </row>
    <row r="949">
      <c r="A949">
        <f>--ISNUMBER(IFERROR(SEARCH($C$5,Inputs!$D949,1),""))</f>
        <v/>
      </c>
      <c r="B949">
        <f>IF(A949=1,COUNTIF($A$6:A949,1),"")</f>
        <v/>
      </c>
      <c r="C949">
        <f>IFERROR(INDEX($D$6:$D$1750,MATCH(ROWS($B$6:B949),$B$6:$B$1750,0)),"")</f>
        <v/>
      </c>
      <c r="D949">
        <f>J949&amp;" ("&amp;E949&amp;")"</f>
        <v/>
      </c>
      <c r="E949" t="n">
        <v>21474</v>
      </c>
      <c r="F949" t="inlineStr">
        <is>
          <t>Skilled Nursing and Interm. Care Facility</t>
        </is>
      </c>
      <c r="G949" t="inlineStr">
        <is>
          <t>4800 Delta Ave.</t>
        </is>
      </c>
      <c r="H949" t="inlineStr">
        <is>
          <t>Rosemead</t>
        </is>
      </c>
      <c r="I949" t="inlineStr">
        <is>
          <t>Los Angeles</t>
        </is>
      </c>
      <c r="J949" t="inlineStr">
        <is>
          <t>Mission Care Center</t>
        </is>
      </c>
    </row>
    <row r="950">
      <c r="A950">
        <f>--ISNUMBER(IFERROR(SEARCH($C$5,Inputs!$D950,1),""))</f>
        <v/>
      </c>
      <c r="B950">
        <f>IF(A950=1,COUNTIF($A$6:A950,1),"")</f>
        <v/>
      </c>
      <c r="C950">
        <f>IFERROR(INDEX($D$6:$D$1750,MATCH(ROWS($B$6:B950),$B$6:$B$1750,0)),"")</f>
        <v/>
      </c>
      <c r="D950">
        <f>J950&amp;" ("&amp;E950&amp;")"</f>
        <v/>
      </c>
      <c r="E950" t="n">
        <v>21475</v>
      </c>
      <c r="F950" t="inlineStr">
        <is>
          <t>Skilled Nursing and Interm. Care Facility</t>
        </is>
      </c>
      <c r="G950" t="inlineStr">
        <is>
          <t>909 S. Lake Street</t>
        </is>
      </c>
      <c r="H950" t="inlineStr">
        <is>
          <t>Los Angeles</t>
        </is>
      </c>
      <c r="I950" t="inlineStr">
        <is>
          <t>Los Angeles</t>
        </is>
      </c>
      <c r="J950" t="inlineStr">
        <is>
          <t>California Post Acute</t>
        </is>
      </c>
    </row>
    <row r="951">
      <c r="A951">
        <f>--ISNUMBER(IFERROR(SEARCH($C$5,Inputs!$D951,1),""))</f>
        <v/>
      </c>
      <c r="B951">
        <f>IF(A951=1,COUNTIF($A$6:A951,1),"")</f>
        <v/>
      </c>
      <c r="C951">
        <f>IFERROR(INDEX($D$6:$D$1750,MATCH(ROWS($B$6:B951),$B$6:$B$1750,0)),"")</f>
        <v/>
      </c>
      <c r="D951">
        <f>J951&amp;" ("&amp;E951&amp;")"</f>
        <v/>
      </c>
      <c r="E951" t="n">
        <v>21476</v>
      </c>
      <c r="F951" t="inlineStr">
        <is>
          <t>Skilled Nursing and Interm. Care Facility</t>
        </is>
      </c>
      <c r="G951" t="inlineStr">
        <is>
          <t>120 Bellefontaine St</t>
        </is>
      </c>
      <c r="H951" t="inlineStr">
        <is>
          <t>Pasadena</t>
        </is>
      </c>
      <c r="I951" t="inlineStr">
        <is>
          <t>Los Angeles</t>
        </is>
      </c>
      <c r="J951" t="inlineStr">
        <is>
          <t>The Californian - Pasadena Convalescent Hospital</t>
        </is>
      </c>
    </row>
    <row r="952">
      <c r="A952">
        <f>--ISNUMBER(IFERROR(SEARCH($C$5,Inputs!$D952,1),""))</f>
        <v/>
      </c>
      <c r="B952">
        <f>IF(A952=1,COUNTIF($A$6:A952,1),"")</f>
        <v/>
      </c>
      <c r="C952">
        <f>IFERROR(INDEX($D$6:$D$1750,MATCH(ROWS($B$6:B952),$B$6:$B$1750,0)),"")</f>
        <v/>
      </c>
      <c r="D952">
        <f>J952&amp;" ("&amp;E952&amp;")"</f>
        <v/>
      </c>
      <c r="E952" t="n">
        <v>21478</v>
      </c>
      <c r="F952" t="inlineStr">
        <is>
          <t>Skilled Nursing and Interm. Care Facility</t>
        </is>
      </c>
      <c r="G952" t="inlineStr">
        <is>
          <t>7150 Tampa Ave.</t>
        </is>
      </c>
      <c r="H952" t="inlineStr">
        <is>
          <t>Reseda</t>
        </is>
      </c>
      <c r="I952" t="inlineStr">
        <is>
          <t>Los Angeles</t>
        </is>
      </c>
      <c r="J952" t="inlineStr">
        <is>
          <t>Grancell Village Of The Jewish Homes For The Aging</t>
        </is>
      </c>
    </row>
    <row r="953">
      <c r="A953">
        <f>--ISNUMBER(IFERROR(SEARCH($C$5,Inputs!$D953,1),""))</f>
        <v/>
      </c>
      <c r="B953">
        <f>IF(A953=1,COUNTIF($A$6:A953,1),"")</f>
        <v/>
      </c>
      <c r="C953">
        <f>IFERROR(INDEX($D$6:$D$1750,MATCH(ROWS($B$6:B953),$B$6:$B$1750,0)),"")</f>
        <v/>
      </c>
      <c r="D953">
        <f>J953&amp;" ("&amp;E953&amp;")"</f>
        <v/>
      </c>
      <c r="E953" t="n">
        <v>21494</v>
      </c>
      <c r="F953" t="inlineStr">
        <is>
          <t>Skilled Nursing and Interm. Care Facility</t>
        </is>
      </c>
      <c r="G953" t="inlineStr">
        <is>
          <t>1515 N Fair Oaks Ave</t>
        </is>
      </c>
      <c r="H953" t="inlineStr">
        <is>
          <t>Pasadena</t>
        </is>
      </c>
      <c r="I953" t="inlineStr">
        <is>
          <t>Los Angeles</t>
        </is>
      </c>
      <c r="J953" t="inlineStr">
        <is>
          <t>Foothill Heights Care Center</t>
        </is>
      </c>
    </row>
    <row r="954">
      <c r="A954">
        <f>--ISNUMBER(IFERROR(SEARCH($C$5,Inputs!$D954,1),""))</f>
        <v/>
      </c>
      <c r="B954">
        <f>IF(A954=1,COUNTIF($A$6:A954,1),"")</f>
        <v/>
      </c>
      <c r="C954">
        <f>IFERROR(INDEX($D$6:$D$1750,MATCH(ROWS($B$6:B954),$B$6:$B$1750,0)),"")</f>
        <v/>
      </c>
      <c r="D954">
        <f>J954&amp;" ("&amp;E954&amp;")"</f>
        <v/>
      </c>
      <c r="E954" t="n">
        <v>21497</v>
      </c>
      <c r="F954" t="inlineStr">
        <is>
          <t>Skilled Nursing and Interm. Care Facility</t>
        </is>
      </c>
      <c r="G954" t="inlineStr">
        <is>
          <t>22029 Saticoy St.</t>
        </is>
      </c>
      <c r="H954" t="inlineStr">
        <is>
          <t>Canoga Park</t>
        </is>
      </c>
      <c r="I954" t="inlineStr">
        <is>
          <t>Los Angeles</t>
        </is>
      </c>
      <c r="J954" t="inlineStr">
        <is>
          <t>Canyon Oaks Nursing and Rehabilitation Center</t>
        </is>
      </c>
    </row>
    <row r="955">
      <c r="A955">
        <f>--ISNUMBER(IFERROR(SEARCH($C$5,Inputs!$D955,1),""))</f>
        <v/>
      </c>
      <c r="B955">
        <f>IF(A955=1,COUNTIF($A$6:A955,1),"")</f>
        <v/>
      </c>
      <c r="C955">
        <f>IFERROR(INDEX($D$6:$D$1750,MATCH(ROWS($B$6:B955),$B$6:$B$1750,0)),"")</f>
        <v/>
      </c>
      <c r="D955">
        <f>J955&amp;" ("&amp;E955&amp;")"</f>
        <v/>
      </c>
      <c r="E955" t="n">
        <v>21499</v>
      </c>
      <c r="F955" t="inlineStr">
        <is>
          <t>Skilled Nursing and Interm. Care Facility</t>
        </is>
      </c>
      <c r="G955" t="inlineStr">
        <is>
          <t>9541 Van Nuys Blvd.</t>
        </is>
      </c>
      <c r="H955" t="inlineStr">
        <is>
          <t>Panorama City</t>
        </is>
      </c>
      <c r="I955" t="inlineStr">
        <is>
          <t>Los Angeles</t>
        </is>
      </c>
      <c r="J955" t="inlineStr">
        <is>
          <t>Panorama Gardens Nursing And Rehabilitation Center</t>
        </is>
      </c>
    </row>
    <row r="956">
      <c r="A956">
        <f>--ISNUMBER(IFERROR(SEARCH($C$5,Inputs!$D956,1),""))</f>
        <v/>
      </c>
      <c r="B956">
        <f>IF(A956=1,COUNTIF($A$6:A956,1),"")</f>
        <v/>
      </c>
      <c r="C956">
        <f>IFERROR(INDEX($D$6:$D$1750,MATCH(ROWS($B$6:B956),$B$6:$B$1750,0)),"")</f>
        <v/>
      </c>
      <c r="D956">
        <f>J956&amp;" ("&amp;E956&amp;")"</f>
        <v/>
      </c>
      <c r="E956" t="n">
        <v>21501</v>
      </c>
      <c r="F956" t="inlineStr">
        <is>
          <t>Skilled Nursing and Interm. Care Facility</t>
        </is>
      </c>
      <c r="G956" t="inlineStr">
        <is>
          <t>723 E 9th St</t>
        </is>
      </c>
      <c r="H956" t="inlineStr">
        <is>
          <t>Long Beach</t>
        </is>
      </c>
      <c r="I956" t="inlineStr">
        <is>
          <t>Los Angeles</t>
        </is>
      </c>
      <c r="J956" t="inlineStr">
        <is>
          <t>Villa Serena Healthcare Center</t>
        </is>
      </c>
    </row>
    <row r="957">
      <c r="A957">
        <f>--ISNUMBER(IFERROR(SEARCH($C$5,Inputs!$D957,1),""))</f>
        <v/>
      </c>
      <c r="B957">
        <f>IF(A957=1,COUNTIF($A$6:A957,1),"")</f>
        <v/>
      </c>
      <c r="C957">
        <f>IFERROR(INDEX($D$6:$D$1750,MATCH(ROWS($B$6:B957),$B$6:$B$1750,0)),"")</f>
        <v/>
      </c>
      <c r="D957">
        <f>J957&amp;" ("&amp;E957&amp;")"</f>
        <v/>
      </c>
      <c r="E957" t="n">
        <v>21504</v>
      </c>
      <c r="F957" t="inlineStr">
        <is>
          <t>Skilled Nursing and Interm. Care Facility</t>
        </is>
      </c>
      <c r="G957" t="inlineStr">
        <is>
          <t>219 E. Foothill Boulevard</t>
        </is>
      </c>
      <c r="H957" t="inlineStr">
        <is>
          <t>Pomona</t>
        </is>
      </c>
      <c r="I957" t="inlineStr">
        <is>
          <t>Los Angeles</t>
        </is>
      </c>
      <c r="J957" t="inlineStr">
        <is>
          <t>Claremont Care Center</t>
        </is>
      </c>
    </row>
    <row r="958">
      <c r="A958">
        <f>--ISNUMBER(IFERROR(SEARCH($C$5,Inputs!$D958,1),""))</f>
        <v/>
      </c>
      <c r="B958">
        <f>IF(A958=1,COUNTIF($A$6:A958,1),"")</f>
        <v/>
      </c>
      <c r="C958">
        <f>IFERROR(INDEX($D$6:$D$1750,MATCH(ROWS($B$6:B958),$B$6:$B$1750,0)),"")</f>
        <v/>
      </c>
      <c r="D958">
        <f>J958&amp;" ("&amp;E958&amp;")"</f>
        <v/>
      </c>
      <c r="E958" t="n">
        <v>21505</v>
      </c>
      <c r="F958" t="inlineStr">
        <is>
          <t>Skilled Nursing and Interm. Care Facility</t>
        </is>
      </c>
      <c r="G958" t="inlineStr">
        <is>
          <t>1208 S Central Ave</t>
        </is>
      </c>
      <c r="H958" t="inlineStr">
        <is>
          <t>Glendale</t>
        </is>
      </c>
      <c r="I958" t="inlineStr">
        <is>
          <t>Los Angeles</t>
        </is>
      </c>
      <c r="J958" t="inlineStr">
        <is>
          <t>Glendale Healthcare Center</t>
        </is>
      </c>
    </row>
    <row r="959">
      <c r="A959">
        <f>--ISNUMBER(IFERROR(SEARCH($C$5,Inputs!$D959,1),""))</f>
        <v/>
      </c>
      <c r="B959">
        <f>IF(A959=1,COUNTIF($A$6:A959,1),"")</f>
        <v/>
      </c>
      <c r="C959">
        <f>IFERROR(INDEX($D$6:$D$1750,MATCH(ROWS($B$6:B959),$B$6:$B$1750,0)),"")</f>
        <v/>
      </c>
      <c r="D959">
        <f>J959&amp;" ("&amp;E959&amp;")"</f>
        <v/>
      </c>
      <c r="E959" t="n">
        <v>21509</v>
      </c>
      <c r="F959" t="inlineStr">
        <is>
          <t>Skilled Nursing and Interm. Care Facility</t>
        </is>
      </c>
      <c r="G959" t="inlineStr">
        <is>
          <t>515 Centinela Ave</t>
        </is>
      </c>
      <c r="H959" t="inlineStr">
        <is>
          <t>Inglewood</t>
        </is>
      </c>
      <c r="I959" t="inlineStr">
        <is>
          <t>Los Angeles</t>
        </is>
      </c>
      <c r="J959" t="inlineStr">
        <is>
          <t>Primrose Post-Acute</t>
        </is>
      </c>
    </row>
    <row r="960">
      <c r="A960">
        <f>--ISNUMBER(IFERROR(SEARCH($C$5,Inputs!$D960,1),""))</f>
        <v/>
      </c>
      <c r="B960">
        <f>IF(A960=1,COUNTIF($A$6:A960,1),"")</f>
        <v/>
      </c>
      <c r="C960">
        <f>IFERROR(INDEX($D$6:$D$1750,MATCH(ROWS($B$6:B960),$B$6:$B$1750,0)),"")</f>
        <v/>
      </c>
      <c r="D960">
        <f>J960&amp;" ("&amp;E960&amp;")"</f>
        <v/>
      </c>
      <c r="E960" t="n">
        <v>21513</v>
      </c>
      <c r="F960" t="inlineStr">
        <is>
          <t>Skilled Nursing and Interm. Care Facility</t>
        </is>
      </c>
      <c r="G960" t="inlineStr">
        <is>
          <t>3565 E Imperial Highway</t>
        </is>
      </c>
      <c r="H960" t="inlineStr">
        <is>
          <t>Lynwood</t>
        </is>
      </c>
      <c r="I960" t="inlineStr">
        <is>
          <t>Los Angeles</t>
        </is>
      </c>
      <c r="J960" t="inlineStr">
        <is>
          <t>Granada Post Acute</t>
        </is>
      </c>
    </row>
    <row r="961">
      <c r="A961">
        <f>--ISNUMBER(IFERROR(SEARCH($C$5,Inputs!$D961,1),""))</f>
        <v/>
      </c>
      <c r="B961">
        <f>IF(A961=1,COUNTIF($A$6:A961,1),"")</f>
        <v/>
      </c>
      <c r="C961">
        <f>IFERROR(INDEX($D$6:$D$1750,MATCH(ROWS($B$6:B961),$B$6:$B$1750,0)),"")</f>
        <v/>
      </c>
      <c r="D961">
        <f>J961&amp;" ("&amp;E961&amp;")"</f>
        <v/>
      </c>
      <c r="E961" t="n">
        <v>21515</v>
      </c>
      <c r="F961" t="inlineStr">
        <is>
          <t>Skilled Nursing and Interm. Care Facility</t>
        </is>
      </c>
      <c r="G961" t="inlineStr">
        <is>
          <t>5335 Laurel Canyon Blvd.</t>
        </is>
      </c>
      <c r="H961" t="inlineStr">
        <is>
          <t>Valley Village</t>
        </is>
      </c>
      <c r="I961" t="inlineStr">
        <is>
          <t>Los Angeles</t>
        </is>
      </c>
      <c r="J961" t="inlineStr">
        <is>
          <t>Four Seasons Healthcare &amp; Wellness Center, LP</t>
        </is>
      </c>
    </row>
    <row r="962">
      <c r="A962">
        <f>--ISNUMBER(IFERROR(SEARCH($C$5,Inputs!$D962,1),""))</f>
        <v/>
      </c>
      <c r="B962">
        <f>IF(A962=1,COUNTIF($A$6:A962,1),"")</f>
        <v/>
      </c>
      <c r="C962">
        <f>IFERROR(INDEX($D$6:$D$1750,MATCH(ROWS($B$6:B962),$B$6:$B$1750,0)),"")</f>
        <v/>
      </c>
      <c r="D962">
        <f>J962&amp;" ("&amp;E962&amp;")"</f>
        <v/>
      </c>
      <c r="E962" t="n">
        <v>21519</v>
      </c>
      <c r="F962" t="inlineStr">
        <is>
          <t>Skilled Nursing and Interm. Care Facility</t>
        </is>
      </c>
      <c r="G962" t="inlineStr">
        <is>
          <t>10610 Owensmouth Ave</t>
        </is>
      </c>
      <c r="H962" t="inlineStr">
        <is>
          <t>Chatsworth</t>
        </is>
      </c>
      <c r="I962" t="inlineStr">
        <is>
          <t>Los Angeles</t>
        </is>
      </c>
      <c r="J962" t="inlineStr">
        <is>
          <t>Chatsworth Park Health Care Center</t>
        </is>
      </c>
    </row>
    <row r="963">
      <c r="A963">
        <f>--ISNUMBER(IFERROR(SEARCH($C$5,Inputs!$D963,1),""))</f>
        <v/>
      </c>
      <c r="B963">
        <f>IF(A963=1,COUNTIF($A$6:A963,1),"")</f>
        <v/>
      </c>
      <c r="C963">
        <f>IFERROR(INDEX($D$6:$D$1750,MATCH(ROWS($B$6:B963),$B$6:$B$1750,0)),"")</f>
        <v/>
      </c>
      <c r="D963">
        <f>J963&amp;" ("&amp;E963&amp;")"</f>
        <v/>
      </c>
      <c r="E963" t="n">
        <v>21520</v>
      </c>
      <c r="F963" t="inlineStr">
        <is>
          <t>Skilled Nursing and Interm. Care Facility</t>
        </is>
      </c>
      <c r="G963" t="inlineStr">
        <is>
          <t>5053 Peck Road</t>
        </is>
      </c>
      <c r="H963" t="inlineStr">
        <is>
          <t>El Monte</t>
        </is>
      </c>
      <c r="I963" t="inlineStr">
        <is>
          <t>Los Angeles</t>
        </is>
      </c>
      <c r="J963" t="inlineStr">
        <is>
          <t>Santa Fe Lodge</t>
        </is>
      </c>
    </row>
    <row r="964">
      <c r="A964">
        <f>--ISNUMBER(IFERROR(SEARCH($C$5,Inputs!$D964,1),""))</f>
        <v/>
      </c>
      <c r="B964">
        <f>IF(A964=1,COUNTIF($A$6:A964,1),"")</f>
        <v/>
      </c>
      <c r="C964">
        <f>IFERROR(INDEX($D$6:$D$1750,MATCH(ROWS($B$6:B964),$B$6:$B$1750,0)),"")</f>
        <v/>
      </c>
      <c r="D964">
        <f>J964&amp;" ("&amp;E964&amp;")"</f>
        <v/>
      </c>
      <c r="E964" t="n">
        <v>21530</v>
      </c>
      <c r="F964" t="inlineStr">
        <is>
          <t>Skilled Nursing and Interm. Care Facility</t>
        </is>
      </c>
      <c r="G964" t="inlineStr">
        <is>
          <t>15823 S Western Ave</t>
        </is>
      </c>
      <c r="H964" t="inlineStr">
        <is>
          <t>Gardena</t>
        </is>
      </c>
      <c r="I964" t="inlineStr">
        <is>
          <t>Los Angeles</t>
        </is>
      </c>
      <c r="J964" t="inlineStr">
        <is>
          <t>Clear View Convalescent Center</t>
        </is>
      </c>
    </row>
    <row r="965">
      <c r="A965">
        <f>--ISNUMBER(IFERROR(SEARCH($C$5,Inputs!$D965,1),""))</f>
        <v/>
      </c>
      <c r="B965">
        <f>IF(A965=1,COUNTIF($A$6:A965,1),"")</f>
        <v/>
      </c>
      <c r="C965">
        <f>IFERROR(INDEX($D$6:$D$1750,MATCH(ROWS($B$6:B965),$B$6:$B$1750,0)),"")</f>
        <v/>
      </c>
      <c r="D965">
        <f>J965&amp;" ("&amp;E965&amp;")"</f>
        <v/>
      </c>
      <c r="E965" t="n">
        <v>21531</v>
      </c>
      <c r="F965" t="inlineStr">
        <is>
          <t>Skilled Nursing and Interm. Care Facility</t>
        </is>
      </c>
      <c r="G965" t="inlineStr">
        <is>
          <t>15823 S Western Avenue</t>
        </is>
      </c>
      <c r="H965" t="inlineStr">
        <is>
          <t>Gardena</t>
        </is>
      </c>
      <c r="I965" t="inlineStr">
        <is>
          <t>Los Angeles</t>
        </is>
      </c>
      <c r="J965" t="inlineStr">
        <is>
          <t>Clear View Sanitarium</t>
        </is>
      </c>
    </row>
    <row r="966">
      <c r="A966">
        <f>--ISNUMBER(IFERROR(SEARCH($C$5,Inputs!$D966,1),""))</f>
        <v/>
      </c>
      <c r="B966">
        <f>IF(A966=1,COUNTIF($A$6:A966,1),"")</f>
        <v/>
      </c>
      <c r="C966">
        <f>IFERROR(INDEX($D$6:$D$1750,MATCH(ROWS($B$6:B966),$B$6:$B$1750,0)),"")</f>
        <v/>
      </c>
      <c r="D966">
        <f>J966&amp;" ("&amp;E966&amp;")"</f>
        <v/>
      </c>
      <c r="E966" t="n">
        <v>21535</v>
      </c>
      <c r="F966" t="inlineStr">
        <is>
          <t>Skilled Nursing and Interm. Care Facility</t>
        </is>
      </c>
      <c r="G966" t="inlineStr">
        <is>
          <t>1470 N Fair Oaks Ave</t>
        </is>
      </c>
      <c r="H966" t="inlineStr">
        <is>
          <t>Pasadena</t>
        </is>
      </c>
      <c r="I966" t="inlineStr">
        <is>
          <t>Los Angeles</t>
        </is>
      </c>
      <c r="J966" t="inlineStr">
        <is>
          <t>Pasadena Grove Health Center</t>
        </is>
      </c>
    </row>
    <row r="967">
      <c r="A967">
        <f>--ISNUMBER(IFERROR(SEARCH($C$5,Inputs!$D967,1),""))</f>
        <v/>
      </c>
      <c r="B967">
        <f>IF(A967=1,COUNTIF($A$6:A967,1),"")</f>
        <v/>
      </c>
      <c r="C967">
        <f>IFERROR(INDEX($D$6:$D$1750,MATCH(ROWS($B$6:B967),$B$6:$B$1750,0)),"")</f>
        <v/>
      </c>
      <c r="D967">
        <f>J967&amp;" ("&amp;E967&amp;")"</f>
        <v/>
      </c>
      <c r="E967" t="n">
        <v>21537</v>
      </c>
      <c r="F967" t="inlineStr">
        <is>
          <t>Skilled Nursing and Interm. Care Facility</t>
        </is>
      </c>
      <c r="G967" t="inlineStr">
        <is>
          <t>4681 Eagle Rock Blvd</t>
        </is>
      </c>
      <c r="H967" t="inlineStr">
        <is>
          <t>Los Angeles</t>
        </is>
      </c>
      <c r="I967" t="inlineStr">
        <is>
          <t>Los Angeles</t>
        </is>
      </c>
      <c r="J967" t="inlineStr">
        <is>
          <t>College Vista Convalescent Hospital</t>
        </is>
      </c>
    </row>
    <row r="968">
      <c r="A968">
        <f>--ISNUMBER(IFERROR(SEARCH($C$5,Inputs!$D968,1),""))</f>
        <v/>
      </c>
      <c r="B968">
        <f>IF(A968=1,COUNTIF($A$6:A968,1),"")</f>
        <v/>
      </c>
      <c r="C968">
        <f>IFERROR(INDEX($D$6:$D$1750,MATCH(ROWS($B$6:B968),$B$6:$B$1750,0)),"")</f>
        <v/>
      </c>
      <c r="D968">
        <f>J968&amp;" ("&amp;E968&amp;")"</f>
        <v/>
      </c>
      <c r="E968" t="n">
        <v>21538</v>
      </c>
      <c r="F968" t="inlineStr">
        <is>
          <t>Skilled Nursing and Interm. Care Facility</t>
        </is>
      </c>
      <c r="G968" t="inlineStr">
        <is>
          <t>7246 Rosemead Blvd</t>
        </is>
      </c>
      <c r="H968" t="inlineStr">
        <is>
          <t>Pico Rivera</t>
        </is>
      </c>
      <c r="I968" t="inlineStr">
        <is>
          <t>Los Angeles</t>
        </is>
      </c>
      <c r="J968" t="inlineStr">
        <is>
          <t>Colonial Gardens Nursing Home</t>
        </is>
      </c>
    </row>
    <row r="969">
      <c r="A969">
        <f>--ISNUMBER(IFERROR(SEARCH($C$5,Inputs!$D969,1),""))</f>
        <v/>
      </c>
      <c r="B969">
        <f>IF(A969=1,COUNTIF($A$6:A969,1),"")</f>
        <v/>
      </c>
      <c r="C969">
        <f>IFERROR(INDEX($D$6:$D$1750,MATCH(ROWS($B$6:B969),$B$6:$B$1750,0)),"")</f>
        <v/>
      </c>
      <c r="D969">
        <f>J969&amp;" ("&amp;E969&amp;")"</f>
        <v/>
      </c>
      <c r="E969" t="n">
        <v>21539</v>
      </c>
      <c r="F969" t="inlineStr">
        <is>
          <t>Skilled Nursing and Interm. Care Facility</t>
        </is>
      </c>
      <c r="G969" t="inlineStr">
        <is>
          <t>919 N Sunset Ave</t>
        </is>
      </c>
      <c r="H969" t="inlineStr">
        <is>
          <t>West Covina</t>
        </is>
      </c>
      <c r="I969" t="inlineStr">
        <is>
          <t>Los Angeles</t>
        </is>
      </c>
      <c r="J969" t="inlineStr">
        <is>
          <t>Beacon Healthcare Center</t>
        </is>
      </c>
    </row>
    <row r="970">
      <c r="A970">
        <f>--ISNUMBER(IFERROR(SEARCH($C$5,Inputs!$D970,1),""))</f>
        <v/>
      </c>
      <c r="B970">
        <f>IF(A970=1,COUNTIF($A$6:A970,1),"")</f>
        <v/>
      </c>
      <c r="C970">
        <f>IFERROR(INDEX($D$6:$D$1750,MATCH(ROWS($B$6:B970),$B$6:$B$1750,0)),"")</f>
        <v/>
      </c>
      <c r="D970">
        <f>J970&amp;" ("&amp;E970&amp;")"</f>
        <v/>
      </c>
      <c r="E970" t="n">
        <v>21541</v>
      </c>
      <c r="F970" t="inlineStr">
        <is>
          <t>Skilled Nursing and Interm. Care Facility</t>
        </is>
      </c>
      <c r="G970" t="inlineStr">
        <is>
          <t>3611 E Imperial Hwy</t>
        </is>
      </c>
      <c r="H970" t="inlineStr">
        <is>
          <t>Lynwood</t>
        </is>
      </c>
      <c r="I970" t="inlineStr">
        <is>
          <t>Los Angeles</t>
        </is>
      </c>
      <c r="J970" t="inlineStr">
        <is>
          <t>Lynwood Post Acute Care Center</t>
        </is>
      </c>
    </row>
    <row r="971">
      <c r="A971">
        <f>--ISNUMBER(IFERROR(SEARCH($C$5,Inputs!$D971,1),""))</f>
        <v/>
      </c>
      <c r="B971">
        <f>IF(A971=1,COUNTIF($A$6:A971,1),"")</f>
        <v/>
      </c>
      <c r="C971">
        <f>IFERROR(INDEX($D$6:$D$1750,MATCH(ROWS($B$6:B971),$B$6:$B$1750,0)),"")</f>
        <v/>
      </c>
      <c r="D971">
        <f>J971&amp;" ("&amp;E971&amp;")"</f>
        <v/>
      </c>
      <c r="E971" t="n">
        <v>21544</v>
      </c>
      <c r="F971" t="inlineStr">
        <is>
          <t>Skilled Nursing and Interm. Care Facility</t>
        </is>
      </c>
      <c r="G971" t="inlineStr">
        <is>
          <t>7660 Wyngate St</t>
        </is>
      </c>
      <c r="H971" t="inlineStr">
        <is>
          <t>Tujunga</t>
        </is>
      </c>
      <c r="I971" t="inlineStr">
        <is>
          <t>Los Angeles</t>
        </is>
      </c>
      <c r="J971" t="inlineStr">
        <is>
          <t>North Valley Nursing Center</t>
        </is>
      </c>
    </row>
    <row r="972">
      <c r="A972">
        <f>--ISNUMBER(IFERROR(SEARCH($C$5,Inputs!$D972,1),""))</f>
        <v/>
      </c>
      <c r="B972">
        <f>IF(A972=1,COUNTIF($A$6:A972,1),"")</f>
        <v/>
      </c>
      <c r="C972">
        <f>IFERROR(INDEX($D$6:$D$1750,MATCH(ROWS($B$6:B972),$B$6:$B$1750,0)),"")</f>
        <v/>
      </c>
      <c r="D972">
        <f>J972&amp;" ("&amp;E972&amp;")"</f>
        <v/>
      </c>
      <c r="E972" t="n">
        <v>21553</v>
      </c>
      <c r="F972" t="inlineStr">
        <is>
          <t>Skilled Nursing and Interm. Care Facility</t>
        </is>
      </c>
      <c r="G972" t="inlineStr">
        <is>
          <t>2309 N Santa Fe Ave</t>
        </is>
      </c>
      <c r="H972" t="inlineStr">
        <is>
          <t>Compton</t>
        </is>
      </c>
      <c r="I972" t="inlineStr">
        <is>
          <t>Los Angeles</t>
        </is>
      </c>
      <c r="J972" t="inlineStr">
        <is>
          <t>Santa Fe Heights Healthcare Center LLC</t>
        </is>
      </c>
    </row>
    <row r="973">
      <c r="A973">
        <f>--ISNUMBER(IFERROR(SEARCH($C$5,Inputs!$D973,1),""))</f>
        <v/>
      </c>
      <c r="B973">
        <f>IF(A973=1,COUNTIF($A$6:A973,1),"")</f>
        <v/>
      </c>
      <c r="C973">
        <f>IFERROR(INDEX($D$6:$D$1750,MATCH(ROWS($B$6:B973),$B$6:$B$1750,0)),"")</f>
        <v/>
      </c>
      <c r="D973">
        <f>J973&amp;" ("&amp;E973&amp;")"</f>
        <v/>
      </c>
      <c r="E973" t="n">
        <v>21557</v>
      </c>
      <c r="F973" t="inlineStr">
        <is>
          <t>Skilled Nursing and Interm. Care Facility</t>
        </is>
      </c>
      <c r="G973" t="inlineStr">
        <is>
          <t>716 South Fair Oaks Avenue</t>
        </is>
      </c>
      <c r="H973" t="inlineStr">
        <is>
          <t>Pasadena</t>
        </is>
      </c>
      <c r="I973" t="inlineStr">
        <is>
          <t>Los Angeles</t>
        </is>
      </c>
      <c r="J973" t="inlineStr">
        <is>
          <t>Gem Transitional Care Center</t>
        </is>
      </c>
    </row>
    <row r="974">
      <c r="A974">
        <f>--ISNUMBER(IFERROR(SEARCH($C$5,Inputs!$D974,1),""))</f>
        <v/>
      </c>
      <c r="B974">
        <f>IF(A974=1,COUNTIF($A$6:A974,1),"")</f>
        <v/>
      </c>
      <c r="C974">
        <f>IFERROR(INDEX($D$6:$D$1750,MATCH(ROWS($B$6:B974),$B$6:$B$1750,0)),"")</f>
        <v/>
      </c>
      <c r="D974">
        <f>J974&amp;" ("&amp;E974&amp;")"</f>
        <v/>
      </c>
      <c r="E974" t="n">
        <v>21561</v>
      </c>
      <c r="F974" t="inlineStr">
        <is>
          <t>Skilled Nursing and Interm. Care Facility</t>
        </is>
      </c>
      <c r="G974" t="inlineStr">
        <is>
          <t>11723 Fenton Ave</t>
        </is>
      </c>
      <c r="H974" t="inlineStr">
        <is>
          <t>Sylmar</t>
        </is>
      </c>
      <c r="I974" t="inlineStr">
        <is>
          <t>Los Angeles</t>
        </is>
      </c>
      <c r="J974" t="inlineStr">
        <is>
          <t>Country Manor Healthcare</t>
        </is>
      </c>
    </row>
    <row r="975">
      <c r="A975">
        <f>--ISNUMBER(IFERROR(SEARCH($C$5,Inputs!$D975,1),""))</f>
        <v/>
      </c>
      <c r="B975">
        <f>IF(A975=1,COUNTIF($A$6:A975,1),"")</f>
        <v/>
      </c>
      <c r="C975">
        <f>IFERROR(INDEX($D$6:$D$1750,MATCH(ROWS($B$6:B975),$B$6:$B$1750,0)),"")</f>
        <v/>
      </c>
      <c r="D975">
        <f>J975&amp;" ("&amp;E975&amp;")"</f>
        <v/>
      </c>
      <c r="E975" t="n">
        <v>21565</v>
      </c>
      <c r="F975" t="inlineStr">
        <is>
          <t>Skilled Nursing and Interm. Care Facility</t>
        </is>
      </c>
      <c r="G975" t="inlineStr">
        <is>
          <t>1900 S. Longwood Ave.</t>
        </is>
      </c>
      <c r="H975" t="inlineStr">
        <is>
          <t>Los Angeles</t>
        </is>
      </c>
      <c r="I975" t="inlineStr">
        <is>
          <t>Los Angeles</t>
        </is>
      </c>
      <c r="J975" t="inlineStr">
        <is>
          <t>Crenshaw Nursing Home</t>
        </is>
      </c>
    </row>
    <row r="976">
      <c r="A976">
        <f>--ISNUMBER(IFERROR(SEARCH($C$5,Inputs!$D976,1),""))</f>
        <v/>
      </c>
      <c r="B976">
        <f>IF(A976=1,COUNTIF($A$6:A976,1),"")</f>
        <v/>
      </c>
      <c r="C976">
        <f>IFERROR(INDEX($D$6:$D$1750,MATCH(ROWS($B$6:B976),$B$6:$B$1750,0)),"")</f>
        <v/>
      </c>
      <c r="D976">
        <f>J976&amp;" ("&amp;E976&amp;")"</f>
        <v/>
      </c>
      <c r="E976" t="n">
        <v>21566</v>
      </c>
      <c r="F976" t="inlineStr">
        <is>
          <t>Skilled Nursing and Interm. Care Facility</t>
        </is>
      </c>
      <c r="G976" t="inlineStr">
        <is>
          <t>3737 Don Felipe Dr</t>
        </is>
      </c>
      <c r="H976" t="inlineStr">
        <is>
          <t>Los Angeles</t>
        </is>
      </c>
      <c r="I976" t="inlineStr">
        <is>
          <t>Los Angeles</t>
        </is>
      </c>
      <c r="J976" t="inlineStr">
        <is>
          <t>View Park Convalescent Center</t>
        </is>
      </c>
    </row>
    <row r="977">
      <c r="A977">
        <f>--ISNUMBER(IFERROR(SEARCH($C$5,Inputs!$D977,1),""))</f>
        <v/>
      </c>
      <c r="B977">
        <f>IF(A977=1,COUNTIF($A$6:A977,1),"")</f>
        <v/>
      </c>
      <c r="C977">
        <f>IFERROR(INDEX($D$6:$D$1750,MATCH(ROWS($B$6:B977),$B$6:$B$1750,0)),"")</f>
        <v/>
      </c>
      <c r="D977">
        <f>J977&amp;" ("&amp;E977&amp;")"</f>
        <v/>
      </c>
      <c r="E977" t="n">
        <v>21568</v>
      </c>
      <c r="F977" t="inlineStr">
        <is>
          <t>Skilled Nursing and Interm. Care Facility</t>
        </is>
      </c>
      <c r="G977" t="inlineStr">
        <is>
          <t>6070 W Pico Blvd</t>
        </is>
      </c>
      <c r="H977" t="inlineStr">
        <is>
          <t>Los Angeles</t>
        </is>
      </c>
      <c r="I977" t="inlineStr">
        <is>
          <t>Los Angeles</t>
        </is>
      </c>
      <c r="J977" t="inlineStr">
        <is>
          <t>Country Villa Terrace Nursing Center</t>
        </is>
      </c>
    </row>
    <row r="978">
      <c r="A978">
        <f>--ISNUMBER(IFERROR(SEARCH($C$5,Inputs!$D978,1),""))</f>
        <v/>
      </c>
      <c r="B978">
        <f>IF(A978=1,COUNTIF($A$6:A978,1),"")</f>
        <v/>
      </c>
      <c r="C978">
        <f>IFERROR(INDEX($D$6:$D$1750,MATCH(ROWS($B$6:B978),$B$6:$B$1750,0)),"")</f>
        <v/>
      </c>
      <c r="D978">
        <f>J978&amp;" ("&amp;E978&amp;")"</f>
        <v/>
      </c>
      <c r="E978" t="n">
        <v>21569</v>
      </c>
      <c r="F978" t="inlineStr">
        <is>
          <t>Skilled Nursing and Interm. Care Facility</t>
        </is>
      </c>
      <c r="G978" t="inlineStr">
        <is>
          <t>3938 Cogswell Rd.</t>
        </is>
      </c>
      <c r="H978" t="inlineStr">
        <is>
          <t>El Monte</t>
        </is>
      </c>
      <c r="I978" t="inlineStr">
        <is>
          <t>Los Angeles</t>
        </is>
      </c>
      <c r="J978" t="inlineStr">
        <is>
          <t>Penn Mar Therapeutic Center</t>
        </is>
      </c>
    </row>
    <row r="979">
      <c r="A979">
        <f>--ISNUMBER(IFERROR(SEARCH($C$5,Inputs!$D979,1),""))</f>
        <v/>
      </c>
      <c r="B979">
        <f>IF(A979=1,COUNTIF($A$6:A979,1),"")</f>
        <v/>
      </c>
      <c r="C979">
        <f>IFERROR(INDEX($D$6:$D$1750,MATCH(ROWS($B$6:B979),$B$6:$B$1750,0)),"")</f>
        <v/>
      </c>
      <c r="D979">
        <f>J979&amp;" ("&amp;E979&amp;")"</f>
        <v/>
      </c>
      <c r="E979" t="n">
        <v>21571</v>
      </c>
      <c r="F979" t="inlineStr">
        <is>
          <t>Skilled Nursing and Interm. Care Facility</t>
        </is>
      </c>
      <c r="G979" t="inlineStr">
        <is>
          <t>11620 W Washington Blvd</t>
        </is>
      </c>
      <c r="H979" t="inlineStr">
        <is>
          <t>Los Angeles</t>
        </is>
      </c>
      <c r="I979" t="inlineStr">
        <is>
          <t>Los Angeles</t>
        </is>
      </c>
      <c r="J979" t="inlineStr">
        <is>
          <t>Vista Del Sol Care Center</t>
        </is>
      </c>
    </row>
    <row r="980">
      <c r="A980">
        <f>--ISNUMBER(IFERROR(SEARCH($C$5,Inputs!$D980,1),""))</f>
        <v/>
      </c>
      <c r="B980">
        <f>IF(A980=1,COUNTIF($A$6:A980,1),"")</f>
        <v/>
      </c>
      <c r="C980">
        <f>IFERROR(INDEX($D$6:$D$1750,MATCH(ROWS($B$6:B980),$B$6:$B$1750,0)),"")</f>
        <v/>
      </c>
      <c r="D980">
        <f>J980&amp;" ("&amp;E980&amp;")"</f>
        <v/>
      </c>
      <c r="E980" t="n">
        <v>21574</v>
      </c>
      <c r="F980" t="inlineStr">
        <is>
          <t>Skilled Nursing and Interm. Care Facility</t>
        </is>
      </c>
      <c r="G980" t="inlineStr">
        <is>
          <t>4035 Grand View Blvd</t>
        </is>
      </c>
      <c r="H980" t="inlineStr">
        <is>
          <t>Los Angeles</t>
        </is>
      </c>
      <c r="I980" t="inlineStr">
        <is>
          <t>Los Angeles</t>
        </is>
      </c>
      <c r="J980" t="inlineStr">
        <is>
          <t>Culver West Health Center</t>
        </is>
      </c>
    </row>
    <row r="981">
      <c r="A981">
        <f>--ISNUMBER(IFERROR(SEARCH($C$5,Inputs!$D981,1),""))</f>
        <v/>
      </c>
      <c r="B981">
        <f>IF(A981=1,COUNTIF($A$6:A981,1),"")</f>
        <v/>
      </c>
      <c r="C981">
        <f>IFERROR(INDEX($D$6:$D$1750,MATCH(ROWS($B$6:B981),$B$6:$B$1750,0)),"")</f>
        <v/>
      </c>
      <c r="D981">
        <f>J981&amp;" ("&amp;E981&amp;")"</f>
        <v/>
      </c>
      <c r="E981" t="n">
        <v>21575</v>
      </c>
      <c r="F981" t="inlineStr">
        <is>
          <t>Skilled Nursing and Interm. Care Facility</t>
        </is>
      </c>
      <c r="G981" t="inlineStr">
        <is>
          <t>1758 Big Dalton Ave</t>
        </is>
      </c>
      <c r="H981" t="inlineStr">
        <is>
          <t>Baldwin Park</t>
        </is>
      </c>
      <c r="I981" t="inlineStr">
        <is>
          <t>Los Angeles</t>
        </is>
      </c>
      <c r="J981" t="inlineStr">
        <is>
          <t>Golden State Care Center</t>
        </is>
      </c>
    </row>
    <row r="982">
      <c r="A982">
        <f>--ISNUMBER(IFERROR(SEARCH($C$5,Inputs!$D982,1),""))</f>
        <v/>
      </c>
      <c r="B982">
        <f>IF(A982=1,COUNTIF($A$6:A982,1),"")</f>
        <v/>
      </c>
      <c r="C982">
        <f>IFERROR(INDEX($D$6:$D$1750,MATCH(ROWS($B$6:B982),$B$6:$B$1750,0)),"")</f>
        <v/>
      </c>
      <c r="D982">
        <f>J982&amp;" ("&amp;E982&amp;")"</f>
        <v/>
      </c>
      <c r="E982" t="n">
        <v>21577</v>
      </c>
      <c r="F982" t="inlineStr">
        <is>
          <t>Skilled Nursing and Interm. Care Facility</t>
        </is>
      </c>
      <c r="G982" t="inlineStr">
        <is>
          <t>22419 Kent Ave</t>
        </is>
      </c>
      <c r="H982" t="inlineStr">
        <is>
          <t>Torrance</t>
        </is>
      </c>
      <c r="I982" t="inlineStr">
        <is>
          <t>Los Angeles</t>
        </is>
      </c>
      <c r="J982" t="inlineStr">
        <is>
          <t>Del Amo Gardens Care Center</t>
        </is>
      </c>
    </row>
    <row r="983">
      <c r="A983">
        <f>--ISNUMBER(IFERROR(SEARCH($C$5,Inputs!$D983,1),""))</f>
        <v/>
      </c>
      <c r="B983">
        <f>IF(A983=1,COUNTIF($A$6:A983,1),"")</f>
        <v/>
      </c>
      <c r="C983">
        <f>IFERROR(INDEX($D$6:$D$1750,MATCH(ROWS($B$6:B983),$B$6:$B$1750,0)),"")</f>
        <v/>
      </c>
      <c r="D983">
        <f>J983&amp;" ("&amp;E983&amp;")"</f>
        <v/>
      </c>
      <c r="E983" t="n">
        <v>21578</v>
      </c>
      <c r="F983" t="inlineStr">
        <is>
          <t>Skilled Nursing and Interm. Care Facility</t>
        </is>
      </c>
      <c r="G983" t="inlineStr">
        <is>
          <t>7002 Gage Ave.</t>
        </is>
      </c>
      <c r="H983" t="inlineStr">
        <is>
          <t>Bell Gardens</t>
        </is>
      </c>
      <c r="I983" t="inlineStr">
        <is>
          <t>Los Angeles</t>
        </is>
      </c>
      <c r="J983" t="inlineStr">
        <is>
          <t>Villa Del Rio</t>
        </is>
      </c>
    </row>
    <row r="984">
      <c r="A984">
        <f>--ISNUMBER(IFERROR(SEARCH($C$5,Inputs!$D984,1),""))</f>
        <v/>
      </c>
      <c r="B984">
        <f>IF(A984=1,COUNTIF($A$6:A984,1),"")</f>
        <v/>
      </c>
      <c r="C984">
        <f>IFERROR(INDEX($D$6:$D$1750,MATCH(ROWS($B$6:B984),$B$6:$B$1750,0)),"")</f>
        <v/>
      </c>
      <c r="D984">
        <f>J984&amp;" ("&amp;E984&amp;")"</f>
        <v/>
      </c>
      <c r="E984" t="n">
        <v>21579</v>
      </c>
      <c r="F984" t="inlineStr">
        <is>
          <t>Skilled Nursing and Interm. Care Facility</t>
        </is>
      </c>
      <c r="G984" t="inlineStr">
        <is>
          <t>7004 Gage Ave</t>
        </is>
      </c>
      <c r="H984" t="inlineStr">
        <is>
          <t>Bell Gardens</t>
        </is>
      </c>
      <c r="I984" t="inlineStr">
        <is>
          <t>Los Angeles</t>
        </is>
      </c>
      <c r="J984" t="inlineStr">
        <is>
          <t>Villa Del Rio Gardens</t>
        </is>
      </c>
    </row>
    <row r="985">
      <c r="A985">
        <f>--ISNUMBER(IFERROR(SEARCH($C$5,Inputs!$D985,1),""))</f>
        <v/>
      </c>
      <c r="B985">
        <f>IF(A985=1,COUNTIF($A$6:A985,1),"")</f>
        <v/>
      </c>
      <c r="C985">
        <f>IFERROR(INDEX($D$6:$D$1750,MATCH(ROWS($B$6:B985),$B$6:$B$1750,0)),"")</f>
        <v/>
      </c>
      <c r="D985">
        <f>J985&amp;" ("&amp;E985&amp;")"</f>
        <v/>
      </c>
      <c r="E985" t="n">
        <v>21580</v>
      </c>
      <c r="F985" t="inlineStr">
        <is>
          <t>Skilled Nursing and Interm. Care Facility</t>
        </is>
      </c>
      <c r="G985" t="inlineStr">
        <is>
          <t>3136 Del Mar Ave</t>
        </is>
      </c>
      <c r="H985" t="inlineStr">
        <is>
          <t>Rosemead</t>
        </is>
      </c>
      <c r="I985" t="inlineStr">
        <is>
          <t>Los Angeles</t>
        </is>
      </c>
      <c r="J985" t="inlineStr">
        <is>
          <t>Del Mar Convalescent Hospital</t>
        </is>
      </c>
    </row>
    <row r="986">
      <c r="A986">
        <f>--ISNUMBER(IFERROR(SEARCH($C$5,Inputs!$D986,1),""))</f>
        <v/>
      </c>
      <c r="B986">
        <f>IF(A986=1,COUNTIF($A$6:A986,1),"")</f>
        <v/>
      </c>
      <c r="C986">
        <f>IFERROR(INDEX($D$6:$D$1750,MATCH(ROWS($B$6:B986),$B$6:$B$1750,0)),"")</f>
        <v/>
      </c>
      <c r="D986">
        <f>J986&amp;" ("&amp;E986&amp;")"</f>
        <v/>
      </c>
      <c r="E986" t="n">
        <v>21581</v>
      </c>
      <c r="F986" t="inlineStr">
        <is>
          <t>Skilled Nursing and Interm. Care Facility</t>
        </is>
      </c>
      <c r="G986" t="inlineStr">
        <is>
          <t>8647 Fenwick St</t>
        </is>
      </c>
      <c r="H986" t="inlineStr">
        <is>
          <t>Sunland</t>
        </is>
      </c>
      <c r="I986" t="inlineStr">
        <is>
          <t>Los Angeles</t>
        </is>
      </c>
      <c r="J986" t="inlineStr">
        <is>
          <t>New Vista Nursing And Rehabilitation Center</t>
        </is>
      </c>
    </row>
    <row r="987">
      <c r="A987">
        <f>--ISNUMBER(IFERROR(SEARCH($C$5,Inputs!$D987,1),""))</f>
        <v/>
      </c>
      <c r="B987">
        <f>IF(A987=1,COUNTIF($A$6:A987,1),"")</f>
        <v/>
      </c>
      <c r="C987">
        <f>IFERROR(INDEX($D$6:$D$1750,MATCH(ROWS($B$6:B987),$B$6:$B$1750,0)),"")</f>
        <v/>
      </c>
      <c r="D987">
        <f>J987&amp;" ("&amp;E987&amp;")"</f>
        <v/>
      </c>
      <c r="E987" t="n">
        <v>21582</v>
      </c>
      <c r="F987" t="inlineStr">
        <is>
          <t>Skilled Nursing and Interm. Care Facility</t>
        </is>
      </c>
      <c r="G987" t="inlineStr">
        <is>
          <t>2373 Colorado Blvd</t>
        </is>
      </c>
      <c r="H987" t="inlineStr">
        <is>
          <t>Eagle Rock</t>
        </is>
      </c>
      <c r="I987" t="inlineStr">
        <is>
          <t>Los Angeles</t>
        </is>
      </c>
      <c r="J987" t="inlineStr">
        <is>
          <t>Ararat Convalescent Hospital</t>
        </is>
      </c>
    </row>
    <row r="988">
      <c r="A988">
        <f>--ISNUMBER(IFERROR(SEARCH($C$5,Inputs!$D988,1),""))</f>
        <v/>
      </c>
      <c r="B988">
        <f>IF(A988=1,COUNTIF($A$6:A988,1),"")</f>
        <v/>
      </c>
      <c r="C988">
        <f>IFERROR(INDEX($D$6:$D$1750,MATCH(ROWS($B$6:B988),$B$6:$B$1750,0)),"")</f>
        <v/>
      </c>
      <c r="D988">
        <f>J988&amp;" ("&amp;E988&amp;")"</f>
        <v/>
      </c>
      <c r="E988" t="n">
        <v>21583</v>
      </c>
      <c r="F988" t="inlineStr">
        <is>
          <t>Skilled Nursing and Interm. Care Facility</t>
        </is>
      </c>
      <c r="G988" t="inlineStr">
        <is>
          <t>7926 Painter Ave</t>
        </is>
      </c>
      <c r="H988" t="inlineStr">
        <is>
          <t>Whittier</t>
        </is>
      </c>
      <c r="I988" t="inlineStr">
        <is>
          <t>Los Angeles</t>
        </is>
      </c>
      <c r="J988" t="inlineStr">
        <is>
          <t>Whittier Nursing And Wellness Center, Inc.</t>
        </is>
      </c>
    </row>
    <row r="989">
      <c r="A989">
        <f>--ISNUMBER(IFERROR(SEARCH($C$5,Inputs!$D989,1),""))</f>
        <v/>
      </c>
      <c r="B989">
        <f>IF(A989=1,COUNTIF($A$6:A989,1),"")</f>
        <v/>
      </c>
      <c r="C989">
        <f>IFERROR(INDEX($D$6:$D$1750,MATCH(ROWS($B$6:B989),$B$6:$B$1750,0)),"")</f>
        <v/>
      </c>
      <c r="D989">
        <f>J989&amp;" ("&amp;E989&amp;")"</f>
        <v/>
      </c>
      <c r="E989" t="n">
        <v>21588</v>
      </c>
      <c r="F989" t="inlineStr">
        <is>
          <t>Skilled Nursing and Interm. Care Facility</t>
        </is>
      </c>
      <c r="G989" t="inlineStr">
        <is>
          <t>1836 N Fair Oaks Ave</t>
        </is>
      </c>
      <c r="H989" t="inlineStr">
        <is>
          <t>Pasadena</t>
        </is>
      </c>
      <c r="I989" t="inlineStr">
        <is>
          <t>Los Angeles</t>
        </is>
      </c>
      <c r="J989" t="inlineStr">
        <is>
          <t>Brighton Care Center</t>
        </is>
      </c>
    </row>
    <row r="990">
      <c r="A990">
        <f>--ISNUMBER(IFERROR(SEARCH($C$5,Inputs!$D990,1),""))</f>
        <v/>
      </c>
      <c r="B990">
        <f>IF(A990=1,COUNTIF($A$6:A990,1),"")</f>
        <v/>
      </c>
      <c r="C990">
        <f>IFERROR(INDEX($D$6:$D$1750,MATCH(ROWS($B$6:B990),$B$6:$B$1750,0)),"")</f>
        <v/>
      </c>
      <c r="D990">
        <f>J990&amp;" ("&amp;E990&amp;")"</f>
        <v/>
      </c>
      <c r="E990" t="n">
        <v>21591</v>
      </c>
      <c r="F990" t="inlineStr">
        <is>
          <t>Skilled Nursing and Interm. Care Facility</t>
        </is>
      </c>
      <c r="G990" t="inlineStr">
        <is>
          <t>1400 W Glenoaks Blvd</t>
        </is>
      </c>
      <c r="H990" t="inlineStr">
        <is>
          <t>Glendale</t>
        </is>
      </c>
      <c r="I990" t="inlineStr">
        <is>
          <t>Los Angeles</t>
        </is>
      </c>
      <c r="J990" t="inlineStr">
        <is>
          <t>Dreier's Nursing Care Center</t>
        </is>
      </c>
    </row>
    <row r="991">
      <c r="A991">
        <f>--ISNUMBER(IFERROR(SEARCH($C$5,Inputs!$D991,1),""))</f>
        <v/>
      </c>
      <c r="B991">
        <f>IF(A991=1,COUNTIF($A$6:A991,1),"")</f>
        <v/>
      </c>
      <c r="C991">
        <f>IFERROR(INDEX($D$6:$D$1750,MATCH(ROWS($B$6:B991),$B$6:$B$1750,0)),"")</f>
        <v/>
      </c>
      <c r="D991">
        <f>J991&amp;" ("&amp;E991&amp;")"</f>
        <v/>
      </c>
      <c r="E991" t="n">
        <v>21592</v>
      </c>
      <c r="F991" t="inlineStr">
        <is>
          <t>Skilled Nursing and Interm. Care Facility</t>
        </is>
      </c>
      <c r="G991" t="inlineStr">
        <is>
          <t>802 Buena Vista St</t>
        </is>
      </c>
      <c r="H991" t="inlineStr">
        <is>
          <t>Duarte</t>
        </is>
      </c>
      <c r="I991" t="inlineStr">
        <is>
          <t>Los Angeles</t>
        </is>
      </c>
      <c r="J991" t="inlineStr">
        <is>
          <t>Monte Vista Healthcare Center</t>
        </is>
      </c>
    </row>
    <row r="992">
      <c r="A992">
        <f>--ISNUMBER(IFERROR(SEARCH($C$5,Inputs!$D992,1),""))</f>
        <v/>
      </c>
      <c r="B992">
        <f>IF(A992=1,COUNTIF($A$6:A992,1),"")</f>
        <v/>
      </c>
      <c r="C992">
        <f>IFERROR(INDEX($D$6:$D$1750,MATCH(ROWS($B$6:B992),$B$6:$B$1750,0)),"")</f>
        <v/>
      </c>
      <c r="D992">
        <f>J992&amp;" ("&amp;E992&amp;")"</f>
        <v/>
      </c>
      <c r="E992" t="n">
        <v>21593</v>
      </c>
      <c r="F992" t="inlineStr">
        <is>
          <t>Skilled Nursing and Interm. Care Facility</t>
        </is>
      </c>
      <c r="G992" t="inlineStr">
        <is>
          <t>6011 West Blvd</t>
        </is>
      </c>
      <c r="H992" t="inlineStr">
        <is>
          <t>Los Angeles</t>
        </is>
      </c>
      <c r="I992" t="inlineStr">
        <is>
          <t>Los Angeles</t>
        </is>
      </c>
      <c r="J992" t="inlineStr">
        <is>
          <t>Lotus Care Center</t>
        </is>
      </c>
    </row>
    <row r="993">
      <c r="A993">
        <f>--ISNUMBER(IFERROR(SEARCH($C$5,Inputs!$D993,1),""))</f>
        <v/>
      </c>
      <c r="B993">
        <f>IF(A993=1,COUNTIF($A$6:A993,1),"")</f>
        <v/>
      </c>
      <c r="C993">
        <f>IFERROR(INDEX($D$6:$D$1750,MATCH(ROWS($B$6:B993),$B$6:$B$1750,0)),"")</f>
        <v/>
      </c>
      <c r="D993">
        <f>J993&amp;" ("&amp;E993&amp;")"</f>
        <v/>
      </c>
      <c r="E993" t="n">
        <v>21596</v>
      </c>
      <c r="F993" t="inlineStr">
        <is>
          <t>Skilled Nursing and Interm. Care Facility</t>
        </is>
      </c>
      <c r="G993" t="inlineStr">
        <is>
          <t>20820 Earl Street</t>
        </is>
      </c>
      <c r="H993" t="inlineStr">
        <is>
          <t>Torrance</t>
        </is>
      </c>
      <c r="I993" t="inlineStr">
        <is>
          <t>Los Angeles</t>
        </is>
      </c>
      <c r="J993" t="inlineStr">
        <is>
          <t>The Earlwood</t>
        </is>
      </c>
    </row>
    <row r="994">
      <c r="A994">
        <f>--ISNUMBER(IFERROR(SEARCH($C$5,Inputs!$D994,1),""))</f>
        <v/>
      </c>
      <c r="B994">
        <f>IF(A994=1,COUNTIF($A$6:A994,1),"")</f>
        <v/>
      </c>
      <c r="C994">
        <f>IFERROR(INDEX($D$6:$D$1750,MATCH(ROWS($B$6:B994),$B$6:$B$1750,0)),"")</f>
        <v/>
      </c>
      <c r="D994">
        <f>J994&amp;" ("&amp;E994&amp;")"</f>
        <v/>
      </c>
      <c r="E994" t="n">
        <v>21599</v>
      </c>
      <c r="F994" t="inlineStr">
        <is>
          <t>Skilled Nursing and Interm. Care Facility</t>
        </is>
      </c>
      <c r="G994" t="inlineStr">
        <is>
          <t>4029 East Anaheim Street</t>
        </is>
      </c>
      <c r="H994" t="inlineStr">
        <is>
          <t>Long Beach</t>
        </is>
      </c>
      <c r="I994" t="inlineStr">
        <is>
          <t>Los Angeles</t>
        </is>
      </c>
      <c r="J994" t="inlineStr">
        <is>
          <t>Shoreline Healthcare Center</t>
        </is>
      </c>
    </row>
    <row r="995">
      <c r="A995">
        <f>--ISNUMBER(IFERROR(SEARCH($C$5,Inputs!$D995,1),""))</f>
        <v/>
      </c>
      <c r="B995">
        <f>IF(A995=1,COUNTIF($A$6:A995,1),"")</f>
        <v/>
      </c>
      <c r="C995">
        <f>IFERROR(INDEX($D$6:$D$1750,MATCH(ROWS($B$6:B995),$B$6:$B$1750,0)),"")</f>
        <v/>
      </c>
      <c r="D995">
        <f>J995&amp;" ("&amp;E995&amp;")"</f>
        <v/>
      </c>
      <c r="E995" t="n">
        <v>21602</v>
      </c>
      <c r="F995" t="inlineStr">
        <is>
          <t>Skilled Nursing and Interm. Care Facility</t>
        </is>
      </c>
      <c r="G995" t="inlineStr">
        <is>
          <t>2625 E 4th St</t>
        </is>
      </c>
      <c r="H995" t="inlineStr">
        <is>
          <t>Long Beach</t>
        </is>
      </c>
      <c r="I995" t="inlineStr">
        <is>
          <t>Los Angeles</t>
        </is>
      </c>
      <c r="J995" t="inlineStr">
        <is>
          <t>Edgewater Skilled Nursing Center</t>
        </is>
      </c>
    </row>
    <row r="996">
      <c r="A996">
        <f>--ISNUMBER(IFERROR(SEARCH($C$5,Inputs!$D996,1),""))</f>
        <v/>
      </c>
      <c r="B996">
        <f>IF(A996=1,COUNTIF($A$6:A996,1),"")</f>
        <v/>
      </c>
      <c r="C996">
        <f>IFERROR(INDEX($D$6:$D$1750,MATCH(ROWS($B$6:B996),$B$6:$B$1750,0)),"")</f>
        <v/>
      </c>
      <c r="D996">
        <f>J996&amp;" ("&amp;E996&amp;")"</f>
        <v/>
      </c>
      <c r="E996" t="n">
        <v>21603</v>
      </c>
      <c r="F996" t="inlineStr">
        <is>
          <t>Skilled Nursing and Interm. Care Facility</t>
        </is>
      </c>
      <c r="G996" t="inlineStr">
        <is>
          <t>200 W Paramount St</t>
        </is>
      </c>
      <c r="H996" t="inlineStr">
        <is>
          <t>Azusa</t>
        </is>
      </c>
      <c r="I996" t="inlineStr">
        <is>
          <t>Los Angeles</t>
        </is>
      </c>
      <c r="J996" t="inlineStr">
        <is>
          <t>Edgewood Center</t>
        </is>
      </c>
    </row>
    <row r="997">
      <c r="A997">
        <f>--ISNUMBER(IFERROR(SEARCH($C$5,Inputs!$D997,1),""))</f>
        <v/>
      </c>
      <c r="B997">
        <f>IF(A997=1,COUNTIF($A$6:A997,1),"")</f>
        <v/>
      </c>
      <c r="C997">
        <f>IFERROR(INDEX($D$6:$D$1750,MATCH(ROWS($B$6:B997),$B$6:$B$1750,0)),"")</f>
        <v/>
      </c>
      <c r="D997">
        <f>J997&amp;" ("&amp;E997&amp;")"</f>
        <v/>
      </c>
      <c r="E997" t="n">
        <v>21604</v>
      </c>
      <c r="F997" t="inlineStr">
        <is>
          <t>Skilled Nursing and Interm. Care Facility</t>
        </is>
      </c>
      <c r="G997" t="inlineStr">
        <is>
          <t>14318 Ohio St</t>
        </is>
      </c>
      <c r="H997" t="inlineStr">
        <is>
          <t>Baldwin Park</t>
        </is>
      </c>
      <c r="I997" t="inlineStr">
        <is>
          <t>Los Angeles</t>
        </is>
      </c>
      <c r="J997" t="inlineStr">
        <is>
          <t>Sierra View Care Center</t>
        </is>
      </c>
    </row>
    <row r="998">
      <c r="A998">
        <f>--ISNUMBER(IFERROR(SEARCH($C$5,Inputs!$D998,1),""))</f>
        <v/>
      </c>
      <c r="B998">
        <f>IF(A998=1,COUNTIF($A$6:A998,1),"")</f>
        <v/>
      </c>
      <c r="C998">
        <f>IFERROR(INDEX($D$6:$D$1750,MATCH(ROWS($B$6:B998),$B$6:$B$1750,0)),"")</f>
        <v/>
      </c>
      <c r="D998">
        <f>J998&amp;" ("&amp;E998&amp;")"</f>
        <v/>
      </c>
      <c r="E998" t="n">
        <v>21605</v>
      </c>
      <c r="F998" t="inlineStr">
        <is>
          <t>Skilled Nursing and Interm. Care Facility</t>
        </is>
      </c>
      <c r="G998" t="inlineStr">
        <is>
          <t>555 El Encanto Rd</t>
        </is>
      </c>
      <c r="H998" t="inlineStr">
        <is>
          <t>City of Industry</t>
        </is>
      </c>
      <c r="I998" t="inlineStr">
        <is>
          <t>Los Angeles</t>
        </is>
      </c>
      <c r="J998" t="inlineStr">
        <is>
          <t>El Encanto Healthcare &amp; Habilitation Center</t>
        </is>
      </c>
    </row>
    <row r="999">
      <c r="A999">
        <f>--ISNUMBER(IFERROR(SEARCH($C$5,Inputs!$D999,1),""))</f>
        <v/>
      </c>
      <c r="B999">
        <f>IF(A999=1,COUNTIF($A$6:A999,1),"")</f>
        <v/>
      </c>
      <c r="C999">
        <f>IFERROR(INDEX($D$6:$D$1750,MATCH(ROWS($B$6:B999),$B$6:$B$1750,0)),"")</f>
        <v/>
      </c>
      <c r="D999">
        <f>J999&amp;" ("&amp;E999&amp;")"</f>
        <v/>
      </c>
      <c r="E999" t="n">
        <v>21607</v>
      </c>
      <c r="F999" t="inlineStr">
        <is>
          <t>Skilled Nursing and Interm. Care Facility</t>
        </is>
      </c>
      <c r="G999" t="inlineStr">
        <is>
          <t>4096 Easy St</t>
        </is>
      </c>
      <c r="H999" t="inlineStr">
        <is>
          <t>El Monte</t>
        </is>
      </c>
      <c r="I999" t="inlineStr">
        <is>
          <t>Los Angeles</t>
        </is>
      </c>
      <c r="J999" t="inlineStr">
        <is>
          <t>El Monte Convalescent Hospital</t>
        </is>
      </c>
    </row>
    <row r="1000">
      <c r="A1000">
        <f>--ISNUMBER(IFERROR(SEARCH($C$5,Inputs!$D1000,1),""))</f>
        <v/>
      </c>
      <c r="B1000">
        <f>IF(A1000=1,COUNTIF($A$6:A1000,1),"")</f>
        <v/>
      </c>
      <c r="C1000">
        <f>IFERROR(INDEX($D$6:$D$1750,MATCH(ROWS($B$6:B1000),$B$6:$B$1750,0)),"")</f>
        <v/>
      </c>
      <c r="D1000">
        <f>J1000&amp;" ("&amp;E1000&amp;")"</f>
        <v/>
      </c>
      <c r="E1000" t="n">
        <v>21608</v>
      </c>
      <c r="F1000" t="inlineStr">
        <is>
          <t>Skilled Nursing and Interm. Care Facility</t>
        </is>
      </c>
      <c r="G1000" t="inlineStr">
        <is>
          <t>11900 Ramona Blvd.</t>
        </is>
      </c>
      <c r="H1000" t="inlineStr">
        <is>
          <t>El Monte</t>
        </is>
      </c>
      <c r="I1000" t="inlineStr">
        <is>
          <t>Los Angeles</t>
        </is>
      </c>
      <c r="J1000" t="inlineStr">
        <is>
          <t>Ramona Nursing &amp; Rehabilitation Center</t>
        </is>
      </c>
    </row>
    <row r="1001">
      <c r="A1001">
        <f>--ISNUMBER(IFERROR(SEARCH($C$5,Inputs!$D1001,1),""))</f>
        <v/>
      </c>
      <c r="B1001">
        <f>IF(A1001=1,COUNTIF($A$6:A1001,1),"")</f>
        <v/>
      </c>
      <c r="C1001">
        <f>IFERROR(INDEX($D$6:$D$1750,MATCH(ROWS($B$6:B1001),$B$6:$B$1750,0)),"")</f>
        <v/>
      </c>
      <c r="D1001">
        <f>J1001&amp;" ("&amp;E1001&amp;")"</f>
        <v/>
      </c>
      <c r="E1001" t="n">
        <v>21610</v>
      </c>
      <c r="F1001" t="inlineStr">
        <is>
          <t>Skilled Nursing and Interm. Care Facility</t>
        </is>
      </c>
      <c r="G1001" t="inlineStr">
        <is>
          <t>1899 N Raymond Ave</t>
        </is>
      </c>
      <c r="H1001" t="inlineStr">
        <is>
          <t>Pasadena</t>
        </is>
      </c>
      <c r="I1001" t="inlineStr">
        <is>
          <t>Los Angeles</t>
        </is>
      </c>
      <c r="J1001" t="inlineStr">
        <is>
          <t>Rose Garden Healthcare Center</t>
        </is>
      </c>
    </row>
    <row r="1002">
      <c r="A1002">
        <f>--ISNUMBER(IFERROR(SEARCH($C$5,Inputs!$D1002,1),""))</f>
        <v/>
      </c>
      <c r="B1002">
        <f>IF(A1002=1,COUNTIF($A$6:A1002,1),"")</f>
        <v/>
      </c>
      <c r="C1002">
        <f>IFERROR(INDEX($D$6:$D$1750,MATCH(ROWS($B$6:B1002),$B$6:$B$1750,0)),"")</f>
        <v/>
      </c>
      <c r="D1002">
        <f>J1002&amp;" ("&amp;E1002&amp;")"</f>
        <v/>
      </c>
      <c r="E1002" t="n">
        <v>21613</v>
      </c>
      <c r="F1002" t="inlineStr">
        <is>
          <t>Skilled Nursing and Interm. Care Facility</t>
        </is>
      </c>
      <c r="G1002" t="inlineStr">
        <is>
          <t>3111 Santa Anita Ave</t>
        </is>
      </c>
      <c r="H1002" t="inlineStr">
        <is>
          <t>El Monte</t>
        </is>
      </c>
      <c r="I1002" t="inlineStr">
        <is>
          <t>Los Angeles</t>
        </is>
      </c>
      <c r="J1002" t="inlineStr">
        <is>
          <t>Valley View Post Acute</t>
        </is>
      </c>
    </row>
    <row r="1003">
      <c r="A1003">
        <f>--ISNUMBER(IFERROR(SEARCH($C$5,Inputs!$D1003,1),""))</f>
        <v/>
      </c>
      <c r="B1003">
        <f>IF(A1003=1,COUNTIF($A$6:A1003,1),"")</f>
        <v/>
      </c>
      <c r="C1003">
        <f>IFERROR(INDEX($D$6:$D$1750,MATCH(ROWS($B$6:B1003),$B$6:$B$1750,0)),"")</f>
        <v/>
      </c>
      <c r="D1003">
        <f>J1003&amp;" ("&amp;E1003&amp;")"</f>
        <v/>
      </c>
      <c r="E1003" t="n">
        <v>21614</v>
      </c>
      <c r="F1003" t="inlineStr">
        <is>
          <t>Skilled Nursing and Interm. Care Facility</t>
        </is>
      </c>
      <c r="G1003" t="inlineStr">
        <is>
          <t>1340 Highland Ave</t>
        </is>
      </c>
      <c r="H1003" t="inlineStr">
        <is>
          <t>Duarte</t>
        </is>
      </c>
      <c r="I1003" t="inlineStr">
        <is>
          <t>Los Angeles</t>
        </is>
      </c>
      <c r="J1003" t="inlineStr">
        <is>
          <t>Royal Terrace Health Care</t>
        </is>
      </c>
    </row>
    <row r="1004">
      <c r="A1004">
        <f>--ISNUMBER(IFERROR(SEARCH($C$5,Inputs!$D1004,1),""))</f>
        <v/>
      </c>
      <c r="B1004">
        <f>IF(A1004=1,COUNTIF($A$6:A1004,1),"")</f>
        <v/>
      </c>
      <c r="C1004">
        <f>IFERROR(INDEX($D$6:$D$1750,MATCH(ROWS($B$6:B1004),$B$6:$B$1750,0)),"")</f>
        <v/>
      </c>
      <c r="D1004">
        <f>J1004&amp;" ("&amp;E1004&amp;")"</f>
        <v/>
      </c>
      <c r="E1004" t="n">
        <v>21615</v>
      </c>
      <c r="F1004" t="inlineStr">
        <is>
          <t>Skilled Nursing and Interm. Care Facility</t>
        </is>
      </c>
      <c r="G1004" t="inlineStr">
        <is>
          <t>212 W Chevy Chase Dr</t>
        </is>
      </c>
      <c r="H1004" t="inlineStr">
        <is>
          <t>Glendale</t>
        </is>
      </c>
      <c r="I1004" t="inlineStr">
        <is>
          <t>Los Angeles</t>
        </is>
      </c>
      <c r="J1004" t="inlineStr">
        <is>
          <t>Glenhaven Healthcare</t>
        </is>
      </c>
    </row>
    <row r="1005">
      <c r="A1005">
        <f>--ISNUMBER(IFERROR(SEARCH($C$5,Inputs!$D1005,1),""))</f>
        <v/>
      </c>
      <c r="B1005">
        <f>IF(A1005=1,COUNTIF($A$6:A1005,1),"")</f>
        <v/>
      </c>
      <c r="C1005">
        <f>IFERROR(INDEX($D$6:$D$1750,MATCH(ROWS($B$6:B1005),$B$6:$B$1750,0)),"")</f>
        <v/>
      </c>
      <c r="D1005">
        <f>J1005&amp;" ("&amp;E1005&amp;")"</f>
        <v/>
      </c>
      <c r="E1005" t="n">
        <v>21616</v>
      </c>
      <c r="F1005" t="inlineStr">
        <is>
          <t>Skilled Nursing and Interm. Care Facility</t>
        </is>
      </c>
      <c r="G1005" t="inlineStr">
        <is>
          <t>4515 Huntington Dr S</t>
        </is>
      </c>
      <c r="H1005" t="inlineStr">
        <is>
          <t>Los Angeles</t>
        </is>
      </c>
      <c r="I1005" t="inlineStr">
        <is>
          <t>Los Angeles</t>
        </is>
      </c>
      <c r="J1005" t="inlineStr">
        <is>
          <t>Huntington Healthcare Center</t>
        </is>
      </c>
    </row>
    <row r="1006">
      <c r="A1006">
        <f>--ISNUMBER(IFERROR(SEARCH($C$5,Inputs!$D1006,1),""))</f>
        <v/>
      </c>
      <c r="B1006">
        <f>IF(A1006=1,COUNTIF($A$6:A1006,1),"")</f>
        <v/>
      </c>
      <c r="C1006">
        <f>IFERROR(INDEX($D$6:$D$1750,MATCH(ROWS($B$6:B1006),$B$6:$B$1750,0)),"")</f>
        <v/>
      </c>
      <c r="D1006">
        <f>J1006&amp;" ("&amp;E1006&amp;")"</f>
        <v/>
      </c>
      <c r="E1006" t="n">
        <v>21618</v>
      </c>
      <c r="F1006" t="inlineStr">
        <is>
          <t>Skilled Nursing and Interm. Care Facility</t>
        </is>
      </c>
      <c r="G1006" t="inlineStr">
        <is>
          <t>4109 Emerald St</t>
        </is>
      </c>
      <c r="H1006" t="inlineStr">
        <is>
          <t>Torrance</t>
        </is>
      </c>
      <c r="I1006" t="inlineStr">
        <is>
          <t>Los Angeles</t>
        </is>
      </c>
      <c r="J1006" t="inlineStr">
        <is>
          <t>Driftwood Healthcare Center</t>
        </is>
      </c>
    </row>
    <row r="1007">
      <c r="A1007">
        <f>--ISNUMBER(IFERROR(SEARCH($C$5,Inputs!$D1007,1),""))</f>
        <v/>
      </c>
      <c r="B1007">
        <f>IF(A1007=1,COUNTIF($A$6:A1007,1),"")</f>
        <v/>
      </c>
      <c r="C1007">
        <f>IFERROR(INDEX($D$6:$D$1750,MATCH(ROWS($B$6:B1007),$B$6:$B$1750,0)),"")</f>
        <v/>
      </c>
      <c r="D1007">
        <f>J1007&amp;" ("&amp;E1007&amp;")"</f>
        <v/>
      </c>
      <c r="E1007" t="n">
        <v>21624</v>
      </c>
      <c r="F1007" t="inlineStr">
        <is>
          <t>Skilled Nursing and Interm. Care Facility</t>
        </is>
      </c>
      <c r="G1007" t="inlineStr">
        <is>
          <t>10786 Live Oak Avenue</t>
        </is>
      </c>
      <c r="H1007" t="inlineStr">
        <is>
          <t>Temple City</t>
        </is>
      </c>
      <c r="I1007" t="inlineStr">
        <is>
          <t>Los Angeles</t>
        </is>
      </c>
      <c r="J1007" t="inlineStr">
        <is>
          <t>Baldwin Gardens Nursing Center</t>
        </is>
      </c>
    </row>
    <row r="1008">
      <c r="A1008">
        <f>--ISNUMBER(IFERROR(SEARCH($C$5,Inputs!$D1008,1),""))</f>
        <v/>
      </c>
      <c r="B1008">
        <f>IF(A1008=1,COUNTIF($A$6:A1008,1),"")</f>
        <v/>
      </c>
      <c r="C1008">
        <f>IFERROR(INDEX($D$6:$D$1750,MATCH(ROWS($B$6:B1008),$B$6:$B$1750,0)),"")</f>
        <v/>
      </c>
      <c r="D1008">
        <f>J1008&amp;" ("&amp;E1008&amp;")"</f>
        <v/>
      </c>
      <c r="E1008" t="n">
        <v>21628</v>
      </c>
      <c r="F1008" t="inlineStr">
        <is>
          <t>Skilled Nursing and Interm. Care Facility</t>
        </is>
      </c>
      <c r="G1008" t="inlineStr">
        <is>
          <t>1810 N Fair Oaks Ave</t>
        </is>
      </c>
      <c r="H1008" t="inlineStr">
        <is>
          <t>Pasadena</t>
        </is>
      </c>
      <c r="I1008" t="inlineStr">
        <is>
          <t>Los Angeles</t>
        </is>
      </c>
      <c r="J1008" t="inlineStr">
        <is>
          <t>Saint Vincent Healthcare</t>
        </is>
      </c>
    </row>
    <row r="1009">
      <c r="A1009">
        <f>--ISNUMBER(IFERROR(SEARCH($C$5,Inputs!$D1009,1),""))</f>
        <v/>
      </c>
      <c r="B1009">
        <f>IF(A1009=1,COUNTIF($A$6:A1009,1),"")</f>
        <v/>
      </c>
      <c r="C1009">
        <f>IFERROR(INDEX($D$6:$D$1750,MATCH(ROWS($B$6:B1009),$B$6:$B$1750,0)),"")</f>
        <v/>
      </c>
      <c r="D1009">
        <f>J1009&amp;" ("&amp;E1009&amp;")"</f>
        <v/>
      </c>
      <c r="E1009" t="n">
        <v>21630</v>
      </c>
      <c r="F1009" t="inlineStr">
        <is>
          <t>Skilled Nursing and Interm. Care Facility</t>
        </is>
      </c>
      <c r="G1009" t="inlineStr">
        <is>
          <t>126 N San Gabriel Blvd</t>
        </is>
      </c>
      <c r="H1009" t="inlineStr">
        <is>
          <t>San Gabriel</t>
        </is>
      </c>
      <c r="I1009" t="inlineStr">
        <is>
          <t>Los Angeles</t>
        </is>
      </c>
      <c r="J1009" t="inlineStr">
        <is>
          <t>Pine Grove Healthcare &amp; Wellness Centre, LP</t>
        </is>
      </c>
    </row>
    <row r="1010">
      <c r="A1010">
        <f>--ISNUMBER(IFERROR(SEARCH($C$5,Inputs!$D1010,1),""))</f>
        <v/>
      </c>
      <c r="B1010">
        <f>IF(A1010=1,COUNTIF($A$6:A1010,1),"")</f>
        <v/>
      </c>
      <c r="C1010">
        <f>IFERROR(INDEX($D$6:$D$1750,MATCH(ROWS($B$6:B1010),$B$6:$B$1750,0)),"")</f>
        <v/>
      </c>
      <c r="D1010">
        <f>J1010&amp;" ("&amp;E1010&amp;")"</f>
        <v/>
      </c>
      <c r="E1010" t="n">
        <v>21633</v>
      </c>
      <c r="F1010" t="inlineStr">
        <is>
          <t>Skilled Nursing and Interm. Care Facility</t>
        </is>
      </c>
      <c r="G1010" t="inlineStr">
        <is>
          <t>947 3rd St</t>
        </is>
      </c>
      <c r="H1010" t="inlineStr">
        <is>
          <t>Santa Monica</t>
        </is>
      </c>
      <c r="I1010" t="inlineStr">
        <is>
          <t>Los Angeles</t>
        </is>
      </c>
      <c r="J1010" t="inlineStr">
        <is>
          <t>Fireside Health Care Center</t>
        </is>
      </c>
    </row>
    <row r="1011">
      <c r="A1011">
        <f>--ISNUMBER(IFERROR(SEARCH($C$5,Inputs!$D1011,1),""))</f>
        <v/>
      </c>
      <c r="B1011">
        <f>IF(A1011=1,COUNTIF($A$6:A1011,1),"")</f>
        <v/>
      </c>
      <c r="C1011">
        <f>IFERROR(INDEX($D$6:$D$1750,MATCH(ROWS($B$6:B1011),$B$6:$B$1750,0)),"")</f>
        <v/>
      </c>
      <c r="D1011">
        <f>J1011&amp;" ("&amp;E1011&amp;")"</f>
        <v/>
      </c>
      <c r="E1011" t="n">
        <v>21635</v>
      </c>
      <c r="F1011" t="inlineStr">
        <is>
          <t>Skilled Nursing and Interm. Care Facility</t>
        </is>
      </c>
      <c r="G1011" t="inlineStr">
        <is>
          <t>5916 W Pico Blvd</t>
        </is>
      </c>
      <c r="H1011" t="inlineStr">
        <is>
          <t>Los Angeles</t>
        </is>
      </c>
      <c r="I1011" t="inlineStr">
        <is>
          <t>Los Angeles</t>
        </is>
      </c>
      <c r="J1011" t="inlineStr">
        <is>
          <t>Country Villa Pavilion Nursing Center</t>
        </is>
      </c>
    </row>
    <row r="1012">
      <c r="A1012">
        <f>--ISNUMBER(IFERROR(SEARCH($C$5,Inputs!$D1012,1),""))</f>
        <v/>
      </c>
      <c r="B1012">
        <f>IF(A1012=1,COUNTIF($A$6:A1012,1),"")</f>
        <v/>
      </c>
      <c r="C1012">
        <f>IFERROR(INDEX($D$6:$D$1750,MATCH(ROWS($B$6:B1012),$B$6:$B$1750,0)),"")</f>
        <v/>
      </c>
      <c r="D1012">
        <f>J1012&amp;" ("&amp;E1012&amp;")"</f>
        <v/>
      </c>
      <c r="E1012" t="n">
        <v>21636</v>
      </c>
      <c r="F1012" t="inlineStr">
        <is>
          <t>Skilled Nursing and Interm. Care Facility</t>
        </is>
      </c>
      <c r="G1012" t="inlineStr">
        <is>
          <t>12260 Foothill Blvd</t>
        </is>
      </c>
      <c r="H1012" t="inlineStr">
        <is>
          <t>Sylmar</t>
        </is>
      </c>
      <c r="I1012" t="inlineStr">
        <is>
          <t>Los Angeles</t>
        </is>
      </c>
      <c r="J1012" t="inlineStr">
        <is>
          <t>Golden Legacy Care Center</t>
        </is>
      </c>
    </row>
    <row r="1013">
      <c r="A1013">
        <f>--ISNUMBER(IFERROR(SEARCH($C$5,Inputs!$D1013,1),""))</f>
        <v/>
      </c>
      <c r="B1013">
        <f>IF(A1013=1,COUNTIF($A$6:A1013,1),"")</f>
        <v/>
      </c>
      <c r="C1013">
        <f>IFERROR(INDEX($D$6:$D$1750,MATCH(ROWS($B$6:B1013),$B$6:$B$1750,0)),"")</f>
        <v/>
      </c>
      <c r="D1013">
        <f>J1013&amp;" ("&amp;E1013&amp;")"</f>
        <v/>
      </c>
      <c r="E1013" t="n">
        <v>21637</v>
      </c>
      <c r="F1013" t="inlineStr">
        <is>
          <t>Skilled Nursing and Interm. Care Facility</t>
        </is>
      </c>
      <c r="G1013" t="inlineStr">
        <is>
          <t>2222 Santa Ana Blvd.</t>
        </is>
      </c>
      <c r="H1013" t="inlineStr">
        <is>
          <t>Los Angeles</t>
        </is>
      </c>
      <c r="I1013" t="inlineStr">
        <is>
          <t>Los Angeles</t>
        </is>
      </c>
      <c r="J1013" t="inlineStr">
        <is>
          <t>Lighthouse Healthcare Center</t>
        </is>
      </c>
    </row>
    <row r="1014">
      <c r="A1014">
        <f>--ISNUMBER(IFERROR(SEARCH($C$5,Inputs!$D1014,1),""))</f>
        <v/>
      </c>
      <c r="B1014">
        <f>IF(A1014=1,COUNTIF($A$6:A1014,1),"")</f>
        <v/>
      </c>
      <c r="C1014">
        <f>IFERROR(INDEX($D$6:$D$1750,MATCH(ROWS($B$6:B1014),$B$6:$B$1750,0)),"")</f>
        <v/>
      </c>
      <c r="D1014">
        <f>J1014&amp;" ("&amp;E1014&amp;")"</f>
        <v/>
      </c>
      <c r="E1014" t="n">
        <v>21638</v>
      </c>
      <c r="F1014" t="inlineStr">
        <is>
          <t>Skilled Nursing and Interm. Care Facility</t>
        </is>
      </c>
      <c r="G1014" t="inlineStr">
        <is>
          <t>5310 Fountain Ave</t>
        </is>
      </c>
      <c r="H1014" t="inlineStr">
        <is>
          <t>Los Angeles</t>
        </is>
      </c>
      <c r="I1014" t="inlineStr">
        <is>
          <t>Los Angeles</t>
        </is>
      </c>
      <c r="J1014" t="inlineStr">
        <is>
          <t>Fountain View Subacute And Nursing Center</t>
        </is>
      </c>
    </row>
    <row r="1015">
      <c r="A1015">
        <f>--ISNUMBER(IFERROR(SEARCH($C$5,Inputs!$D1015,1),""))</f>
        <v/>
      </c>
      <c r="B1015">
        <f>IF(A1015=1,COUNTIF($A$6:A1015,1),"")</f>
        <v/>
      </c>
      <c r="C1015">
        <f>IFERROR(INDEX($D$6:$D$1750,MATCH(ROWS($B$6:B1015),$B$6:$B$1750,0)),"")</f>
        <v/>
      </c>
      <c r="D1015">
        <f>J1015&amp;" ("&amp;E1015&amp;")"</f>
        <v/>
      </c>
      <c r="E1015" t="n">
        <v>21639</v>
      </c>
      <c r="F1015" t="inlineStr">
        <is>
          <t>Skilled Nursing and Interm. Care Facility</t>
        </is>
      </c>
      <c r="G1015" t="inlineStr">
        <is>
          <t>1001 S Osage Ave</t>
        </is>
      </c>
      <c r="H1015" t="inlineStr">
        <is>
          <t>Inglewood</t>
        </is>
      </c>
      <c r="I1015" t="inlineStr">
        <is>
          <t>Los Angeles</t>
        </is>
      </c>
      <c r="J1015" t="inlineStr">
        <is>
          <t>Osage Healthcare &amp; Wellness Centre</t>
        </is>
      </c>
    </row>
    <row r="1016">
      <c r="A1016">
        <f>--ISNUMBER(IFERROR(SEARCH($C$5,Inputs!$D1016,1),""))</f>
        <v/>
      </c>
      <c r="B1016">
        <f>IF(A1016=1,COUNTIF($A$6:A1016,1),"")</f>
        <v/>
      </c>
      <c r="C1016">
        <f>IFERROR(INDEX($D$6:$D$1750,MATCH(ROWS($B$6:B1016),$B$6:$B$1750,0)),"")</f>
        <v/>
      </c>
      <c r="D1016">
        <f>J1016&amp;" ("&amp;E1016&amp;")"</f>
        <v/>
      </c>
      <c r="E1016" t="n">
        <v>21640</v>
      </c>
      <c r="F1016" t="inlineStr">
        <is>
          <t>Skilled Nursing and Interm. Care Facility</t>
        </is>
      </c>
      <c r="G1016" t="inlineStr">
        <is>
          <t>950 S Flower St</t>
        </is>
      </c>
      <c r="H1016" t="inlineStr">
        <is>
          <t>Inglewood</t>
        </is>
      </c>
      <c r="I1016" t="inlineStr">
        <is>
          <t>Los Angeles</t>
        </is>
      </c>
      <c r="J1016" t="inlineStr">
        <is>
          <t>Centinela Skilled Nursing &amp; Wellness Centre</t>
        </is>
      </c>
    </row>
    <row r="1017">
      <c r="A1017">
        <f>--ISNUMBER(IFERROR(SEARCH($C$5,Inputs!$D1017,1),""))</f>
        <v/>
      </c>
      <c r="B1017">
        <f>IF(A1017=1,COUNTIF($A$6:A1017,1),"")</f>
        <v/>
      </c>
      <c r="C1017">
        <f>IFERROR(INDEX($D$6:$D$1750,MATCH(ROWS($B$6:B1017),$B$6:$B$1750,0)),"")</f>
        <v/>
      </c>
      <c r="D1017">
        <f>J1017&amp;" ("&amp;E1017&amp;")"</f>
        <v/>
      </c>
      <c r="E1017" t="n">
        <v>21648</v>
      </c>
      <c r="F1017" t="inlineStr">
        <is>
          <t>Skilled Nursing and Interm. Care Facility</t>
        </is>
      </c>
      <c r="G1017" t="inlineStr">
        <is>
          <t>909 N Lucile Ave</t>
        </is>
      </c>
      <c r="H1017" t="inlineStr">
        <is>
          <t>Los Angeles</t>
        </is>
      </c>
      <c r="I1017" t="inlineStr">
        <is>
          <t>Los Angeles</t>
        </is>
      </c>
      <c r="J1017" t="inlineStr">
        <is>
          <t>Garden Crest Rehabilitation Center</t>
        </is>
      </c>
    </row>
    <row r="1018">
      <c r="A1018">
        <f>--ISNUMBER(IFERROR(SEARCH($C$5,Inputs!$D1018,1),""))</f>
        <v/>
      </c>
      <c r="B1018">
        <f>IF(A1018=1,COUNTIF($A$6:A1018,1),"")</f>
        <v/>
      </c>
      <c r="C1018">
        <f>IFERROR(INDEX($D$6:$D$1750,MATCH(ROWS($B$6:B1018),$B$6:$B$1750,0)),"")</f>
        <v/>
      </c>
      <c r="D1018">
        <f>J1018&amp;" ("&amp;E1018&amp;")"</f>
        <v/>
      </c>
      <c r="E1018" t="n">
        <v>21651</v>
      </c>
      <c r="F1018" t="inlineStr">
        <is>
          <t>Skilled Nursing and Interm. Care Facility</t>
        </is>
      </c>
      <c r="G1018" t="inlineStr">
        <is>
          <t>14819 S Vermont Ave</t>
        </is>
      </c>
      <c r="H1018" t="inlineStr">
        <is>
          <t>Gardena</t>
        </is>
      </c>
      <c r="I1018" t="inlineStr">
        <is>
          <t>Los Angeles</t>
        </is>
      </c>
      <c r="J1018" t="inlineStr">
        <is>
          <t>Gardena Convalescent Center</t>
        </is>
      </c>
    </row>
    <row r="1019">
      <c r="A1019">
        <f>--ISNUMBER(IFERROR(SEARCH($C$5,Inputs!$D1019,1),""))</f>
        <v/>
      </c>
      <c r="B1019">
        <f>IF(A1019=1,COUNTIF($A$6:A1019,1),"")</f>
        <v/>
      </c>
      <c r="C1019">
        <f>IFERROR(INDEX($D$6:$D$1750,MATCH(ROWS($B$6:B1019),$B$6:$B$1750,0)),"")</f>
        <v/>
      </c>
      <c r="D1019">
        <f>J1019&amp;" ("&amp;E1019&amp;")"</f>
        <v/>
      </c>
      <c r="E1019" t="n">
        <v>21653</v>
      </c>
      <c r="F1019" t="inlineStr">
        <is>
          <t>Skilled Nursing and Interm. Care Facility</t>
        </is>
      </c>
      <c r="G1019" t="inlineStr">
        <is>
          <t>12023 Lakewood Blvd</t>
        </is>
      </c>
      <c r="H1019" t="inlineStr">
        <is>
          <t>Downey</t>
        </is>
      </c>
      <c r="I1019" t="inlineStr">
        <is>
          <t>Los Angeles</t>
        </is>
      </c>
      <c r="J1019" t="inlineStr">
        <is>
          <t>Lakewood Healthcare Center</t>
        </is>
      </c>
    </row>
    <row r="1020">
      <c r="A1020">
        <f>--ISNUMBER(IFERROR(SEARCH($C$5,Inputs!$D1020,1),""))</f>
        <v/>
      </c>
      <c r="B1020">
        <f>IF(A1020=1,COUNTIF($A$6:A1020,1),"")</f>
        <v/>
      </c>
      <c r="C1020">
        <f>IFERROR(INDEX($D$6:$D$1750,MATCH(ROWS($B$6:B1020),$B$6:$B$1750,0)),"")</f>
        <v/>
      </c>
      <c r="D1020">
        <f>J1020&amp;" ("&amp;E1020&amp;")"</f>
        <v/>
      </c>
      <c r="E1020" t="n">
        <v>21654</v>
      </c>
      <c r="F1020" t="inlineStr">
        <is>
          <t>Skilled Nursing and Interm. Care Facility</t>
        </is>
      </c>
      <c r="G1020" t="inlineStr">
        <is>
          <t>12029 Avalon Blvd.</t>
        </is>
      </c>
      <c r="H1020" t="inlineStr">
        <is>
          <t>Los Angeles</t>
        </is>
      </c>
      <c r="I1020" t="inlineStr">
        <is>
          <t>Los Angeles</t>
        </is>
      </c>
      <c r="J1020" t="inlineStr">
        <is>
          <t>Avalon Villa Care Center</t>
        </is>
      </c>
    </row>
    <row r="1021">
      <c r="A1021">
        <f>--ISNUMBER(IFERROR(SEARCH($C$5,Inputs!$D1021,1),""))</f>
        <v/>
      </c>
      <c r="B1021">
        <f>IF(A1021=1,COUNTIF($A$6:A1021,1),"")</f>
        <v/>
      </c>
      <c r="C1021">
        <f>IFERROR(INDEX($D$6:$D$1750,MATCH(ROWS($B$6:B1021),$B$6:$B$1750,0)),"")</f>
        <v/>
      </c>
      <c r="D1021">
        <f>J1021&amp;" ("&amp;E1021&amp;")"</f>
        <v/>
      </c>
      <c r="E1021" t="n">
        <v>21656</v>
      </c>
      <c r="F1021" t="inlineStr">
        <is>
          <t>Skilled Nursing and Interm. Care Facility</t>
        </is>
      </c>
      <c r="G1021" t="inlineStr">
        <is>
          <t>610 N Garfield Ave</t>
        </is>
      </c>
      <c r="H1021" t="inlineStr">
        <is>
          <t>Monterey Park</t>
        </is>
      </c>
      <c r="I1021" t="inlineStr">
        <is>
          <t>Los Angeles</t>
        </is>
      </c>
      <c r="J1021" t="inlineStr">
        <is>
          <t>Heritage Manor</t>
        </is>
      </c>
    </row>
    <row r="1022">
      <c r="A1022">
        <f>--ISNUMBER(IFERROR(SEARCH($C$5,Inputs!$D1022,1),""))</f>
        <v/>
      </c>
      <c r="B1022">
        <f>IF(A1022=1,COUNTIF($A$6:A1022,1),"")</f>
        <v/>
      </c>
      <c r="C1022">
        <f>IFERROR(INDEX($D$6:$D$1750,MATCH(ROWS($B$6:B1022),$B$6:$B$1750,0)),"")</f>
        <v/>
      </c>
      <c r="D1022">
        <f>J1022&amp;" ("&amp;E1022&amp;")"</f>
        <v/>
      </c>
      <c r="E1022" t="n">
        <v>21665</v>
      </c>
      <c r="F1022" t="inlineStr">
        <is>
          <t>Skilled Nursing and Interm. Care Facility</t>
        </is>
      </c>
      <c r="G1022" t="inlineStr">
        <is>
          <t>201 Allen Ave</t>
        </is>
      </c>
      <c r="H1022" t="inlineStr">
        <is>
          <t>Glendale</t>
        </is>
      </c>
      <c r="I1022" t="inlineStr">
        <is>
          <t>Los Angeles</t>
        </is>
      </c>
      <c r="J1022" t="inlineStr">
        <is>
          <t>Griffith Park Healthcare Center</t>
        </is>
      </c>
    </row>
    <row r="1023">
      <c r="A1023">
        <f>--ISNUMBER(IFERROR(SEARCH($C$5,Inputs!$D1023,1),""))</f>
        <v/>
      </c>
      <c r="B1023">
        <f>IF(A1023=1,COUNTIF($A$6:A1023,1),"")</f>
        <v/>
      </c>
      <c r="C1023">
        <f>IFERROR(INDEX($D$6:$D$1750,MATCH(ROWS($B$6:B1023),$B$6:$B$1750,0)),"")</f>
        <v/>
      </c>
      <c r="D1023">
        <f>J1023&amp;" ("&amp;E1023&amp;")"</f>
        <v/>
      </c>
      <c r="E1023" t="n">
        <v>21667</v>
      </c>
      <c r="F1023" t="inlineStr">
        <is>
          <t>Skilled Nursing and Interm. Care Facility</t>
        </is>
      </c>
      <c r="G1023" t="inlineStr">
        <is>
          <t>430 N Glendale Ave</t>
        </is>
      </c>
      <c r="H1023" t="inlineStr">
        <is>
          <t>Glendale</t>
        </is>
      </c>
      <c r="I1023" t="inlineStr">
        <is>
          <t>Los Angeles</t>
        </is>
      </c>
      <c r="J1023" t="inlineStr">
        <is>
          <t>Autumn Hills Health Care Center</t>
        </is>
      </c>
    </row>
    <row r="1024">
      <c r="A1024">
        <f>--ISNUMBER(IFERROR(SEARCH($C$5,Inputs!$D1024,1),""))</f>
        <v/>
      </c>
      <c r="B1024">
        <f>IF(A1024=1,COUNTIF($A$6:A1024,1),"")</f>
        <v/>
      </c>
      <c r="C1024">
        <f>IFERROR(INDEX($D$6:$D$1750,MATCH(ROWS($B$6:B1024),$B$6:$B$1750,0)),"")</f>
        <v/>
      </c>
      <c r="D1024">
        <f>J1024&amp;" ("&amp;E1024&amp;")"</f>
        <v/>
      </c>
      <c r="E1024" t="n">
        <v>21673</v>
      </c>
      <c r="F1024" t="inlineStr">
        <is>
          <t>Skilled Nursing and Interm. Care Facility</t>
        </is>
      </c>
      <c r="G1024" t="inlineStr">
        <is>
          <t>638 E Colorado Ave</t>
        </is>
      </c>
      <c r="H1024" t="inlineStr">
        <is>
          <t>Glendora</t>
        </is>
      </c>
      <c r="I1024" t="inlineStr">
        <is>
          <t>Los Angeles</t>
        </is>
      </c>
      <c r="J1024" t="inlineStr">
        <is>
          <t>Mesa Glen Care Center</t>
        </is>
      </c>
    </row>
    <row r="1025">
      <c r="A1025">
        <f>--ISNUMBER(IFERROR(SEARCH($C$5,Inputs!$D1025,1),""))</f>
        <v/>
      </c>
      <c r="B1025">
        <f>IF(A1025=1,COUNTIF($A$6:A1025,1),"")</f>
        <v/>
      </c>
      <c r="C1025">
        <f>IFERROR(INDEX($D$6:$D$1750,MATCH(ROWS($B$6:B1025),$B$6:$B$1750,0)),"")</f>
        <v/>
      </c>
      <c r="D1025">
        <f>J1025&amp;" ("&amp;E1025&amp;")"</f>
        <v/>
      </c>
      <c r="E1025" t="n">
        <v>21675</v>
      </c>
      <c r="F1025" t="inlineStr">
        <is>
          <t>Skilled Nursing and Interm. Care Facility</t>
        </is>
      </c>
      <c r="G1025" t="inlineStr">
        <is>
          <t>9028 Rose Street</t>
        </is>
      </c>
      <c r="H1025" t="inlineStr">
        <is>
          <t>Bellflower</t>
        </is>
      </c>
      <c r="I1025" t="inlineStr">
        <is>
          <t>Los Angeles</t>
        </is>
      </c>
      <c r="J1025" t="inlineStr">
        <is>
          <t>Rose Villa Healthcare Center</t>
        </is>
      </c>
    </row>
    <row r="1026">
      <c r="A1026">
        <f>--ISNUMBER(IFERROR(SEARCH($C$5,Inputs!$D1026,1),""))</f>
        <v/>
      </c>
      <c r="B1026">
        <f>IF(A1026=1,COUNTIF($A$6:A1026,1),"")</f>
        <v/>
      </c>
      <c r="C1026">
        <f>IFERROR(INDEX($D$6:$D$1750,MATCH(ROWS($B$6:B1026),$B$6:$B$1750,0)),"")</f>
        <v/>
      </c>
      <c r="D1026">
        <f>J1026&amp;" ("&amp;E1026&amp;")"</f>
        <v/>
      </c>
      <c r="E1026" t="n">
        <v>21676</v>
      </c>
      <c r="F1026" t="inlineStr">
        <is>
          <t>Skilled Nursing and Interm. Care Facility</t>
        </is>
      </c>
      <c r="G1026" t="inlineStr">
        <is>
          <t>1450 N Fair Oaks Ave</t>
        </is>
      </c>
      <c r="H1026" t="inlineStr">
        <is>
          <t>Pasadena</t>
        </is>
      </c>
      <c r="I1026" t="inlineStr">
        <is>
          <t>Los Angeles</t>
        </is>
      </c>
      <c r="J1026" t="inlineStr">
        <is>
          <t>Golden Cross Health Care</t>
        </is>
      </c>
    </row>
    <row r="1027">
      <c r="A1027">
        <f>--ISNUMBER(IFERROR(SEARCH($C$5,Inputs!$D1027,1),""))</f>
        <v/>
      </c>
      <c r="B1027">
        <f>IF(A1027=1,COUNTIF($A$6:A1027,1),"")</f>
        <v/>
      </c>
      <c r="C1027">
        <f>IFERROR(INDEX($D$6:$D$1750,MATCH(ROWS($B$6:B1027),$B$6:$B$1750,0)),"")</f>
        <v/>
      </c>
      <c r="D1027">
        <f>J1027&amp;" ("&amp;E1027&amp;")"</f>
        <v/>
      </c>
      <c r="E1027" t="n">
        <v>21677</v>
      </c>
      <c r="F1027" t="inlineStr">
        <is>
          <t>Skilled Nursing and Interm. Care Facility</t>
        </is>
      </c>
      <c r="G1027" t="inlineStr">
        <is>
          <t>260 E Market St</t>
        </is>
      </c>
      <c r="H1027" t="inlineStr">
        <is>
          <t>Long Beach</t>
        </is>
      </c>
      <c r="I1027" t="inlineStr">
        <is>
          <t>Los Angeles</t>
        </is>
      </c>
      <c r="J1027" t="inlineStr">
        <is>
          <t>Windsor Convalescent Center Of North Long Beach</t>
        </is>
      </c>
    </row>
    <row r="1028">
      <c r="A1028">
        <f>--ISNUMBER(IFERROR(SEARCH($C$5,Inputs!$D1028,1),""))</f>
        <v/>
      </c>
      <c r="B1028">
        <f>IF(A1028=1,COUNTIF($A$6:A1028,1),"")</f>
        <v/>
      </c>
      <c r="C1028">
        <f>IFERROR(INDEX($D$6:$D$1750,MATCH(ROWS($B$6:B1028),$B$6:$B$1750,0)),"")</f>
        <v/>
      </c>
      <c r="D1028">
        <f>J1028&amp;" ("&amp;E1028&amp;")"</f>
        <v/>
      </c>
      <c r="E1028" t="n">
        <v>21678</v>
      </c>
      <c r="F1028" t="inlineStr">
        <is>
          <t>Skilled Nursing and Interm. Care Facility</t>
        </is>
      </c>
      <c r="G1028" t="inlineStr">
        <is>
          <t>3850 E Esther St</t>
        </is>
      </c>
      <c r="H1028" t="inlineStr">
        <is>
          <t>Long Beach</t>
        </is>
      </c>
      <c r="I1028" t="inlineStr">
        <is>
          <t>Los Angeles</t>
        </is>
      </c>
      <c r="J1028" t="inlineStr">
        <is>
          <t>Regency Oaks Post Acute Care Center</t>
        </is>
      </c>
    </row>
    <row r="1029">
      <c r="A1029">
        <f>--ISNUMBER(IFERROR(SEARCH($C$5,Inputs!$D1029,1),""))</f>
        <v/>
      </c>
      <c r="B1029">
        <f>IF(A1029=1,COUNTIF($A$6:A1029,1),"")</f>
        <v/>
      </c>
      <c r="C1029">
        <f>IFERROR(INDEX($D$6:$D$1750,MATCH(ROWS($B$6:B1029),$B$6:$B$1750,0)),"")</f>
        <v/>
      </c>
      <c r="D1029">
        <f>J1029&amp;" ("&amp;E1029&amp;")"</f>
        <v/>
      </c>
      <c r="E1029" t="n">
        <v>21680</v>
      </c>
      <c r="F1029" t="inlineStr">
        <is>
          <t>Skilled Nursing and Interm. Care Facility</t>
        </is>
      </c>
      <c r="G1029" t="inlineStr">
        <is>
          <t>10830 Oxnard St.</t>
        </is>
      </c>
      <c r="H1029" t="inlineStr">
        <is>
          <t>North Hollywood</t>
        </is>
      </c>
      <c r="I1029" t="inlineStr">
        <is>
          <t>Los Angeles</t>
        </is>
      </c>
      <c r="J1029" t="inlineStr">
        <is>
          <t>Vineland Post Acute</t>
        </is>
      </c>
    </row>
    <row r="1030">
      <c r="A1030">
        <f>--ISNUMBER(IFERROR(SEARCH($C$5,Inputs!$D1030,1),""))</f>
        <v/>
      </c>
      <c r="B1030">
        <f>IF(A1030=1,COUNTIF($A$6:A1030,1),"")</f>
        <v/>
      </c>
      <c r="C1030">
        <f>IFERROR(INDEX($D$6:$D$1750,MATCH(ROWS($B$6:B1030),$B$6:$B$1750,0)),"")</f>
        <v/>
      </c>
      <c r="D1030">
        <f>J1030&amp;" ("&amp;E1030&amp;")"</f>
        <v/>
      </c>
      <c r="E1030" t="n">
        <v>21682</v>
      </c>
      <c r="F1030" t="inlineStr">
        <is>
          <t>Skilled Nursing and Interm. Care Facility</t>
        </is>
      </c>
      <c r="G1030" t="inlineStr">
        <is>
          <t>7057 Shoup Avenue</t>
        </is>
      </c>
      <c r="H1030" t="inlineStr">
        <is>
          <t>West Hills</t>
        </is>
      </c>
      <c r="I1030" t="inlineStr">
        <is>
          <t>Los Angeles</t>
        </is>
      </c>
      <c r="J1030" t="inlineStr">
        <is>
          <t>West Valley Post Acute</t>
        </is>
      </c>
    </row>
    <row r="1031">
      <c r="A1031">
        <f>--ISNUMBER(IFERROR(SEARCH($C$5,Inputs!$D1031,1),""))</f>
        <v/>
      </c>
      <c r="B1031">
        <f>IF(A1031=1,COUNTIF($A$6:A1031,1),"")</f>
        <v/>
      </c>
      <c r="C1031">
        <f>IFERROR(INDEX($D$6:$D$1750,MATCH(ROWS($B$6:B1031),$B$6:$B$1750,0)),"")</f>
        <v/>
      </c>
      <c r="D1031">
        <f>J1031&amp;" ("&amp;E1031&amp;")"</f>
        <v/>
      </c>
      <c r="E1031" t="n">
        <v>21686</v>
      </c>
      <c r="F1031" t="inlineStr">
        <is>
          <t>Skilled Nursing and Interm. Care Facility</t>
        </is>
      </c>
      <c r="G1031" t="inlineStr">
        <is>
          <t>1131 Arizona Ave</t>
        </is>
      </c>
      <c r="H1031" t="inlineStr">
        <is>
          <t>Santa Monica</t>
        </is>
      </c>
      <c r="I1031" t="inlineStr">
        <is>
          <t>Los Angeles</t>
        </is>
      </c>
      <c r="J1031" t="inlineStr">
        <is>
          <t>Good Shepherd Health Care Center Of Santa Monica</t>
        </is>
      </c>
    </row>
    <row r="1032">
      <c r="A1032">
        <f>--ISNUMBER(IFERROR(SEARCH($C$5,Inputs!$D1032,1),""))</f>
        <v/>
      </c>
      <c r="B1032">
        <f>IF(A1032=1,COUNTIF($A$6:A1032,1),"")</f>
        <v/>
      </c>
      <c r="C1032">
        <f>IFERROR(INDEX($D$6:$D$1750,MATCH(ROWS($B$6:B1032),$B$6:$B$1750,0)),"")</f>
        <v/>
      </c>
      <c r="D1032">
        <f>J1032&amp;" ("&amp;E1032&amp;")"</f>
        <v/>
      </c>
      <c r="E1032" t="n">
        <v>21689</v>
      </c>
      <c r="F1032" t="inlineStr">
        <is>
          <t>Skilled Nursing and Interm. Care Facility</t>
        </is>
      </c>
      <c r="G1032" t="inlineStr">
        <is>
          <t>16123 Chatsworth St</t>
        </is>
      </c>
      <c r="H1032" t="inlineStr">
        <is>
          <t>Granada Hills</t>
        </is>
      </c>
      <c r="I1032" t="inlineStr">
        <is>
          <t>Los Angeles</t>
        </is>
      </c>
      <c r="J1032" t="inlineStr">
        <is>
          <t>Granada Hills Convalescent Hospital</t>
        </is>
      </c>
    </row>
    <row r="1033">
      <c r="A1033">
        <f>--ISNUMBER(IFERROR(SEARCH($C$5,Inputs!$D1033,1),""))</f>
        <v/>
      </c>
      <c r="B1033">
        <f>IF(A1033=1,COUNTIF($A$6:A1033,1),"")</f>
        <v/>
      </c>
      <c r="C1033">
        <f>IFERROR(INDEX($D$6:$D$1750,MATCH(ROWS($B$6:B1033),$B$6:$B$1750,0)),"")</f>
        <v/>
      </c>
      <c r="D1033">
        <f>J1033&amp;" ("&amp;E1033&amp;")"</f>
        <v/>
      </c>
      <c r="E1033" t="n">
        <v>21690</v>
      </c>
      <c r="F1033" t="inlineStr">
        <is>
          <t>Skilled Nursing and Interm. Care Facility</t>
        </is>
      </c>
      <c r="G1033" t="inlineStr">
        <is>
          <t>1730 Grand Avenue</t>
        </is>
      </c>
      <c r="H1033" t="inlineStr">
        <is>
          <t>Long Beach</t>
        </is>
      </c>
      <c r="I1033" t="inlineStr">
        <is>
          <t>Los Angeles</t>
        </is>
      </c>
      <c r="J1033" t="inlineStr">
        <is>
          <t>Country Villa Belmont Heights Healthcare Center</t>
        </is>
      </c>
    </row>
    <row r="1034">
      <c r="A1034">
        <f>--ISNUMBER(IFERROR(SEARCH($C$5,Inputs!$D1034,1),""))</f>
        <v/>
      </c>
      <c r="B1034">
        <f>IF(A1034=1,COUNTIF($A$6:A1034,1),"")</f>
        <v/>
      </c>
      <c r="C1034">
        <f>IFERROR(INDEX($D$6:$D$1750,MATCH(ROWS($B$6:B1034),$B$6:$B$1750,0)),"")</f>
        <v/>
      </c>
      <c r="D1034">
        <f>J1034&amp;" ("&amp;E1034&amp;")"</f>
        <v/>
      </c>
      <c r="E1034" t="n">
        <v>21692</v>
      </c>
      <c r="F1034" t="inlineStr">
        <is>
          <t>Skilled Nursing and Interm. Care Facility</t>
        </is>
      </c>
      <c r="G1034" t="inlineStr">
        <is>
          <t>8101 Hill Drive</t>
        </is>
      </c>
      <c r="H1034" t="inlineStr">
        <is>
          <t>Rosemead</t>
        </is>
      </c>
      <c r="I1034" t="inlineStr">
        <is>
          <t>Los Angeles</t>
        </is>
      </c>
      <c r="J1034" t="inlineStr">
        <is>
          <t>Green Acres Healthcare Center</t>
        </is>
      </c>
    </row>
    <row r="1035">
      <c r="A1035">
        <f>--ISNUMBER(IFERROR(SEARCH($C$5,Inputs!$D1035,1),""))</f>
        <v/>
      </c>
      <c r="B1035">
        <f>IF(A1035=1,COUNTIF($A$6:A1035,1),"")</f>
        <v/>
      </c>
      <c r="C1035">
        <f>IFERROR(INDEX($D$6:$D$1750,MATCH(ROWS($B$6:B1035),$B$6:$B$1750,0)),"")</f>
        <v/>
      </c>
      <c r="D1035">
        <f>J1035&amp;" ("&amp;E1035&amp;")"</f>
        <v/>
      </c>
      <c r="E1035" t="n">
        <v>21694</v>
      </c>
      <c r="F1035" t="inlineStr">
        <is>
          <t>Skilled Nursing and Interm. Care Facility</t>
        </is>
      </c>
      <c r="G1035" t="inlineStr">
        <is>
          <t>3032 Rowena Ave</t>
        </is>
      </c>
      <c r="H1035" t="inlineStr">
        <is>
          <t>Los Angeles</t>
        </is>
      </c>
      <c r="I1035" t="inlineStr">
        <is>
          <t>Los Angeles</t>
        </is>
      </c>
      <c r="J1035" t="inlineStr">
        <is>
          <t>Skyline Healthcare Center-Los Angeles</t>
        </is>
      </c>
    </row>
    <row r="1036">
      <c r="A1036">
        <f>--ISNUMBER(IFERROR(SEARCH($C$5,Inputs!$D1036,1),""))</f>
        <v/>
      </c>
      <c r="B1036">
        <f>IF(A1036=1,COUNTIF($A$6:A1036,1),"")</f>
        <v/>
      </c>
      <c r="C1036">
        <f>IFERROR(INDEX($D$6:$D$1750,MATCH(ROWS($B$6:B1036),$B$6:$B$1750,0)),"")</f>
        <v/>
      </c>
      <c r="D1036">
        <f>J1036&amp;" ("&amp;E1036&amp;")"</f>
        <v/>
      </c>
      <c r="E1036" t="n">
        <v>21698</v>
      </c>
      <c r="F1036" t="inlineStr">
        <is>
          <t>Skilled Nursing and Interm. Care Facility</t>
        </is>
      </c>
      <c r="G1036" t="inlineStr">
        <is>
          <t>533 S Fairfax Ave</t>
        </is>
      </c>
      <c r="H1036" t="inlineStr">
        <is>
          <t>Los Angeles</t>
        </is>
      </c>
      <c r="I1036" t="inlineStr">
        <is>
          <t>Los Angeles</t>
        </is>
      </c>
      <c r="J1036" t="inlineStr">
        <is>
          <t>Guardian Rehabilitation Hospital</t>
        </is>
      </c>
    </row>
    <row r="1037">
      <c r="A1037">
        <f>--ISNUMBER(IFERROR(SEARCH($C$5,Inputs!$D1037,1),""))</f>
        <v/>
      </c>
      <c r="B1037">
        <f>IF(A1037=1,COUNTIF($A$6:A1037,1),"")</f>
        <v/>
      </c>
      <c r="C1037">
        <f>IFERROR(INDEX($D$6:$D$1750,MATCH(ROWS($B$6:B1037),$B$6:$B$1750,0)),"")</f>
        <v/>
      </c>
      <c r="D1037">
        <f>J1037&amp;" ("&amp;E1037&amp;")"</f>
        <v/>
      </c>
      <c r="E1037" t="n">
        <v>21700</v>
      </c>
      <c r="F1037" t="inlineStr">
        <is>
          <t>Skilled Nursing and Interm. Care Facility</t>
        </is>
      </c>
      <c r="G1037" t="inlineStr">
        <is>
          <t>2725 E Broadway</t>
        </is>
      </c>
      <c r="H1037" t="inlineStr">
        <is>
          <t>Long Beach</t>
        </is>
      </c>
      <c r="I1037" t="inlineStr">
        <is>
          <t>Los Angeles</t>
        </is>
      </c>
      <c r="J1037" t="inlineStr">
        <is>
          <t>Broadway By The Sea</t>
        </is>
      </c>
    </row>
    <row r="1038">
      <c r="A1038">
        <f>--ISNUMBER(IFERROR(SEARCH($C$5,Inputs!$D1038,1),""))</f>
        <v/>
      </c>
      <c r="B1038">
        <f>IF(A1038=1,COUNTIF($A$6:A1038,1),"")</f>
        <v/>
      </c>
      <c r="C1038">
        <f>IFERROR(INDEX($D$6:$D$1750,MATCH(ROWS($B$6:B1038),$B$6:$B$1750,0)),"")</f>
        <v/>
      </c>
      <c r="D1038">
        <f>J1038&amp;" ("&amp;E1038&amp;")"</f>
        <v/>
      </c>
      <c r="E1038" t="n">
        <v>21701</v>
      </c>
      <c r="F1038" t="inlineStr">
        <is>
          <t>Skilled Nursing and Interm. Care Facility</t>
        </is>
      </c>
      <c r="G1038" t="inlineStr">
        <is>
          <t>2361 29th Street</t>
        </is>
      </c>
      <c r="H1038" t="inlineStr">
        <is>
          <t>Oakland</t>
        </is>
      </c>
      <c r="I1038" t="inlineStr">
        <is>
          <t>Alameda</t>
        </is>
      </c>
      <c r="J1038" t="inlineStr">
        <is>
          <t>Oakland Heights Nursing And Rehabilitation</t>
        </is>
      </c>
    </row>
    <row r="1039">
      <c r="A1039">
        <f>--ISNUMBER(IFERROR(SEARCH($C$5,Inputs!$D1039,1),""))</f>
        <v/>
      </c>
      <c r="B1039">
        <f>IF(A1039=1,COUNTIF($A$6:A1039,1),"")</f>
        <v/>
      </c>
      <c r="C1039">
        <f>IFERROR(INDEX($D$6:$D$1750,MATCH(ROWS($B$6:B1039),$B$6:$B$1750,0)),"")</f>
        <v/>
      </c>
      <c r="D1039">
        <f>J1039&amp;" ("&amp;E1039&amp;")"</f>
        <v/>
      </c>
      <c r="E1039" t="n">
        <v>21707</v>
      </c>
      <c r="F1039" t="inlineStr">
        <is>
          <t>Skilled Nursing and Interm. Care Facility</t>
        </is>
      </c>
      <c r="G1039" t="inlineStr">
        <is>
          <t>11630 Grevillea St.</t>
        </is>
      </c>
      <c r="H1039" t="inlineStr">
        <is>
          <t>Hawthorne</t>
        </is>
      </c>
      <c r="I1039" t="inlineStr">
        <is>
          <t>Los Angeles</t>
        </is>
      </c>
      <c r="J1039" t="inlineStr">
        <is>
          <t>Hawthorne Healthcare &amp; Wellness Centre, Lp</t>
        </is>
      </c>
    </row>
    <row r="1040">
      <c r="A1040">
        <f>--ISNUMBER(IFERROR(SEARCH($C$5,Inputs!$D1040,1),""))</f>
        <v/>
      </c>
      <c r="B1040">
        <f>IF(A1040=1,COUNTIF($A$6:A1040,1),"")</f>
        <v/>
      </c>
      <c r="C1040">
        <f>IFERROR(INDEX($D$6:$D$1750,MATCH(ROWS($B$6:B1040),$B$6:$B$1750,0)),"")</f>
        <v/>
      </c>
      <c r="D1040">
        <f>J1040&amp;" ("&amp;E1040&amp;")"</f>
        <v/>
      </c>
      <c r="E1040" t="n">
        <v>21708</v>
      </c>
      <c r="F1040" t="inlineStr">
        <is>
          <t>Skilled Nursing and Interm. Care Facility</t>
        </is>
      </c>
      <c r="G1040" t="inlineStr">
        <is>
          <t>11834 Inglewood Ave</t>
        </is>
      </c>
      <c r="H1040" t="inlineStr">
        <is>
          <t>Hawthorne</t>
        </is>
      </c>
      <c r="I1040" t="inlineStr">
        <is>
          <t>Los Angeles</t>
        </is>
      </c>
      <c r="J1040" t="inlineStr">
        <is>
          <t>Imperial Crest Health Care Center</t>
        </is>
      </c>
    </row>
    <row r="1041">
      <c r="A1041">
        <f>--ISNUMBER(IFERROR(SEARCH($C$5,Inputs!$D1041,1),""))</f>
        <v/>
      </c>
      <c r="B1041">
        <f>IF(A1041=1,COUNTIF($A$6:A1041,1),"")</f>
        <v/>
      </c>
      <c r="C1041">
        <f>IFERROR(INDEX($D$6:$D$1750,MATCH(ROWS($B$6:B1041),$B$6:$B$1750,0)),"")</f>
        <v/>
      </c>
      <c r="D1041">
        <f>J1041&amp;" ("&amp;E1041&amp;")"</f>
        <v/>
      </c>
      <c r="E1041" t="n">
        <v>21711</v>
      </c>
      <c r="F1041" t="inlineStr">
        <is>
          <t>Skilled Nursing and Interm. Care Facility</t>
        </is>
      </c>
      <c r="G1041" t="inlineStr">
        <is>
          <t>7912 Topley Ln</t>
        </is>
      </c>
      <c r="H1041" t="inlineStr">
        <is>
          <t>Sunland</t>
        </is>
      </c>
      <c r="I1041" t="inlineStr">
        <is>
          <t>Los Angeles</t>
        </is>
      </c>
      <c r="J1041" t="inlineStr">
        <is>
          <t>High Valley Lodge</t>
        </is>
      </c>
    </row>
    <row r="1042">
      <c r="A1042">
        <f>--ISNUMBER(IFERROR(SEARCH($C$5,Inputs!$D1042,1),""))</f>
        <v/>
      </c>
      <c r="B1042">
        <f>IF(A1042=1,COUNTIF($A$6:A1042,1),"")</f>
        <v/>
      </c>
      <c r="C1042">
        <f>IFERROR(INDEX($D$6:$D$1750,MATCH(ROWS($B$6:B1042),$B$6:$B$1750,0)),"")</f>
        <v/>
      </c>
      <c r="D1042">
        <f>J1042&amp;" ("&amp;E1042&amp;")"</f>
        <v/>
      </c>
      <c r="E1042" t="n">
        <v>21713</v>
      </c>
      <c r="F1042" t="inlineStr">
        <is>
          <t>Skilled Nursing and Interm. Care Facility</t>
        </is>
      </c>
      <c r="G1042" t="inlineStr">
        <is>
          <t>3401 Cedar Ave</t>
        </is>
      </c>
      <c r="H1042" t="inlineStr">
        <is>
          <t>Long Beach</t>
        </is>
      </c>
      <c r="I1042" t="inlineStr">
        <is>
          <t>Los Angeles</t>
        </is>
      </c>
      <c r="J1042" t="inlineStr">
        <is>
          <t>Long Beach Healthcare Center</t>
        </is>
      </c>
    </row>
    <row r="1043">
      <c r="A1043">
        <f>--ISNUMBER(IFERROR(SEARCH($C$5,Inputs!$D1043,1),""))</f>
        <v/>
      </c>
      <c r="B1043">
        <f>IF(A1043=1,COUNTIF($A$6:A1043,1),"")</f>
        <v/>
      </c>
      <c r="C1043">
        <f>IFERROR(INDEX($D$6:$D$1750,MATCH(ROWS($B$6:B1043),$B$6:$B$1750,0)),"")</f>
        <v/>
      </c>
      <c r="D1043">
        <f>J1043&amp;" ("&amp;E1043&amp;")"</f>
        <v/>
      </c>
      <c r="E1043" t="n">
        <v>21715</v>
      </c>
      <c r="F1043" t="inlineStr">
        <is>
          <t>Skilled Nursing and Interm. Care Facility</t>
        </is>
      </c>
      <c r="G1043" t="inlineStr">
        <is>
          <t>590 Indian Hill Boulevard</t>
        </is>
      </c>
      <c r="H1043" t="inlineStr">
        <is>
          <t>Claremont</t>
        </is>
      </c>
      <c r="I1043" t="inlineStr">
        <is>
          <t>Los Angeles</t>
        </is>
      </c>
      <c r="J1043" t="inlineStr">
        <is>
          <t>Country Villa Claremont Healthcare Center</t>
        </is>
      </c>
    </row>
    <row r="1044">
      <c r="A1044">
        <f>--ISNUMBER(IFERROR(SEARCH($C$5,Inputs!$D1044,1),""))</f>
        <v/>
      </c>
      <c r="B1044">
        <f>IF(A1044=1,COUNTIF($A$6:A1044,1),"")</f>
        <v/>
      </c>
      <c r="C1044">
        <f>IFERROR(INDEX($D$6:$D$1750,MATCH(ROWS($B$6:B1044),$B$6:$B$1750,0)),"")</f>
        <v/>
      </c>
      <c r="D1044">
        <f>J1044&amp;" ("&amp;E1044&amp;")"</f>
        <v/>
      </c>
      <c r="E1044" t="n">
        <v>21716</v>
      </c>
      <c r="F1044" t="inlineStr">
        <is>
          <t>Skilled Nursing and Interm. Care Facility</t>
        </is>
      </c>
      <c r="G1044" t="inlineStr">
        <is>
          <t>573 S Boyle Ave</t>
        </is>
      </c>
      <c r="H1044" t="inlineStr">
        <is>
          <t>Los Angeles</t>
        </is>
      </c>
      <c r="I1044" t="inlineStr">
        <is>
          <t>Los Angeles</t>
        </is>
      </c>
      <c r="J1044" t="inlineStr">
        <is>
          <t>Hollenbeck Palms</t>
        </is>
      </c>
    </row>
    <row r="1045">
      <c r="A1045">
        <f>--ISNUMBER(IFERROR(SEARCH($C$5,Inputs!$D1045,1),""))</f>
        <v/>
      </c>
      <c r="B1045">
        <f>IF(A1045=1,COUNTIF($A$6:A1045,1),"")</f>
        <v/>
      </c>
      <c r="C1045">
        <f>IFERROR(INDEX($D$6:$D$1750,MATCH(ROWS($B$6:B1045),$B$6:$B$1750,0)),"")</f>
        <v/>
      </c>
      <c r="D1045">
        <f>J1045&amp;" ("&amp;E1045&amp;")"</f>
        <v/>
      </c>
      <c r="E1045" t="n">
        <v>21727</v>
      </c>
      <c r="F1045" t="inlineStr">
        <is>
          <t>Skilled Nursing and Interm. Care Facility</t>
        </is>
      </c>
      <c r="G1045" t="inlineStr">
        <is>
          <t>1428 S Marengo Ave</t>
        </is>
      </c>
      <c r="H1045" t="inlineStr">
        <is>
          <t>Alhambra</t>
        </is>
      </c>
      <c r="I1045" t="inlineStr">
        <is>
          <t>Los Angeles</t>
        </is>
      </c>
      <c r="J1045" t="inlineStr">
        <is>
          <t>Sunny Village Care Center</t>
        </is>
      </c>
    </row>
    <row r="1046">
      <c r="A1046">
        <f>--ISNUMBER(IFERROR(SEARCH($C$5,Inputs!$D1046,1),""))</f>
        <v/>
      </c>
      <c r="B1046">
        <f>IF(A1046=1,COUNTIF($A$6:A1046,1),"")</f>
        <v/>
      </c>
      <c r="C1046">
        <f>IFERROR(INDEX($D$6:$D$1750,MATCH(ROWS($B$6:B1046),$B$6:$B$1750,0)),"")</f>
        <v/>
      </c>
      <c r="D1046">
        <f>J1046&amp;" ("&amp;E1046&amp;")"</f>
        <v/>
      </c>
      <c r="E1046" t="n">
        <v>21732</v>
      </c>
      <c r="F1046" t="inlineStr">
        <is>
          <t>Skilled Nursing and Interm. Care Facility</t>
        </is>
      </c>
      <c r="G1046" t="inlineStr">
        <is>
          <t>400 W Huntington Dr</t>
        </is>
      </c>
      <c r="H1046" t="inlineStr">
        <is>
          <t>Arcadia</t>
        </is>
      </c>
      <c r="I1046" t="inlineStr">
        <is>
          <t>Los Angeles</t>
        </is>
      </c>
      <c r="J1046" t="inlineStr">
        <is>
          <t>Huntington Drive Health And Rehabilitation Center</t>
        </is>
      </c>
    </row>
    <row r="1047">
      <c r="A1047">
        <f>--ISNUMBER(IFERROR(SEARCH($C$5,Inputs!$D1047,1),""))</f>
        <v/>
      </c>
      <c r="B1047">
        <f>IF(A1047=1,COUNTIF($A$6:A1047,1),"")</f>
        <v/>
      </c>
      <c r="C1047">
        <f>IFERROR(INDEX($D$6:$D$1750,MATCH(ROWS($B$6:B1047),$B$6:$B$1750,0)),"")</f>
        <v/>
      </c>
      <c r="D1047">
        <f>J1047&amp;" ("&amp;E1047&amp;")"</f>
        <v/>
      </c>
      <c r="E1047" t="n">
        <v>21734</v>
      </c>
      <c r="F1047" t="inlineStr">
        <is>
          <t>Skilled Nursing and Interm. Care Facility</t>
        </is>
      </c>
      <c r="G1047" t="inlineStr">
        <is>
          <t>6520 West Blvd</t>
        </is>
      </c>
      <c r="H1047" t="inlineStr">
        <is>
          <t>Los Angeles</t>
        </is>
      </c>
      <c r="I1047" t="inlineStr">
        <is>
          <t>Los Angeles</t>
        </is>
      </c>
      <c r="J1047" t="inlineStr">
        <is>
          <t>Hyde Park Healthcare Center</t>
        </is>
      </c>
    </row>
    <row r="1048">
      <c r="A1048">
        <f>--ISNUMBER(IFERROR(SEARCH($C$5,Inputs!$D1048,1),""))</f>
        <v/>
      </c>
      <c r="B1048">
        <f>IF(A1048=1,COUNTIF($A$6:A1048,1),"")</f>
        <v/>
      </c>
      <c r="C1048">
        <f>IFERROR(INDEX($D$6:$D$1750,MATCH(ROWS($B$6:B1048),$B$6:$B$1750,0)),"")</f>
        <v/>
      </c>
      <c r="D1048">
        <f>J1048&amp;" ("&amp;E1048&amp;")"</f>
        <v/>
      </c>
      <c r="E1048" t="n">
        <v>21737</v>
      </c>
      <c r="F1048" t="inlineStr">
        <is>
          <t>Skilled Nursing and Interm. Care Facility</t>
        </is>
      </c>
      <c r="G1048" t="inlineStr">
        <is>
          <t>5044 Buffington Rd</t>
        </is>
      </c>
      <c r="H1048" t="inlineStr">
        <is>
          <t>El Monte</t>
        </is>
      </c>
      <c r="I1048" t="inlineStr">
        <is>
          <t>Los Angeles</t>
        </is>
      </c>
      <c r="J1048" t="inlineStr">
        <is>
          <t>The Gardens Of El Monte</t>
        </is>
      </c>
    </row>
    <row r="1049">
      <c r="A1049">
        <f>--ISNUMBER(IFERROR(SEARCH($C$5,Inputs!$D1049,1),""))</f>
        <v/>
      </c>
      <c r="B1049">
        <f>IF(A1049=1,COUNTIF($A$6:A1049,1),"")</f>
        <v/>
      </c>
      <c r="C1049">
        <f>IFERROR(INDEX($D$6:$D$1750,MATCH(ROWS($B$6:B1049),$B$6:$B$1750,0)),"")</f>
        <v/>
      </c>
      <c r="D1049">
        <f>J1049&amp;" ("&amp;E1049&amp;")"</f>
        <v/>
      </c>
      <c r="E1049" t="n">
        <v>21742</v>
      </c>
      <c r="F1049" t="inlineStr">
        <is>
          <t>Skilled Nursing and Interm. Care Facility</t>
        </is>
      </c>
      <c r="G1049" t="inlineStr">
        <is>
          <t>100 S Hillcrest Blvd</t>
        </is>
      </c>
      <c r="H1049" t="inlineStr">
        <is>
          <t>Inglewood</t>
        </is>
      </c>
      <c r="I1049" t="inlineStr">
        <is>
          <t>Los Angeles</t>
        </is>
      </c>
      <c r="J1049" t="inlineStr">
        <is>
          <t>Inglewood Health Care Center</t>
        </is>
      </c>
    </row>
    <row r="1050">
      <c r="A1050">
        <f>--ISNUMBER(IFERROR(SEARCH($C$5,Inputs!$D1050,1),""))</f>
        <v/>
      </c>
      <c r="B1050">
        <f>IF(A1050=1,COUNTIF($A$6:A1050,1),"")</f>
        <v/>
      </c>
      <c r="C1050">
        <f>IFERROR(INDEX($D$6:$D$1750,MATCH(ROWS($B$6:B1050),$B$6:$B$1750,0)),"")</f>
        <v/>
      </c>
      <c r="D1050">
        <f>J1050&amp;" ("&amp;E1050&amp;")"</f>
        <v/>
      </c>
      <c r="E1050" t="n">
        <v>21745</v>
      </c>
      <c r="F1050" t="inlineStr">
        <is>
          <t>Skilled Nursing and Interm. Care Facility</t>
        </is>
      </c>
      <c r="G1050" t="inlineStr">
        <is>
          <t>2626 Grand Ave</t>
        </is>
      </c>
      <c r="H1050" t="inlineStr">
        <is>
          <t>Long Beach</t>
        </is>
      </c>
      <c r="I1050" t="inlineStr">
        <is>
          <t>Los Angeles</t>
        </is>
      </c>
      <c r="J1050" t="inlineStr">
        <is>
          <t>Intercommunity Care Center</t>
        </is>
      </c>
    </row>
    <row r="1051">
      <c r="A1051">
        <f>--ISNUMBER(IFERROR(SEARCH($C$5,Inputs!$D1051,1),""))</f>
        <v/>
      </c>
      <c r="B1051">
        <f>IF(A1051=1,COUNTIF($A$6:A1051,1),"")</f>
        <v/>
      </c>
      <c r="C1051">
        <f>IFERROR(INDEX($D$6:$D$1750,MATCH(ROWS($B$6:B1051),$B$6:$B$1750,0)),"")</f>
        <v/>
      </c>
      <c r="D1051">
        <f>J1051&amp;" ("&amp;E1051&amp;")"</f>
        <v/>
      </c>
      <c r="E1051" t="n">
        <v>21747</v>
      </c>
      <c r="F1051" t="inlineStr">
        <is>
          <t>Skilled Nursing and Interm. Care Facility</t>
        </is>
      </c>
      <c r="G1051" t="inlineStr">
        <is>
          <t>12627 Studebaker Road</t>
        </is>
      </c>
      <c r="H1051" t="inlineStr">
        <is>
          <t>Norwalk</t>
        </is>
      </c>
      <c r="I1051" t="inlineStr">
        <is>
          <t>Los Angeles</t>
        </is>
      </c>
      <c r="J1051" t="inlineStr">
        <is>
          <t>Intercommunity Healthcare &amp; Rehabilitation Center</t>
        </is>
      </c>
    </row>
    <row r="1052">
      <c r="A1052">
        <f>--ISNUMBER(IFERROR(SEARCH($C$5,Inputs!$D1052,1),""))</f>
        <v/>
      </c>
      <c r="B1052">
        <f>IF(A1052=1,COUNTIF($A$6:A1052,1),"")</f>
        <v/>
      </c>
      <c r="C1052">
        <f>IFERROR(INDEX($D$6:$D$1750,MATCH(ROWS($B$6:B1052),$B$6:$B$1750,0)),"")</f>
        <v/>
      </c>
      <c r="D1052">
        <f>J1052&amp;" ("&amp;E1052&amp;")"</f>
        <v/>
      </c>
      <c r="E1052" t="n">
        <v>21749</v>
      </c>
      <c r="F1052" t="inlineStr">
        <is>
          <t>Skilled Nursing and Interm. Care Facility</t>
        </is>
      </c>
      <c r="G1052" t="inlineStr">
        <is>
          <t>5240 Sepulveda Blvd</t>
        </is>
      </c>
      <c r="H1052" t="inlineStr">
        <is>
          <t>Culver City</t>
        </is>
      </c>
      <c r="I1052" t="inlineStr">
        <is>
          <t>Los Angeles</t>
        </is>
      </c>
      <c r="J1052" t="inlineStr">
        <is>
          <t>Marina Pointe Healthcare &amp; Subacute</t>
        </is>
      </c>
    </row>
    <row r="1053">
      <c r="A1053">
        <f>--ISNUMBER(IFERROR(SEARCH($C$5,Inputs!$D1053,1),""))</f>
        <v/>
      </c>
      <c r="B1053">
        <f>IF(A1053=1,COUNTIF($A$6:A1053,1),"")</f>
        <v/>
      </c>
      <c r="C1053">
        <f>IFERROR(INDEX($D$6:$D$1750,MATCH(ROWS($B$6:B1053),$B$6:$B$1750,0)),"")</f>
        <v/>
      </c>
      <c r="D1053">
        <f>J1053&amp;" ("&amp;E1053&amp;")"</f>
        <v/>
      </c>
      <c r="E1053" t="n">
        <v>21752</v>
      </c>
      <c r="F1053" t="inlineStr">
        <is>
          <t>Skilled Nursing and Interm. Care Facility</t>
        </is>
      </c>
      <c r="G1053" t="inlineStr">
        <is>
          <t>18855 Victory Boulevard</t>
        </is>
      </c>
      <c r="H1053" t="inlineStr">
        <is>
          <t>Reseda</t>
        </is>
      </c>
      <c r="I1053" t="inlineStr">
        <is>
          <t>Los Angeles</t>
        </is>
      </c>
      <c r="J1053" t="inlineStr">
        <is>
          <t>Eisenberg Village</t>
        </is>
      </c>
    </row>
    <row r="1054">
      <c r="A1054">
        <f>--ISNUMBER(IFERROR(SEARCH($C$5,Inputs!$D1054,1),""))</f>
        <v/>
      </c>
      <c r="B1054">
        <f>IF(A1054=1,COUNTIF($A$6:A1054,1),"")</f>
        <v/>
      </c>
      <c r="C1054">
        <f>IFERROR(INDEX($D$6:$D$1750,MATCH(ROWS($B$6:B1054),$B$6:$B$1750,0)),"")</f>
        <v/>
      </c>
      <c r="D1054">
        <f>J1054&amp;" ("&amp;E1054&amp;")"</f>
        <v/>
      </c>
      <c r="E1054" t="n">
        <v>21762</v>
      </c>
      <c r="F1054" t="inlineStr">
        <is>
          <t>Skilled Nursing and Interm. Care Facility</t>
        </is>
      </c>
      <c r="G1054" t="inlineStr">
        <is>
          <t>619 N Fairfax Ave</t>
        </is>
      </c>
      <c r="H1054" t="inlineStr">
        <is>
          <t>Los Angeles</t>
        </is>
      </c>
      <c r="I1054" t="inlineStr">
        <is>
          <t>Los Angeles</t>
        </is>
      </c>
      <c r="J1054" t="inlineStr">
        <is>
          <t>Kennedy Post Acute Care Center</t>
        </is>
      </c>
    </row>
    <row r="1055">
      <c r="A1055">
        <f>--ISNUMBER(IFERROR(SEARCH($C$5,Inputs!$D1055,1),""))</f>
        <v/>
      </c>
      <c r="B1055">
        <f>IF(A1055=1,COUNTIF($A$6:A1055,1),"")</f>
        <v/>
      </c>
      <c r="C1055">
        <f>IFERROR(INDEX($D$6:$D$1750,MATCH(ROWS($B$6:B1055),$B$6:$B$1750,0)),"")</f>
        <v/>
      </c>
      <c r="D1055">
        <f>J1055&amp;" ("&amp;E1055&amp;")"</f>
        <v/>
      </c>
      <c r="E1055" t="n">
        <v>21764</v>
      </c>
      <c r="F1055" t="inlineStr">
        <is>
          <t>Skilled Nursing and Interm. Care Facility</t>
        </is>
      </c>
      <c r="G1055" t="inlineStr">
        <is>
          <t>855 N Fairfax Ave</t>
        </is>
      </c>
      <c r="H1055" t="inlineStr">
        <is>
          <t>Los Angeles</t>
        </is>
      </c>
      <c r="I1055" t="inlineStr">
        <is>
          <t>Los Angeles</t>
        </is>
      </c>
      <c r="J1055" t="inlineStr">
        <is>
          <t>Country Villa Wilshire Convalescent Center</t>
        </is>
      </c>
    </row>
    <row r="1056">
      <c r="A1056">
        <f>--ISNUMBER(IFERROR(SEARCH($C$5,Inputs!$D1056,1),""))</f>
        <v/>
      </c>
      <c r="B1056">
        <f>IF(A1056=1,COUNTIF($A$6:A1056,1),"")</f>
        <v/>
      </c>
      <c r="C1056">
        <f>IFERROR(INDEX($D$6:$D$1750,MATCH(ROWS($B$6:B1056),$B$6:$B$1750,0)),"")</f>
        <v/>
      </c>
      <c r="D1056">
        <f>J1056&amp;" ("&amp;E1056&amp;")"</f>
        <v/>
      </c>
      <c r="E1056" t="n">
        <v>21765</v>
      </c>
      <c r="F1056" t="inlineStr">
        <is>
          <t>Skilled Nursing and Interm. Care Facility</t>
        </is>
      </c>
      <c r="G1056" t="inlineStr">
        <is>
          <t>1055 N Kingsley Dr</t>
        </is>
      </c>
      <c r="H1056" t="inlineStr">
        <is>
          <t>Los Angeles</t>
        </is>
      </c>
      <c r="I1056" t="inlineStr">
        <is>
          <t>Los Angeles</t>
        </is>
      </c>
      <c r="J1056" t="inlineStr">
        <is>
          <t>Kingsley Manor Care Center</t>
        </is>
      </c>
    </row>
    <row r="1057">
      <c r="A1057">
        <f>--ISNUMBER(IFERROR(SEARCH($C$5,Inputs!$D1057,1),""))</f>
        <v/>
      </c>
      <c r="B1057">
        <f>IF(A1057=1,COUNTIF($A$6:A1057,1),"")</f>
        <v/>
      </c>
      <c r="C1057">
        <f>IFERROR(INDEX($D$6:$D$1750,MATCH(ROWS($B$6:B1057),$B$6:$B$1750,0)),"")</f>
        <v/>
      </c>
      <c r="D1057">
        <f>J1057&amp;" ("&amp;E1057&amp;")"</f>
        <v/>
      </c>
      <c r="E1057" t="n">
        <v>21767</v>
      </c>
      <c r="F1057" t="inlineStr">
        <is>
          <t>Skilled Nursing and Interm. Care Facility</t>
        </is>
      </c>
      <c r="G1057" t="inlineStr">
        <is>
          <t>2635 Honolulu Ave</t>
        </is>
      </c>
      <c r="H1057" t="inlineStr">
        <is>
          <t>Montrose</t>
        </is>
      </c>
      <c r="I1057" t="inlineStr">
        <is>
          <t>Los Angeles</t>
        </is>
      </c>
      <c r="J1057" t="inlineStr">
        <is>
          <t>Montrose Springs Skilled Nursing &amp; Wellness Center</t>
        </is>
      </c>
    </row>
    <row r="1058">
      <c r="A1058">
        <f>--ISNUMBER(IFERROR(SEARCH($C$5,Inputs!$D1058,1),""))</f>
        <v/>
      </c>
      <c r="B1058">
        <f>IF(A1058=1,COUNTIF($A$6:A1058,1),"")</f>
        <v/>
      </c>
      <c r="C1058">
        <f>IFERROR(INDEX($D$6:$D$1750,MATCH(ROWS($B$6:B1058),$B$6:$B$1750,0)),"")</f>
        <v/>
      </c>
      <c r="D1058">
        <f>J1058&amp;" ("&amp;E1058&amp;")"</f>
        <v/>
      </c>
      <c r="E1058" t="n">
        <v>21782</v>
      </c>
      <c r="F1058" t="inlineStr">
        <is>
          <t>Skilled Nursing and Interm. Care Facility</t>
        </is>
      </c>
      <c r="G1058" t="inlineStr">
        <is>
          <t>22617 S Vermont Ave</t>
        </is>
      </c>
      <c r="H1058" t="inlineStr">
        <is>
          <t>Torrance</t>
        </is>
      </c>
      <c r="I1058" t="inlineStr">
        <is>
          <t>Los Angeles</t>
        </is>
      </c>
      <c r="J1058" t="inlineStr">
        <is>
          <t>Sunnyside Nursing Center</t>
        </is>
      </c>
    </row>
    <row r="1059">
      <c r="A1059">
        <f>--ISNUMBER(IFERROR(SEARCH($C$5,Inputs!$D1059,1),""))</f>
        <v/>
      </c>
      <c r="B1059">
        <f>IF(A1059=1,COUNTIF($A$6:A1059,1),"")</f>
        <v/>
      </c>
      <c r="C1059">
        <f>IFERROR(INDEX($D$6:$D$1750,MATCH(ROWS($B$6:B1059),$B$6:$B$1750,0)),"")</f>
        <v/>
      </c>
      <c r="D1059">
        <f>J1059&amp;" ("&amp;E1059&amp;")"</f>
        <v/>
      </c>
      <c r="E1059" t="n">
        <v>21789</v>
      </c>
      <c r="F1059" t="inlineStr">
        <is>
          <t>Skilled Nursing and Interm. Care Facility</t>
        </is>
      </c>
      <c r="G1059" t="inlineStr">
        <is>
          <t>1955 Lomita Boulevard</t>
        </is>
      </c>
      <c r="H1059" t="inlineStr">
        <is>
          <t>Lomita</t>
        </is>
      </c>
      <c r="I1059" t="inlineStr">
        <is>
          <t>Los Angeles</t>
        </is>
      </c>
      <c r="J1059" t="inlineStr">
        <is>
          <t>Lomita Post-Acute Care Center</t>
        </is>
      </c>
    </row>
    <row r="1060">
      <c r="A1060">
        <f>--ISNUMBER(IFERROR(SEARCH($C$5,Inputs!$D1060,1),""))</f>
        <v/>
      </c>
      <c r="B1060">
        <f>IF(A1060=1,COUNTIF($A$6:A1060,1),"")</f>
        <v/>
      </c>
      <c r="C1060">
        <f>IFERROR(INDEX($D$6:$D$1750,MATCH(ROWS($B$6:B1060),$B$6:$B$1750,0)),"")</f>
        <v/>
      </c>
      <c r="D1060">
        <f>J1060&amp;" ("&amp;E1060&amp;")"</f>
        <v/>
      </c>
      <c r="E1060" t="n">
        <v>21799</v>
      </c>
      <c r="F1060" t="inlineStr">
        <is>
          <t>Skilled Nursing and Interm. Care Facility</t>
        </is>
      </c>
      <c r="G1060" t="inlineStr">
        <is>
          <t>4853 W Washington Blvd</t>
        </is>
      </c>
      <c r="H1060" t="inlineStr">
        <is>
          <t>Los Angeles</t>
        </is>
      </c>
      <c r="I1060" t="inlineStr">
        <is>
          <t>Los Angeles</t>
        </is>
      </c>
      <c r="J1060" t="inlineStr">
        <is>
          <t>Longwood Manor Convalescent Hospital</t>
        </is>
      </c>
    </row>
    <row r="1061">
      <c r="A1061">
        <f>--ISNUMBER(IFERROR(SEARCH($C$5,Inputs!$D1061,1),""))</f>
        <v/>
      </c>
      <c r="B1061">
        <f>IF(A1061=1,COUNTIF($A$6:A1061,1),"")</f>
        <v/>
      </c>
      <c r="C1061">
        <f>IFERROR(INDEX($D$6:$D$1750,MATCH(ROWS($B$6:B1061),$B$6:$B$1750,0)),"")</f>
        <v/>
      </c>
      <c r="D1061">
        <f>J1061&amp;" ("&amp;E1061&amp;")"</f>
        <v/>
      </c>
      <c r="E1061" t="n">
        <v>21807</v>
      </c>
      <c r="F1061" t="inlineStr">
        <is>
          <t>Skilled Nursing and Interm. Care Facility</t>
        </is>
      </c>
      <c r="G1061" t="inlineStr">
        <is>
          <t>340 S. Alvarado St.</t>
        </is>
      </c>
      <c r="H1061" t="inlineStr">
        <is>
          <t>Los Angeles</t>
        </is>
      </c>
      <c r="I1061" t="inlineStr">
        <is>
          <t>Los Angeles</t>
        </is>
      </c>
      <c r="J1061" t="inlineStr">
        <is>
          <t>Country Villa Rehabilitation Center</t>
        </is>
      </c>
    </row>
    <row r="1062">
      <c r="A1062">
        <f>--ISNUMBER(IFERROR(SEARCH($C$5,Inputs!$D1062,1),""))</f>
        <v/>
      </c>
      <c r="B1062">
        <f>IF(A1062=1,COUNTIF($A$6:A1062,1),"")</f>
        <v/>
      </c>
      <c r="C1062">
        <f>IFERROR(INDEX($D$6:$D$1750,MATCH(ROWS($B$6:B1062),$B$6:$B$1750,0)),"")</f>
        <v/>
      </c>
      <c r="D1062">
        <f>J1062&amp;" ("&amp;E1062&amp;")"</f>
        <v/>
      </c>
      <c r="E1062" t="n">
        <v>21818</v>
      </c>
      <c r="F1062" t="inlineStr">
        <is>
          <t>Skilled Nursing and Interm. Care Facility</t>
        </is>
      </c>
      <c r="G1062" t="inlineStr">
        <is>
          <t>1430 W 6th St</t>
        </is>
      </c>
      <c r="H1062" t="inlineStr">
        <is>
          <t>San Pedro</t>
        </is>
      </c>
      <c r="I1062" t="inlineStr">
        <is>
          <t>Los Angeles</t>
        </is>
      </c>
      <c r="J1062" t="inlineStr">
        <is>
          <t>Los Palos Post-Acute Care Center</t>
        </is>
      </c>
    </row>
    <row r="1063">
      <c r="A1063">
        <f>--ISNUMBER(IFERROR(SEARCH($C$5,Inputs!$D1063,1),""))</f>
        <v/>
      </c>
      <c r="B1063">
        <f>IF(A1063=1,COUNTIF($A$6:A1063,1),"")</f>
        <v/>
      </c>
      <c r="C1063">
        <f>IFERROR(INDEX($D$6:$D$1750,MATCH(ROWS($B$6:B1063),$B$6:$B$1750,0)),"")</f>
        <v/>
      </c>
      <c r="D1063">
        <f>J1063&amp;" ("&amp;E1063&amp;")"</f>
        <v/>
      </c>
      <c r="E1063" t="n">
        <v>21824</v>
      </c>
      <c r="F1063" t="inlineStr">
        <is>
          <t>Skilled Nursing and Interm. Care Facility</t>
        </is>
      </c>
      <c r="G1063" t="inlineStr">
        <is>
          <t>17922 San Fernando Mission Rd</t>
        </is>
      </c>
      <c r="H1063" t="inlineStr">
        <is>
          <t>Granada Hills</t>
        </is>
      </c>
      <c r="I1063" t="inlineStr">
        <is>
          <t>Los Angeles</t>
        </is>
      </c>
      <c r="J1063" t="inlineStr">
        <is>
          <t>Magnolia Gardens Convalescent Hospital</t>
        </is>
      </c>
    </row>
    <row r="1064">
      <c r="A1064">
        <f>--ISNUMBER(IFERROR(SEARCH($C$5,Inputs!$D1064,1),""))</f>
        <v/>
      </c>
      <c r="B1064">
        <f>IF(A1064=1,COUNTIF($A$6:A1064,1),"")</f>
        <v/>
      </c>
      <c r="C1064">
        <f>IFERROR(INDEX($D$6:$D$1750,MATCH(ROWS($B$6:B1064),$B$6:$B$1750,0)),"")</f>
        <v/>
      </c>
      <c r="D1064">
        <f>J1064&amp;" ("&amp;E1064&amp;")"</f>
        <v/>
      </c>
      <c r="E1064" t="n">
        <v>21827</v>
      </c>
      <c r="F1064" t="inlineStr">
        <is>
          <t>Skilled Nursing and Interm. Care Facility</t>
        </is>
      </c>
      <c r="G1064" t="inlineStr">
        <is>
          <t>837 W Manchester Ave</t>
        </is>
      </c>
      <c r="H1064" t="inlineStr">
        <is>
          <t>Los Angeles</t>
        </is>
      </c>
      <c r="I1064" t="inlineStr">
        <is>
          <t>Los Angeles</t>
        </is>
      </c>
      <c r="J1064" t="inlineStr">
        <is>
          <t>Manchester Manor Convalescent Hospital</t>
        </is>
      </c>
    </row>
    <row r="1065">
      <c r="A1065">
        <f>--ISNUMBER(IFERROR(SEARCH($C$5,Inputs!$D1065,1),""))</f>
        <v/>
      </c>
      <c r="B1065">
        <f>IF(A1065=1,COUNTIF($A$6:A1065,1),"")</f>
        <v/>
      </c>
      <c r="C1065">
        <f>IFERROR(INDEX($D$6:$D$1750,MATCH(ROWS($B$6:B1065),$B$6:$B$1750,0)),"")</f>
        <v/>
      </c>
      <c r="D1065">
        <f>J1065&amp;" ("&amp;E1065&amp;")"</f>
        <v/>
      </c>
      <c r="E1065" t="n">
        <v>21828</v>
      </c>
      <c r="F1065" t="inlineStr">
        <is>
          <t>Skilled Nursing and Interm. Care Facility</t>
        </is>
      </c>
      <c r="G1065" t="inlineStr">
        <is>
          <t>2625 Maple Ave.</t>
        </is>
      </c>
      <c r="H1065" t="inlineStr">
        <is>
          <t>Los Angeles</t>
        </is>
      </c>
      <c r="I1065" t="inlineStr">
        <is>
          <t>Los Angeles</t>
        </is>
      </c>
      <c r="J1065" t="inlineStr">
        <is>
          <t>Maple Healthcare Center</t>
        </is>
      </c>
    </row>
    <row r="1066">
      <c r="A1066">
        <f>--ISNUMBER(IFERROR(SEARCH($C$5,Inputs!$D1066,1),""))</f>
        <v/>
      </c>
      <c r="B1066">
        <f>IF(A1066=1,COUNTIF($A$6:A1066,1),"")</f>
        <v/>
      </c>
      <c r="C1066">
        <f>IFERROR(INDEX($D$6:$D$1750,MATCH(ROWS($B$6:B1066),$B$6:$B$1750,0)),"")</f>
        <v/>
      </c>
      <c r="D1066">
        <f>J1066&amp;" ("&amp;E1066&amp;")"</f>
        <v/>
      </c>
      <c r="E1066" t="n">
        <v>21829</v>
      </c>
      <c r="F1066" t="inlineStr">
        <is>
          <t>Skilled Nursing and Interm. Care Facility</t>
        </is>
      </c>
      <c r="G1066" t="inlineStr">
        <is>
          <t>2637 E Washington Blvd</t>
        </is>
      </c>
      <c r="H1066" t="inlineStr">
        <is>
          <t>Pasadena</t>
        </is>
      </c>
      <c r="I1066" t="inlineStr">
        <is>
          <t>Los Angeles</t>
        </is>
      </c>
      <c r="J1066" t="inlineStr">
        <is>
          <t>Two Palms Nursing Center, Inc.</t>
        </is>
      </c>
    </row>
    <row r="1067">
      <c r="A1067">
        <f>--ISNUMBER(IFERROR(SEARCH($C$5,Inputs!$D1067,1),""))</f>
        <v/>
      </c>
      <c r="B1067">
        <f>IF(A1067=1,COUNTIF($A$6:A1067,1),"")</f>
        <v/>
      </c>
      <c r="C1067">
        <f>IFERROR(INDEX($D$6:$D$1750,MATCH(ROWS($B$6:B1067),$B$6:$B$1750,0)),"")</f>
        <v/>
      </c>
      <c r="D1067">
        <f>J1067&amp;" ("&amp;E1067&amp;")"</f>
        <v/>
      </c>
      <c r="E1067" t="n">
        <v>21831</v>
      </c>
      <c r="F1067" t="inlineStr">
        <is>
          <t>Skilled Nursing and Interm. Care Facility</t>
        </is>
      </c>
      <c r="G1067" t="inlineStr">
        <is>
          <t>3615 E Imperial Hwy</t>
        </is>
      </c>
      <c r="H1067" t="inlineStr">
        <is>
          <t>Lynwood</t>
        </is>
      </c>
      <c r="I1067" t="inlineStr">
        <is>
          <t>Los Angeles</t>
        </is>
      </c>
      <c r="J1067" t="inlineStr">
        <is>
          <t>California Post-Acute Care</t>
        </is>
      </c>
    </row>
    <row r="1068">
      <c r="A1068">
        <f>--ISNUMBER(IFERROR(SEARCH($C$5,Inputs!$D1068,1),""))</f>
        <v/>
      </c>
      <c r="B1068">
        <f>IF(A1068=1,COUNTIF($A$6:A1068,1),"")</f>
        <v/>
      </c>
      <c r="C1068">
        <f>IFERROR(INDEX($D$6:$D$1750,MATCH(ROWS($B$6:B1068),$B$6:$B$1750,0)),"")</f>
        <v/>
      </c>
      <c r="D1068">
        <f>J1068&amp;" ("&amp;E1068&amp;")"</f>
        <v/>
      </c>
      <c r="E1068" t="n">
        <v>21832</v>
      </c>
      <c r="F1068" t="inlineStr">
        <is>
          <t>Skilled Nursing and Interm. Care Facility</t>
        </is>
      </c>
      <c r="G1068" t="inlineStr">
        <is>
          <t>3966 Marcasel Ave.</t>
        </is>
      </c>
      <c r="H1068" t="inlineStr">
        <is>
          <t>Los Angeles</t>
        </is>
      </c>
      <c r="I1068" t="inlineStr">
        <is>
          <t>Los Angeles</t>
        </is>
      </c>
      <c r="J1068" t="inlineStr">
        <is>
          <t>Country Villa Mar Vista Nursing Center</t>
        </is>
      </c>
    </row>
    <row r="1069">
      <c r="A1069">
        <f>--ISNUMBER(IFERROR(SEARCH($C$5,Inputs!$D1069,1),""))</f>
        <v/>
      </c>
      <c r="B1069">
        <f>IF(A1069=1,COUNTIF($A$6:A1069,1),"")</f>
        <v/>
      </c>
      <c r="C1069">
        <f>IFERROR(INDEX($D$6:$D$1750,MATCH(ROWS($B$6:B1069),$B$6:$B$1750,0)),"")</f>
        <v/>
      </c>
      <c r="D1069">
        <f>J1069&amp;" ("&amp;E1069&amp;")"</f>
        <v/>
      </c>
      <c r="E1069" t="n">
        <v>21833</v>
      </c>
      <c r="F1069" t="inlineStr">
        <is>
          <t>Skilled Nursing and Interm. Care Facility</t>
        </is>
      </c>
      <c r="G1069" t="inlineStr">
        <is>
          <t>10664 Saint James Dr</t>
        </is>
      </c>
      <c r="H1069" t="inlineStr">
        <is>
          <t>Culver City</t>
        </is>
      </c>
      <c r="I1069" t="inlineStr">
        <is>
          <t>Los Angeles</t>
        </is>
      </c>
      <c r="J1069" t="inlineStr">
        <is>
          <t>Marycrest Manor</t>
        </is>
      </c>
    </row>
    <row r="1070">
      <c r="A1070">
        <f>--ISNUMBER(IFERROR(SEARCH($C$5,Inputs!$D1070,1),""))</f>
        <v/>
      </c>
      <c r="B1070">
        <f>IF(A1070=1,COUNTIF($A$6:A1070,1),"")</f>
        <v/>
      </c>
      <c r="C1070">
        <f>IFERROR(INDEX($D$6:$D$1750,MATCH(ROWS($B$6:B1070),$B$6:$B$1750,0)),"")</f>
        <v/>
      </c>
      <c r="D1070">
        <f>J1070&amp;" ("&amp;E1070&amp;")"</f>
        <v/>
      </c>
      <c r="E1070" t="n">
        <v>21835</v>
      </c>
      <c r="F1070" t="inlineStr">
        <is>
          <t>Skilled Nursing and Interm. Care Facility</t>
        </is>
      </c>
      <c r="G1070" t="inlineStr">
        <is>
          <t>721 Harrison Ave.</t>
        </is>
      </c>
      <c r="H1070" t="inlineStr">
        <is>
          <t>Claremont</t>
        </is>
      </c>
      <c r="I1070" t="inlineStr">
        <is>
          <t>Los Angeles</t>
        </is>
      </c>
      <c r="J1070" t="inlineStr">
        <is>
          <t>Pilgrim Place Health Services Center</t>
        </is>
      </c>
    </row>
    <row r="1071">
      <c r="A1071">
        <f>--ISNUMBER(IFERROR(SEARCH($C$5,Inputs!$D1071,1),""))</f>
        <v/>
      </c>
      <c r="B1071">
        <f>IF(A1071=1,COUNTIF($A$6:A1071,1),"")</f>
        <v/>
      </c>
      <c r="C1071">
        <f>IFERROR(INDEX($D$6:$D$1750,MATCH(ROWS($B$6:B1071),$B$6:$B$1750,0)),"")</f>
        <v/>
      </c>
      <c r="D1071">
        <f>J1071&amp;" ("&amp;E1071&amp;")"</f>
        <v/>
      </c>
      <c r="E1071" t="n">
        <v>21839</v>
      </c>
      <c r="F1071" t="inlineStr">
        <is>
          <t>Skilled Nursing and Interm. Care Facility</t>
        </is>
      </c>
      <c r="G1071" t="inlineStr">
        <is>
          <t>3951 East Blvd</t>
        </is>
      </c>
      <c r="H1071" t="inlineStr">
        <is>
          <t>Los Angeles</t>
        </is>
      </c>
      <c r="I1071" t="inlineStr">
        <is>
          <t>Los Angeles</t>
        </is>
      </c>
      <c r="J1071" t="inlineStr">
        <is>
          <t>Meadowbrook Behavioral Health Center</t>
        </is>
      </c>
    </row>
    <row r="1072">
      <c r="A1072">
        <f>--ISNUMBER(IFERROR(SEARCH($C$5,Inputs!$D1072,1),""))</f>
        <v/>
      </c>
      <c r="B1072">
        <f>IF(A1072=1,COUNTIF($A$6:A1072,1),"")</f>
        <v/>
      </c>
      <c r="C1072">
        <f>IFERROR(INDEX($D$6:$D$1750,MATCH(ROWS($B$6:B1072),$B$6:$B$1750,0)),"")</f>
        <v/>
      </c>
      <c r="D1072">
        <f>J1072&amp;" ("&amp;E1072&amp;")"</f>
        <v/>
      </c>
      <c r="E1072" t="n">
        <v>21840</v>
      </c>
      <c r="F1072" t="inlineStr">
        <is>
          <t>Skilled Nursing and Interm. Care Facility</t>
        </is>
      </c>
      <c r="G1072" t="inlineStr">
        <is>
          <t>842 E Villa St</t>
        </is>
      </c>
      <c r="H1072" t="inlineStr">
        <is>
          <t>Pasadena</t>
        </is>
      </c>
      <c r="I1072" t="inlineStr">
        <is>
          <t>Los Angeles</t>
        </is>
      </c>
      <c r="J1072" t="inlineStr">
        <is>
          <t>Villa Gardens Health Care Unit</t>
        </is>
      </c>
    </row>
    <row r="1073">
      <c r="A1073">
        <f>--ISNUMBER(IFERROR(SEARCH($C$5,Inputs!$D1073,1),""))</f>
        <v/>
      </c>
      <c r="B1073">
        <f>IF(A1073=1,COUNTIF($A$6:A1073,1),"")</f>
        <v/>
      </c>
      <c r="C1073">
        <f>IFERROR(INDEX($D$6:$D$1750,MATCH(ROWS($B$6:B1073),$B$6:$B$1750,0)),"")</f>
        <v/>
      </c>
      <c r="D1073">
        <f>J1073&amp;" ("&amp;E1073&amp;")"</f>
        <v/>
      </c>
      <c r="E1073" t="n">
        <v>21864</v>
      </c>
      <c r="F1073" t="inlineStr">
        <is>
          <t>Skilled Nursing and Interm. Care Facility</t>
        </is>
      </c>
      <c r="G1073" t="inlineStr">
        <is>
          <t>12200 La Mirada Blvd</t>
        </is>
      </c>
      <c r="H1073" t="inlineStr">
        <is>
          <t>La Mirada</t>
        </is>
      </c>
      <c r="I1073" t="inlineStr">
        <is>
          <t>Los Angeles</t>
        </is>
      </c>
      <c r="J1073" t="inlineStr">
        <is>
          <t>Mirada Hills Rehabilitation And Convalescent Hosp</t>
        </is>
      </c>
    </row>
    <row r="1074">
      <c r="A1074">
        <f>--ISNUMBER(IFERROR(SEARCH($C$5,Inputs!$D1074,1),""))</f>
        <v/>
      </c>
      <c r="B1074">
        <f>IF(A1074=1,COUNTIF($A$6:A1074,1),"")</f>
        <v/>
      </c>
      <c r="C1074">
        <f>IFERROR(INDEX($D$6:$D$1750,MATCH(ROWS($B$6:B1074),$B$6:$B$1750,0)),"")</f>
        <v/>
      </c>
      <c r="D1074">
        <f>J1074&amp;" ("&amp;E1074&amp;")"</f>
        <v/>
      </c>
      <c r="E1074" t="n">
        <v>21868</v>
      </c>
      <c r="F1074" t="inlineStr">
        <is>
          <t>Skilled Nursing and Interm. Care Facility</t>
        </is>
      </c>
      <c r="G1074" t="inlineStr">
        <is>
          <t>909 W Santa Anita St</t>
        </is>
      </c>
      <c r="H1074" t="inlineStr">
        <is>
          <t>San Gabriel</t>
        </is>
      </c>
      <c r="I1074" t="inlineStr">
        <is>
          <t>Los Angeles</t>
        </is>
      </c>
      <c r="J1074" t="inlineStr">
        <is>
          <t>Royal Vista Care Center</t>
        </is>
      </c>
    </row>
    <row r="1075">
      <c r="A1075">
        <f>--ISNUMBER(IFERROR(SEARCH($C$5,Inputs!$D1075,1),""))</f>
        <v/>
      </c>
      <c r="B1075">
        <f>IF(A1075=1,COUNTIF($A$6:A1075,1),"")</f>
        <v/>
      </c>
      <c r="C1075">
        <f>IFERROR(INDEX($D$6:$D$1750,MATCH(ROWS($B$6:B1075),$B$6:$B$1750,0)),"")</f>
        <v/>
      </c>
      <c r="D1075">
        <f>J1075&amp;" ("&amp;E1075&amp;")"</f>
        <v/>
      </c>
      <c r="E1075" t="n">
        <v>21873</v>
      </c>
      <c r="F1075" t="inlineStr">
        <is>
          <t>Skilled Nursing and Interm. Care Facility</t>
        </is>
      </c>
      <c r="G1075" t="inlineStr">
        <is>
          <t>615 W Duarte Rd</t>
        </is>
      </c>
      <c r="H1075" t="inlineStr">
        <is>
          <t>Monrovia</t>
        </is>
      </c>
      <c r="I1075" t="inlineStr">
        <is>
          <t>Los Angeles</t>
        </is>
      </c>
      <c r="J1075" t="inlineStr">
        <is>
          <t>Monrovia Gardens Healthcare Center</t>
        </is>
      </c>
    </row>
    <row r="1076">
      <c r="A1076">
        <f>--ISNUMBER(IFERROR(SEARCH($C$5,Inputs!$D1076,1),""))</f>
        <v/>
      </c>
      <c r="B1076">
        <f>IF(A1076=1,COUNTIF($A$6:A1076,1),"")</f>
        <v/>
      </c>
      <c r="C1076">
        <f>IFERROR(INDEX($D$6:$D$1750,MATCH(ROWS($B$6:B1076),$B$6:$B$1750,0)),"")</f>
        <v/>
      </c>
      <c r="D1076">
        <f>J1076&amp;" ("&amp;E1076&amp;")"</f>
        <v/>
      </c>
      <c r="E1076" t="n">
        <v>21875</v>
      </c>
      <c r="F1076" t="inlineStr">
        <is>
          <t>Skilled Nursing and Interm. Care Facility</t>
        </is>
      </c>
      <c r="G1076" t="inlineStr">
        <is>
          <t>1220 E Huntington Dr</t>
        </is>
      </c>
      <c r="H1076" t="inlineStr">
        <is>
          <t>Duarte</t>
        </is>
      </c>
      <c r="I1076" t="inlineStr">
        <is>
          <t>Los Angeles</t>
        </is>
      </c>
      <c r="J1076" t="inlineStr">
        <is>
          <t>Monrovia Post Acute</t>
        </is>
      </c>
    </row>
    <row r="1077">
      <c r="A1077">
        <f>--ISNUMBER(IFERROR(SEARCH($C$5,Inputs!$D1077,1),""))</f>
        <v/>
      </c>
      <c r="B1077">
        <f>IF(A1077=1,COUNTIF($A$6:A1077,1),"")</f>
        <v/>
      </c>
      <c r="C1077">
        <f>IFERROR(INDEX($D$6:$D$1750,MATCH(ROWS($B$6:B1077),$B$6:$B$1750,0)),"")</f>
        <v/>
      </c>
      <c r="D1077">
        <f>J1077&amp;" ("&amp;E1077&amp;")"</f>
        <v/>
      </c>
      <c r="E1077" t="n">
        <v>21876</v>
      </c>
      <c r="F1077" t="inlineStr">
        <is>
          <t>Skilled Nursing and Interm. Care Facility</t>
        </is>
      </c>
      <c r="G1077" t="inlineStr">
        <is>
          <t>1035 West Beverly Boulevard</t>
        </is>
      </c>
      <c r="H1077" t="inlineStr">
        <is>
          <t>Montebello</t>
        </is>
      </c>
      <c r="I1077" t="inlineStr">
        <is>
          <t>Los Angeles</t>
        </is>
      </c>
      <c r="J1077" t="inlineStr">
        <is>
          <t>Montebello Care Center</t>
        </is>
      </c>
    </row>
    <row r="1078">
      <c r="A1078">
        <f>--ISNUMBER(IFERROR(SEARCH($C$5,Inputs!$D1078,1),""))</f>
        <v/>
      </c>
      <c r="B1078">
        <f>IF(A1078=1,COUNTIF($A$6:A1078,1),"")</f>
        <v/>
      </c>
      <c r="C1078">
        <f>IFERROR(INDEX($D$6:$D$1750,MATCH(ROWS($B$6:B1078),$B$6:$B$1750,0)),"")</f>
        <v/>
      </c>
      <c r="D1078">
        <f>J1078&amp;" ("&amp;E1078&amp;")"</f>
        <v/>
      </c>
      <c r="E1078" t="n">
        <v>21878</v>
      </c>
      <c r="F1078" t="inlineStr">
        <is>
          <t>Skilled Nursing and Interm. Care Facility</t>
        </is>
      </c>
      <c r="G1078" t="inlineStr">
        <is>
          <t>2889 San Pasqual St</t>
        </is>
      </c>
      <c r="H1078" t="inlineStr">
        <is>
          <t>Pasadena</t>
        </is>
      </c>
      <c r="I1078" t="inlineStr">
        <is>
          <t>Los Angeles</t>
        </is>
      </c>
      <c r="J1078" t="inlineStr">
        <is>
          <t>Monte Vista Grove Homes</t>
        </is>
      </c>
    </row>
    <row r="1079">
      <c r="A1079">
        <f>--ISNUMBER(IFERROR(SEARCH($C$5,Inputs!$D1079,1),""))</f>
        <v/>
      </c>
      <c r="B1079">
        <f>IF(A1079=1,COUNTIF($A$6:A1079,1),"")</f>
        <v/>
      </c>
      <c r="C1079">
        <f>IFERROR(INDEX($D$6:$D$1750,MATCH(ROWS($B$6:B1079),$B$6:$B$1750,0)),"")</f>
        <v/>
      </c>
      <c r="D1079">
        <f>J1079&amp;" ("&amp;E1079&amp;")"</f>
        <v/>
      </c>
      <c r="E1079" t="n">
        <v>21880</v>
      </c>
      <c r="F1079" t="inlineStr">
        <is>
          <t>Skilled Nursing and Interm. Care Facility</t>
        </is>
      </c>
      <c r="G1079" t="inlineStr">
        <is>
          <t>416 N Garfield Ave</t>
        </is>
      </c>
      <c r="H1079" t="inlineStr">
        <is>
          <t>Monterey Park</t>
        </is>
      </c>
      <c r="I1079" t="inlineStr">
        <is>
          <t>Los Angeles</t>
        </is>
      </c>
      <c r="J1079" t="inlineStr">
        <is>
          <t>Monterey Park Convalescent Hospital</t>
        </is>
      </c>
    </row>
    <row r="1080">
      <c r="A1080">
        <f>--ISNUMBER(IFERROR(SEARCH($C$5,Inputs!$D1080,1),""))</f>
        <v/>
      </c>
      <c r="B1080">
        <f>IF(A1080=1,COUNTIF($A$6:A1080,1),"")</f>
        <v/>
      </c>
      <c r="C1080">
        <f>IFERROR(INDEX($D$6:$D$1750,MATCH(ROWS($B$6:B1080),$B$6:$B$1750,0)),"")</f>
        <v/>
      </c>
      <c r="D1080">
        <f>J1080&amp;" ("&amp;E1080&amp;")"</f>
        <v/>
      </c>
      <c r="E1080" t="n">
        <v>21881</v>
      </c>
      <c r="F1080" t="inlineStr">
        <is>
          <t>Skilled Nursing and Interm. Care Facility</t>
        </is>
      </c>
      <c r="G1080" t="inlineStr">
        <is>
          <t>1267 San Gabriel Blvd.</t>
        </is>
      </c>
      <c r="H1080" t="inlineStr">
        <is>
          <t>Rosemead</t>
        </is>
      </c>
      <c r="I1080" t="inlineStr">
        <is>
          <t>Los Angeles</t>
        </is>
      </c>
      <c r="J1080" t="inlineStr">
        <is>
          <t>Monterey Healthcare &amp; Wellness Centre, LP</t>
        </is>
      </c>
    </row>
    <row r="1081">
      <c r="A1081">
        <f>--ISNUMBER(IFERROR(SEARCH($C$5,Inputs!$D1081,1),""))</f>
        <v/>
      </c>
      <c r="B1081">
        <f>IF(A1081=1,COUNTIF($A$6:A1081,1),"")</f>
        <v/>
      </c>
      <c r="C1081">
        <f>IFERROR(INDEX($D$6:$D$1750,MATCH(ROWS($B$6:B1081),$B$6:$B$1750,0)),"")</f>
        <v/>
      </c>
      <c r="D1081">
        <f>J1081&amp;" ("&amp;E1081&amp;")"</f>
        <v/>
      </c>
      <c r="E1081" t="n">
        <v>21882</v>
      </c>
      <c r="F1081" t="inlineStr">
        <is>
          <t>Skilled Nursing and Interm. Care Facility</t>
        </is>
      </c>
      <c r="G1081" t="inlineStr">
        <is>
          <t>2123 Verdugo Blvd</t>
        </is>
      </c>
      <c r="H1081" t="inlineStr">
        <is>
          <t>Montrose</t>
        </is>
      </c>
      <c r="I1081" t="inlineStr">
        <is>
          <t>Los Angeles</t>
        </is>
      </c>
      <c r="J1081" t="inlineStr">
        <is>
          <t>Montrose Healthcare Center</t>
        </is>
      </c>
    </row>
    <row r="1082">
      <c r="A1082">
        <f>--ISNUMBER(IFERROR(SEARCH($C$5,Inputs!$D1082,1),""))</f>
        <v/>
      </c>
      <c r="B1082">
        <f>IF(A1082=1,COUNTIF($A$6:A1082,1),"")</f>
        <v/>
      </c>
      <c r="C1082">
        <f>IFERROR(INDEX($D$6:$D$1750,MATCH(ROWS($B$6:B1082),$B$6:$B$1750,0)),"")</f>
        <v/>
      </c>
      <c r="D1082">
        <f>J1082&amp;" ("&amp;E1082&amp;")"</f>
        <v/>
      </c>
      <c r="E1082" t="n">
        <v>21883</v>
      </c>
      <c r="F1082" t="inlineStr">
        <is>
          <t>Skilled Nursing and Interm. Care Facility</t>
        </is>
      </c>
      <c r="G1082" t="inlineStr">
        <is>
          <t>3541 Puente Ave</t>
        </is>
      </c>
      <c r="H1082" t="inlineStr">
        <is>
          <t>Baldwin Park</t>
        </is>
      </c>
      <c r="I1082" t="inlineStr">
        <is>
          <t>Los Angeles</t>
        </is>
      </c>
      <c r="J1082" t="inlineStr">
        <is>
          <t>Victoria Care Center</t>
        </is>
      </c>
    </row>
    <row r="1083">
      <c r="A1083">
        <f>--ISNUMBER(IFERROR(SEARCH($C$5,Inputs!$D1083,1),""))</f>
        <v/>
      </c>
      <c r="B1083">
        <f>IF(A1083=1,COUNTIF($A$6:A1083,1),"")</f>
        <v/>
      </c>
      <c r="C1083">
        <f>IFERROR(INDEX($D$6:$D$1750,MATCH(ROWS($B$6:B1083),$B$6:$B$1750,0)),"")</f>
        <v/>
      </c>
      <c r="D1083">
        <f>J1083&amp;" ("&amp;E1083&amp;")"</f>
        <v/>
      </c>
      <c r="E1083" t="n">
        <v>21889</v>
      </c>
      <c r="F1083" t="inlineStr">
        <is>
          <t>Skilled Nursing and Interm. Care Facility</t>
        </is>
      </c>
      <c r="G1083" t="inlineStr">
        <is>
          <t>900 E Harrison Ave</t>
        </is>
      </c>
      <c r="H1083" t="inlineStr">
        <is>
          <t>Pomona</t>
        </is>
      </c>
      <c r="I1083" t="inlineStr">
        <is>
          <t>Los Angeles</t>
        </is>
      </c>
      <c r="J1083" t="inlineStr">
        <is>
          <t>Mount San Antonio Gardens</t>
        </is>
      </c>
    </row>
    <row r="1084">
      <c r="A1084">
        <f>--ISNUMBER(IFERROR(SEARCH($C$5,Inputs!$D1084,1),""))</f>
        <v/>
      </c>
      <c r="B1084">
        <f>IF(A1084=1,COUNTIF($A$6:A1084,1),"")</f>
        <v/>
      </c>
      <c r="C1084">
        <f>IFERROR(INDEX($D$6:$D$1750,MATCH(ROWS($B$6:B1084),$B$6:$B$1750,0)),"")</f>
        <v/>
      </c>
      <c r="D1084">
        <f>J1084&amp;" ("&amp;E1084&amp;")"</f>
        <v/>
      </c>
      <c r="E1084" t="n">
        <v>21892</v>
      </c>
      <c r="F1084" t="inlineStr">
        <is>
          <t>Skilled Nursing and Interm. Care Facility</t>
        </is>
      </c>
      <c r="G1084" t="inlineStr">
        <is>
          <t>13333 Fenton Ave</t>
        </is>
      </c>
      <c r="H1084" t="inlineStr">
        <is>
          <t>Sylmar</t>
        </is>
      </c>
      <c r="I1084" t="inlineStr">
        <is>
          <t>Los Angeles</t>
        </is>
      </c>
      <c r="J1084" t="inlineStr">
        <is>
          <t>Mountain View Convalescent Hospital</t>
        </is>
      </c>
    </row>
    <row r="1085">
      <c r="A1085">
        <f>--ISNUMBER(IFERROR(SEARCH($C$5,Inputs!$D1085,1),""))</f>
        <v/>
      </c>
      <c r="B1085">
        <f>IF(A1085=1,COUNTIF($A$6:A1085,1),"")</f>
        <v/>
      </c>
      <c r="C1085">
        <f>IFERROR(INDEX($D$6:$D$1750,MATCH(ROWS($B$6:B1085),$B$6:$B$1750,0)),"")</f>
        <v/>
      </c>
      <c r="D1085">
        <f>J1085&amp;" ("&amp;E1085&amp;")"</f>
        <v/>
      </c>
      <c r="E1085" t="n">
        <v>21896</v>
      </c>
      <c r="F1085" t="inlineStr">
        <is>
          <t>Skilled Nursing and Interm. Care Facility</t>
        </is>
      </c>
      <c r="G1085" t="inlineStr">
        <is>
          <t>23801 Newhall Ave</t>
        </is>
      </c>
      <c r="H1085" t="inlineStr">
        <is>
          <t>Newhall</t>
        </is>
      </c>
      <c r="I1085" t="inlineStr">
        <is>
          <t>Los Angeles</t>
        </is>
      </c>
      <c r="J1085" t="inlineStr">
        <is>
          <t>Santa Clarita Post-Acute Care Center</t>
        </is>
      </c>
    </row>
    <row r="1086">
      <c r="A1086">
        <f>--ISNUMBER(IFERROR(SEARCH($C$5,Inputs!$D1086,1),""))</f>
        <v/>
      </c>
      <c r="B1086">
        <f>IF(A1086=1,COUNTIF($A$6:A1086,1),"")</f>
        <v/>
      </c>
      <c r="C1086">
        <f>IFERROR(INDEX($D$6:$D$1750,MATCH(ROWS($B$6:B1086),$B$6:$B$1750,0)),"")</f>
        <v/>
      </c>
      <c r="D1086">
        <f>J1086&amp;" ("&amp;E1086&amp;")"</f>
        <v/>
      </c>
      <c r="E1086" t="n">
        <v>21897</v>
      </c>
      <c r="F1086" t="inlineStr">
        <is>
          <t>Skilled Nursing and Interm. Care Facility</t>
        </is>
      </c>
      <c r="G1086" t="inlineStr">
        <is>
          <t>1550 Silveira Parkway</t>
        </is>
      </c>
      <c r="H1086" t="inlineStr">
        <is>
          <t>San Rafael</t>
        </is>
      </c>
      <c r="I1086" t="inlineStr">
        <is>
          <t>Marin</t>
        </is>
      </c>
      <c r="J1086" t="inlineStr">
        <is>
          <t>Smith Ranch Skilled Nursing &amp; Rehabilitation Center</t>
        </is>
      </c>
    </row>
    <row r="1087">
      <c r="A1087">
        <f>--ISNUMBER(IFERROR(SEARCH($C$5,Inputs!$D1087,1),""))</f>
        <v/>
      </c>
      <c r="B1087">
        <f>IF(A1087=1,COUNTIF($A$6:A1087,1),"")</f>
        <v/>
      </c>
      <c r="C1087">
        <f>IFERROR(INDEX($D$6:$D$1750,MATCH(ROWS($B$6:B1087),$B$6:$B$1750,0)),"")</f>
        <v/>
      </c>
      <c r="D1087">
        <f>J1087&amp;" ("&amp;E1087&amp;")"</f>
        <v/>
      </c>
      <c r="E1087" t="n">
        <v>21913</v>
      </c>
      <c r="F1087" t="inlineStr">
        <is>
          <t>Skilled Nursing and Interm. Care Facility</t>
        </is>
      </c>
      <c r="G1087" t="inlineStr">
        <is>
          <t>9166 Tujunga Canyon Blvd</t>
        </is>
      </c>
      <c r="H1087" t="inlineStr">
        <is>
          <t>Tujunga</t>
        </is>
      </c>
      <c r="I1087" t="inlineStr">
        <is>
          <t>Los Angeles</t>
        </is>
      </c>
      <c r="J1087" t="inlineStr">
        <is>
          <t>Oakpark Healthcare Center</t>
        </is>
      </c>
    </row>
    <row r="1088">
      <c r="A1088">
        <f>--ISNUMBER(IFERROR(SEARCH($C$5,Inputs!$D1088,1),""))</f>
        <v/>
      </c>
      <c r="B1088">
        <f>IF(A1088=1,COUNTIF($A$6:A1088,1),"")</f>
        <v/>
      </c>
      <c r="C1088">
        <f>IFERROR(INDEX($D$6:$D$1750,MATCH(ROWS($B$6:B1088),$B$6:$B$1750,0)),"")</f>
        <v/>
      </c>
      <c r="D1088">
        <f>J1088&amp;" ("&amp;E1088&amp;")"</f>
        <v/>
      </c>
      <c r="E1088" t="n">
        <v>21917</v>
      </c>
      <c r="F1088" t="inlineStr">
        <is>
          <t>Skilled Nursing and Interm. Care Facility</t>
        </is>
      </c>
      <c r="G1088" t="inlineStr">
        <is>
          <t>2335 S Towne Ave</t>
        </is>
      </c>
      <c r="H1088" t="inlineStr">
        <is>
          <t>Pomona</t>
        </is>
      </c>
      <c r="I1088" t="inlineStr">
        <is>
          <t>Los Angeles</t>
        </is>
      </c>
      <c r="J1088" t="inlineStr">
        <is>
          <t>Olive Vista Behavioral Health Center</t>
        </is>
      </c>
    </row>
    <row r="1089">
      <c r="A1089">
        <f>--ISNUMBER(IFERROR(SEARCH($C$5,Inputs!$D1089,1),""))</f>
        <v/>
      </c>
      <c r="B1089">
        <f>IF(A1089=1,COUNTIF($A$6:A1089,1),"")</f>
        <v/>
      </c>
      <c r="C1089">
        <f>IFERROR(INDEX($D$6:$D$1750,MATCH(ROWS($B$6:B1089),$B$6:$B$1750,0)),"")</f>
        <v/>
      </c>
      <c r="D1089">
        <f>J1089&amp;" ("&amp;E1089&amp;")"</f>
        <v/>
      </c>
      <c r="E1089" t="n">
        <v>21924</v>
      </c>
      <c r="F1089" t="inlineStr">
        <is>
          <t>Skilled Nursing and Interm. Care Facility</t>
        </is>
      </c>
      <c r="G1089" t="inlineStr">
        <is>
          <t>1323 17th St.</t>
        </is>
      </c>
      <c r="H1089" t="inlineStr">
        <is>
          <t>Santa Monica</t>
        </is>
      </c>
      <c r="I1089" t="inlineStr">
        <is>
          <t>Los Angeles</t>
        </is>
      </c>
      <c r="J1089" t="inlineStr">
        <is>
          <t>Pacific Post - Acute</t>
        </is>
      </c>
    </row>
    <row r="1090">
      <c r="A1090">
        <f>--ISNUMBER(IFERROR(SEARCH($C$5,Inputs!$D1090,1),""))</f>
        <v/>
      </c>
      <c r="B1090">
        <f>IF(A1090=1,COUNTIF($A$6:A1090,1),"")</f>
        <v/>
      </c>
      <c r="C1090">
        <f>IFERROR(INDEX($D$6:$D$1750,MATCH(ROWS($B$6:B1090),$B$6:$B$1750,0)),"")</f>
        <v/>
      </c>
      <c r="D1090">
        <f>J1090&amp;" ("&amp;E1090&amp;")"</f>
        <v/>
      </c>
      <c r="E1090" t="n">
        <v>21931</v>
      </c>
      <c r="F1090" t="inlineStr">
        <is>
          <t>Skilled Nursing and Interm. Care Facility</t>
        </is>
      </c>
      <c r="G1090" t="inlineStr">
        <is>
          <t>3355 Pacific Pl</t>
        </is>
      </c>
      <c r="H1090" t="inlineStr">
        <is>
          <t>Long Beach</t>
        </is>
      </c>
      <c r="I1090" t="inlineStr">
        <is>
          <t>Los Angeles</t>
        </is>
      </c>
      <c r="J1090" t="inlineStr">
        <is>
          <t>Pacific Care Nursing Center</t>
        </is>
      </c>
    </row>
    <row r="1091">
      <c r="A1091">
        <f>--ISNUMBER(IFERROR(SEARCH($C$5,Inputs!$D1091,1),""))</f>
        <v/>
      </c>
      <c r="B1091">
        <f>IF(A1091=1,COUNTIF($A$6:A1091,1),"")</f>
        <v/>
      </c>
      <c r="C1091">
        <f>IFERROR(INDEX($D$6:$D$1750,MATCH(ROWS($B$6:B1091),$B$6:$B$1750,0)),"")</f>
        <v/>
      </c>
      <c r="D1091">
        <f>J1091&amp;" ("&amp;E1091&amp;")"</f>
        <v/>
      </c>
      <c r="E1091" t="n">
        <v>21932</v>
      </c>
      <c r="F1091" t="inlineStr">
        <is>
          <t>Skilled Nursing and Interm. Care Facility</t>
        </is>
      </c>
      <c r="G1091" t="inlineStr">
        <is>
          <t>2335 Mountain Ave.</t>
        </is>
      </c>
      <c r="H1091" t="inlineStr">
        <is>
          <t>Duarte</t>
        </is>
      </c>
      <c r="I1091" t="inlineStr">
        <is>
          <t>Los Angeles</t>
        </is>
      </c>
      <c r="J1091" t="inlineStr">
        <is>
          <t>Community Care Center</t>
        </is>
      </c>
    </row>
    <row r="1092">
      <c r="A1092">
        <f>--ISNUMBER(IFERROR(SEARCH($C$5,Inputs!$D1092,1),""))</f>
        <v/>
      </c>
      <c r="B1092">
        <f>IF(A1092=1,COUNTIF($A$6:A1092,1),"")</f>
        <v/>
      </c>
      <c r="C1092">
        <f>IFERROR(INDEX($D$6:$D$1750,MATCH(ROWS($B$6:B1092),$B$6:$B$1750,0)),"")</f>
        <v/>
      </c>
      <c r="D1092">
        <f>J1092&amp;" ("&amp;E1092&amp;")"</f>
        <v/>
      </c>
      <c r="E1092" t="n">
        <v>21936</v>
      </c>
      <c r="F1092" t="inlineStr">
        <is>
          <t>Skilled Nursing and Interm. Care Facility</t>
        </is>
      </c>
      <c r="G1092" t="inlineStr">
        <is>
          <t>2415 S Western Ave</t>
        </is>
      </c>
      <c r="H1092" t="inlineStr">
        <is>
          <t>Los Angeles</t>
        </is>
      </c>
      <c r="I1092" t="inlineStr">
        <is>
          <t>Los Angeles</t>
        </is>
      </c>
      <c r="J1092" t="inlineStr">
        <is>
          <t>Country Villa East Nursing Center</t>
        </is>
      </c>
    </row>
    <row r="1093">
      <c r="A1093">
        <f>--ISNUMBER(IFERROR(SEARCH($C$5,Inputs!$D1093,1),""))</f>
        <v/>
      </c>
      <c r="B1093">
        <f>IF(A1093=1,COUNTIF($A$6:A1093,1),"")</f>
        <v/>
      </c>
      <c r="C1093">
        <f>IFERROR(INDEX($D$6:$D$1750,MATCH(ROWS($B$6:B1093),$B$6:$B$1750,0)),"")</f>
        <v/>
      </c>
      <c r="D1093">
        <f>J1093&amp;" ("&amp;E1093&amp;")"</f>
        <v/>
      </c>
      <c r="E1093" t="n">
        <v>21937</v>
      </c>
      <c r="F1093" t="inlineStr">
        <is>
          <t>Skilled Nursing and Interm. Care Facility</t>
        </is>
      </c>
      <c r="G1093" t="inlineStr">
        <is>
          <t>8558 Rosecrans Ave.</t>
        </is>
      </c>
      <c r="H1093" t="inlineStr">
        <is>
          <t>Paramount</t>
        </is>
      </c>
      <c r="I1093" t="inlineStr">
        <is>
          <t>Los Angeles</t>
        </is>
      </c>
      <c r="J1093" t="inlineStr">
        <is>
          <t>Paramount Convalescent Hospital</t>
        </is>
      </c>
    </row>
    <row r="1094">
      <c r="A1094">
        <f>--ISNUMBER(IFERROR(SEARCH($C$5,Inputs!$D1094,1),""))</f>
        <v/>
      </c>
      <c r="B1094">
        <f>IF(A1094=1,COUNTIF($A$6:A1094,1),"")</f>
        <v/>
      </c>
      <c r="C1094">
        <f>IFERROR(INDEX($D$6:$D$1750,MATCH(ROWS($B$6:B1094),$B$6:$B$1750,0)),"")</f>
        <v/>
      </c>
      <c r="D1094">
        <f>J1094&amp;" ("&amp;E1094&amp;")"</f>
        <v/>
      </c>
      <c r="E1094" t="n">
        <v>21939</v>
      </c>
      <c r="F1094" t="inlineStr">
        <is>
          <t>Skilled Nursing and Interm. Care Facility</t>
        </is>
      </c>
      <c r="G1094" t="inlineStr">
        <is>
          <t>15100 Prairie Ave</t>
        </is>
      </c>
      <c r="H1094" t="inlineStr">
        <is>
          <t>Lawndale</t>
        </is>
      </c>
      <c r="I1094" t="inlineStr">
        <is>
          <t>Los Angeles</t>
        </is>
      </c>
      <c r="J1094" t="inlineStr">
        <is>
          <t>Lawndale Healthcare &amp; Wellness Centre, LLC</t>
        </is>
      </c>
    </row>
    <row r="1095">
      <c r="A1095">
        <f>--ISNUMBER(IFERROR(SEARCH($C$5,Inputs!$D1095,1),""))</f>
        <v/>
      </c>
      <c r="B1095">
        <f>IF(A1095=1,COUNTIF($A$6:A1095,1),"")</f>
        <v/>
      </c>
      <c r="C1095">
        <f>IFERROR(INDEX($D$6:$D$1750,MATCH(ROWS($B$6:B1095),$B$6:$B$1750,0)),"")</f>
        <v/>
      </c>
      <c r="D1095">
        <f>J1095&amp;" ("&amp;E1095&amp;")"</f>
        <v/>
      </c>
      <c r="E1095" t="n">
        <v>21940</v>
      </c>
      <c r="F1095" t="inlineStr">
        <is>
          <t>Skilled Nursing and Interm. Care Facility</t>
        </is>
      </c>
      <c r="G1095" t="inlineStr">
        <is>
          <t>3825 North Durfee Avenue</t>
        </is>
      </c>
      <c r="H1095" t="inlineStr">
        <is>
          <t>El Monte</t>
        </is>
      </c>
      <c r="I1095" t="inlineStr">
        <is>
          <t>Los Angeles</t>
        </is>
      </c>
      <c r="J1095" t="inlineStr">
        <is>
          <t>Eastland Subacute And Rehabilitation Center</t>
        </is>
      </c>
    </row>
    <row r="1096">
      <c r="A1096">
        <f>--ISNUMBER(IFERROR(SEARCH($C$5,Inputs!$D1096,1),""))</f>
        <v/>
      </c>
      <c r="B1096">
        <f>IF(A1096=1,COUNTIF($A$6:A1096,1),"")</f>
        <v/>
      </c>
      <c r="C1096">
        <f>IFERROR(INDEX($D$6:$D$1750,MATCH(ROWS($B$6:B1096),$B$6:$B$1750,0)),"")</f>
        <v/>
      </c>
      <c r="D1096">
        <f>J1096&amp;" ("&amp;E1096&amp;")"</f>
        <v/>
      </c>
      <c r="E1096" t="n">
        <v>21941</v>
      </c>
      <c r="F1096" t="inlineStr">
        <is>
          <t>Skilled Nursing and Interm. Care Facility</t>
        </is>
      </c>
      <c r="G1096" t="inlineStr">
        <is>
          <t>2585 E Washington Blvd</t>
        </is>
      </c>
      <c r="H1096" t="inlineStr">
        <is>
          <t>Pasadena</t>
        </is>
      </c>
      <c r="I1096" t="inlineStr">
        <is>
          <t>Los Angeles</t>
        </is>
      </c>
      <c r="J1096" t="inlineStr">
        <is>
          <t>Pasadena Park Healthcare And Wellness Center</t>
        </is>
      </c>
    </row>
    <row r="1097">
      <c r="A1097">
        <f>--ISNUMBER(IFERROR(SEARCH($C$5,Inputs!$D1097,1),""))</f>
        <v/>
      </c>
      <c r="B1097">
        <f>IF(A1097=1,COUNTIF($A$6:A1097,1),"")</f>
        <v/>
      </c>
      <c r="C1097">
        <f>IFERROR(INDEX($D$6:$D$1750,MATCH(ROWS($B$6:B1097),$B$6:$B$1750,0)),"")</f>
        <v/>
      </c>
      <c r="D1097">
        <f>J1097&amp;" ("&amp;E1097&amp;")"</f>
        <v/>
      </c>
      <c r="E1097" t="n">
        <v>21946</v>
      </c>
      <c r="F1097" t="inlineStr">
        <is>
          <t>Skilled Nursing and Interm. Care Facility</t>
        </is>
      </c>
      <c r="G1097" t="inlineStr">
        <is>
          <t>5125 Monte Vista St</t>
        </is>
      </c>
      <c r="H1097" t="inlineStr">
        <is>
          <t>Los Angeles</t>
        </is>
      </c>
      <c r="I1097" t="inlineStr">
        <is>
          <t>Los Angeles</t>
        </is>
      </c>
      <c r="J1097" t="inlineStr">
        <is>
          <t>Highland Park Skilled Nursing &amp; Wellness Centre</t>
        </is>
      </c>
    </row>
    <row r="1098">
      <c r="A1098">
        <f>--ISNUMBER(IFERROR(SEARCH($C$5,Inputs!$D1098,1),""))</f>
        <v/>
      </c>
      <c r="B1098">
        <f>IF(A1098=1,COUNTIF($A$6:A1098,1),"")</f>
        <v/>
      </c>
      <c r="C1098">
        <f>IFERROR(INDEX($D$6:$D$1750,MATCH(ROWS($B$6:B1098),$B$6:$B$1750,0)),"")</f>
        <v/>
      </c>
      <c r="D1098">
        <f>J1098&amp;" ("&amp;E1098&amp;")"</f>
        <v/>
      </c>
      <c r="E1098" t="n">
        <v>21953</v>
      </c>
      <c r="F1098" t="inlineStr">
        <is>
          <t>Skilled Nursing and Interm. Care Facility</t>
        </is>
      </c>
      <c r="G1098" t="inlineStr">
        <is>
          <t>26303 South Western Avenue</t>
        </is>
      </c>
      <c r="H1098" t="inlineStr">
        <is>
          <t>Lomita</t>
        </is>
      </c>
      <c r="I1098" t="inlineStr">
        <is>
          <t>Los Angeles</t>
        </is>
      </c>
      <c r="J1098" t="inlineStr">
        <is>
          <t>Palos Verdes Health Care Center</t>
        </is>
      </c>
    </row>
    <row r="1099">
      <c r="A1099">
        <f>--ISNUMBER(IFERROR(SEARCH($C$5,Inputs!$D1099,1),""))</f>
        <v/>
      </c>
      <c r="B1099">
        <f>IF(A1099=1,COUNTIF($A$6:A1099,1),"")</f>
        <v/>
      </c>
      <c r="C1099">
        <f>IFERROR(INDEX($D$6:$D$1750,MATCH(ROWS($B$6:B1099),$B$6:$B$1750,0)),"")</f>
        <v/>
      </c>
      <c r="D1099">
        <f>J1099&amp;" ("&amp;E1099&amp;")"</f>
        <v/>
      </c>
      <c r="E1099" t="n">
        <v>21955</v>
      </c>
      <c r="F1099" t="inlineStr">
        <is>
          <t>Skilled Nursing and Interm. Care Facility</t>
        </is>
      </c>
      <c r="G1099" t="inlineStr">
        <is>
          <t>9300 Telegraph Rd</t>
        </is>
      </c>
      <c r="H1099" t="inlineStr">
        <is>
          <t>Downey</t>
        </is>
      </c>
      <c r="I1099" t="inlineStr">
        <is>
          <t>Los Angeles</t>
        </is>
      </c>
      <c r="J1099" t="inlineStr">
        <is>
          <t>Brookfield Healthcare Center</t>
        </is>
      </c>
    </row>
    <row r="1100">
      <c r="A1100">
        <f>--ISNUMBER(IFERROR(SEARCH($C$5,Inputs!$D1100,1),""))</f>
        <v/>
      </c>
      <c r="B1100">
        <f>IF(A1100=1,COUNTIF($A$6:A1100,1),"")</f>
        <v/>
      </c>
      <c r="C1100">
        <f>IFERROR(INDEX($D$6:$D$1750,MATCH(ROWS($B$6:B1100),$B$6:$B$1750,0)),"")</f>
        <v/>
      </c>
      <c r="D1100">
        <f>J1100&amp;" ("&amp;E1100&amp;")"</f>
        <v/>
      </c>
      <c r="E1100" t="n">
        <v>21957</v>
      </c>
      <c r="F1100" t="inlineStr">
        <is>
          <t>Skilled Nursing and Interm. Care Facility</t>
        </is>
      </c>
      <c r="G1100" t="inlineStr">
        <is>
          <t>11614 183rd St.</t>
        </is>
      </c>
      <c r="H1100" t="inlineStr">
        <is>
          <t>Artesia</t>
        </is>
      </c>
      <c r="I1100" t="inlineStr">
        <is>
          <t>Los Angeles</t>
        </is>
      </c>
      <c r="J1100" t="inlineStr">
        <is>
          <t>Artesia Christian Home Inc.</t>
        </is>
      </c>
    </row>
    <row r="1101">
      <c r="A1101">
        <f>--ISNUMBER(IFERROR(SEARCH($C$5,Inputs!$D1101,1),""))</f>
        <v/>
      </c>
      <c r="B1101">
        <f>IF(A1101=1,COUNTIF($A$6:A1101,1),"")</f>
        <v/>
      </c>
      <c r="C1101">
        <f>IFERROR(INDEX($D$6:$D$1750,MATCH(ROWS($B$6:B1101),$B$6:$B$1750,0)),"")</f>
        <v/>
      </c>
      <c r="D1101">
        <f>J1101&amp;" ("&amp;E1101&amp;")"</f>
        <v/>
      </c>
      <c r="E1101" t="n">
        <v>21961</v>
      </c>
      <c r="F1101" t="inlineStr">
        <is>
          <t>Skilled Nursing and Interm. Care Facility</t>
        </is>
      </c>
      <c r="G1101" t="inlineStr">
        <is>
          <t>7716 W Manchester Ave</t>
        </is>
      </c>
      <c r="H1101" t="inlineStr">
        <is>
          <t>Playa Del Rey</t>
        </is>
      </c>
      <c r="I1101" t="inlineStr">
        <is>
          <t>Los Angeles</t>
        </is>
      </c>
      <c r="J1101" t="inlineStr">
        <is>
          <t>Playa Del Rey Center</t>
        </is>
      </c>
    </row>
    <row r="1102">
      <c r="A1102">
        <f>--ISNUMBER(IFERROR(SEARCH($C$5,Inputs!$D1102,1),""))</f>
        <v/>
      </c>
      <c r="B1102">
        <f>IF(A1102=1,COUNTIF($A$6:A1102,1),"")</f>
        <v/>
      </c>
      <c r="C1102">
        <f>IFERROR(INDEX($D$6:$D$1750,MATCH(ROWS($B$6:B1102),$B$6:$B$1750,0)),"")</f>
        <v/>
      </c>
      <c r="D1102">
        <f>J1102&amp;" ("&amp;E1102&amp;")"</f>
        <v/>
      </c>
      <c r="E1102" t="n">
        <v>21964</v>
      </c>
      <c r="F1102" t="inlineStr">
        <is>
          <t>Skilled Nursing and Interm. Care Facility</t>
        </is>
      </c>
      <c r="G1102" t="inlineStr">
        <is>
          <t>651 N Main St</t>
        </is>
      </c>
      <c r="H1102" t="inlineStr">
        <is>
          <t>Pomona</t>
        </is>
      </c>
      <c r="I1102" t="inlineStr">
        <is>
          <t>Los Angeles</t>
        </is>
      </c>
      <c r="J1102" t="inlineStr">
        <is>
          <t>Pomona Vista Care Center</t>
        </is>
      </c>
    </row>
    <row r="1103">
      <c r="A1103">
        <f>--ISNUMBER(IFERROR(SEARCH($C$5,Inputs!$D1103,1),""))</f>
        <v/>
      </c>
      <c r="B1103">
        <f>IF(A1103=1,COUNTIF($A$6:A1103,1),"")</f>
        <v/>
      </c>
      <c r="C1103">
        <f>IFERROR(INDEX($D$6:$D$1750,MATCH(ROWS($B$6:B1103),$B$6:$B$1750,0)),"")</f>
        <v/>
      </c>
      <c r="D1103">
        <f>J1103&amp;" ("&amp;E1103&amp;")"</f>
        <v/>
      </c>
      <c r="E1103" t="n">
        <v>21965</v>
      </c>
      <c r="F1103" t="inlineStr">
        <is>
          <t>Skilled Nursing and Interm. Care Facility</t>
        </is>
      </c>
      <c r="G1103" t="inlineStr">
        <is>
          <t>215 W Pearl St</t>
        </is>
      </c>
      <c r="H1103" t="inlineStr">
        <is>
          <t>Pomona</t>
        </is>
      </c>
      <c r="I1103" t="inlineStr">
        <is>
          <t>Los Angeles</t>
        </is>
      </c>
      <c r="J1103" t="inlineStr">
        <is>
          <t>Country Oaks Care Center</t>
        </is>
      </c>
    </row>
    <row r="1104">
      <c r="A1104">
        <f>--ISNUMBER(IFERROR(SEARCH($C$5,Inputs!$D1104,1),""))</f>
        <v/>
      </c>
      <c r="B1104">
        <f>IF(A1104=1,COUNTIF($A$6:A1104,1),"")</f>
        <v/>
      </c>
      <c r="C1104">
        <f>IFERROR(INDEX($D$6:$D$1750,MATCH(ROWS($B$6:B1104),$B$6:$B$1750,0)),"")</f>
        <v/>
      </c>
      <c r="D1104">
        <f>J1104&amp;" ("&amp;E1104&amp;")"</f>
        <v/>
      </c>
      <c r="E1104" t="n">
        <v>21978</v>
      </c>
      <c r="F1104" t="inlineStr">
        <is>
          <t>Skilled Nursing and Interm. Care Facility</t>
        </is>
      </c>
      <c r="G1104" t="inlineStr">
        <is>
          <t>630 W Broadway</t>
        </is>
      </c>
      <c r="H1104" t="inlineStr">
        <is>
          <t>Glendale</t>
        </is>
      </c>
      <c r="I1104" t="inlineStr">
        <is>
          <t>Los Angeles</t>
        </is>
      </c>
      <c r="J1104" t="inlineStr">
        <is>
          <t>Royal Palms Post Acute</t>
        </is>
      </c>
    </row>
    <row r="1105">
      <c r="A1105">
        <f>--ISNUMBER(IFERROR(SEARCH($C$5,Inputs!$D1105,1),""))</f>
        <v/>
      </c>
      <c r="B1105">
        <f>IF(A1105=1,COUNTIF($A$6:A1105,1),"")</f>
        <v/>
      </c>
      <c r="C1105">
        <f>IFERROR(INDEX($D$6:$D$1750,MATCH(ROWS($B$6:B1105),$B$6:$B$1750,0)),"")</f>
        <v/>
      </c>
      <c r="D1105">
        <f>J1105&amp;" ("&amp;E1105&amp;")"</f>
        <v/>
      </c>
      <c r="E1105" t="n">
        <v>21980</v>
      </c>
      <c r="F1105" t="inlineStr">
        <is>
          <t>Skilled Nursing and Interm. Care Facility</t>
        </is>
      </c>
      <c r="G1105" t="inlineStr">
        <is>
          <t>6740 Wilbur Ave.</t>
        </is>
      </c>
      <c r="H1105" t="inlineStr">
        <is>
          <t>Reseda</t>
        </is>
      </c>
      <c r="I1105" t="inlineStr">
        <is>
          <t>Los Angeles</t>
        </is>
      </c>
      <c r="J1105" t="inlineStr">
        <is>
          <t>Parkwest Healthcare Center</t>
        </is>
      </c>
    </row>
    <row r="1106">
      <c r="A1106">
        <f>--ISNUMBER(IFERROR(SEARCH($C$5,Inputs!$D1106,1),""))</f>
        <v/>
      </c>
      <c r="B1106">
        <f>IF(A1106=1,COUNTIF($A$6:A1106,1),"")</f>
        <v/>
      </c>
      <c r="C1106">
        <f>IFERROR(INDEX($D$6:$D$1750,MATCH(ROWS($B$6:B1106),$B$6:$B$1750,0)),"")</f>
        <v/>
      </c>
      <c r="D1106">
        <f>J1106&amp;" ("&amp;E1106&amp;")"</f>
        <v/>
      </c>
      <c r="E1106" t="n">
        <v>21982</v>
      </c>
      <c r="F1106" t="inlineStr">
        <is>
          <t>Skilled Nursing and Interm. Care Facility</t>
        </is>
      </c>
      <c r="G1106" t="inlineStr">
        <is>
          <t>1640 North Fair Oaks Blvd.</t>
        </is>
      </c>
      <c r="H1106" t="inlineStr">
        <is>
          <t>Pasadena</t>
        </is>
      </c>
      <c r="I1106" t="inlineStr">
        <is>
          <t>Los Angeles</t>
        </is>
      </c>
      <c r="J1106" t="inlineStr">
        <is>
          <t>Pasadena Care Center, LLC</t>
        </is>
      </c>
    </row>
    <row r="1107">
      <c r="A1107">
        <f>--ISNUMBER(IFERROR(SEARCH($C$5,Inputs!$D1107,1),""))</f>
        <v/>
      </c>
      <c r="B1107">
        <f>IF(A1107=1,COUNTIF($A$6:A1107,1),"")</f>
        <v/>
      </c>
      <c r="C1107">
        <f>IFERROR(INDEX($D$6:$D$1750,MATCH(ROWS($B$6:B1107),$B$6:$B$1750,0)),"")</f>
        <v/>
      </c>
      <c r="D1107">
        <f>J1107&amp;" ("&amp;E1107&amp;")"</f>
        <v/>
      </c>
      <c r="E1107" t="n">
        <v>21984</v>
      </c>
      <c r="F1107" t="inlineStr">
        <is>
          <t>Skilled Nursing and Interm. Care Facility</t>
        </is>
      </c>
      <c r="G1107" t="inlineStr">
        <is>
          <t>16553 Rinaldi St</t>
        </is>
      </c>
      <c r="H1107" t="inlineStr">
        <is>
          <t>Granada Hills</t>
        </is>
      </c>
      <c r="I1107" t="inlineStr">
        <is>
          <t>Los Angeles</t>
        </is>
      </c>
      <c r="J1107" t="inlineStr">
        <is>
          <t>Rinaldi Convalescent Hospital</t>
        </is>
      </c>
    </row>
    <row r="1108">
      <c r="A1108">
        <f>--ISNUMBER(IFERROR(SEARCH($C$5,Inputs!$D1108,1),""))</f>
        <v/>
      </c>
      <c r="B1108">
        <f>IF(A1108=1,COUNTIF($A$6:A1108,1),"")</f>
        <v/>
      </c>
      <c r="C1108">
        <f>IFERROR(INDEX($D$6:$D$1750,MATCH(ROWS($B$6:B1108),$B$6:$B$1750,0)),"")</f>
        <v/>
      </c>
      <c r="D1108">
        <f>J1108&amp;" ("&amp;E1108&amp;")"</f>
        <v/>
      </c>
      <c r="E1108" t="n">
        <v>21985</v>
      </c>
      <c r="F1108" t="inlineStr">
        <is>
          <t>Skilled Nursing and Interm. Care Facility</t>
        </is>
      </c>
      <c r="G1108" t="inlineStr">
        <is>
          <t>273 E Beverly Blvd</t>
        </is>
      </c>
      <c r="H1108" t="inlineStr">
        <is>
          <t>Montebello</t>
        </is>
      </c>
      <c r="I1108" t="inlineStr">
        <is>
          <t>Los Angeles</t>
        </is>
      </c>
      <c r="J1108" t="inlineStr">
        <is>
          <t>Rio Hondo Subacute &amp; Nursing Center</t>
        </is>
      </c>
    </row>
    <row r="1109">
      <c r="A1109">
        <f>--ISNUMBER(IFERROR(SEARCH($C$5,Inputs!$D1109,1),""))</f>
        <v/>
      </c>
      <c r="B1109">
        <f>IF(A1109=1,COUNTIF($A$6:A1109,1),"")</f>
        <v/>
      </c>
      <c r="C1109">
        <f>IFERROR(INDEX($D$6:$D$1750,MATCH(ROWS($B$6:B1109),$B$6:$B$1750,0)),"")</f>
        <v/>
      </c>
      <c r="D1109">
        <f>J1109&amp;" ("&amp;E1109&amp;")"</f>
        <v/>
      </c>
      <c r="E1109" t="n">
        <v>21987</v>
      </c>
      <c r="F1109" t="inlineStr">
        <is>
          <t>Skilled Nursing and Interm. Care Facility</t>
        </is>
      </c>
      <c r="G1109" t="inlineStr">
        <is>
          <t>611 S Central Ave</t>
        </is>
      </c>
      <c r="H1109" t="inlineStr">
        <is>
          <t>Glendale</t>
        </is>
      </c>
      <c r="I1109" t="inlineStr">
        <is>
          <t>Los Angeles</t>
        </is>
      </c>
      <c r="J1109" t="inlineStr">
        <is>
          <t>Glenridge Center, #140</t>
        </is>
      </c>
    </row>
    <row r="1110">
      <c r="A1110">
        <f>--ISNUMBER(IFERROR(SEARCH($C$5,Inputs!$D1110,1),""))</f>
        <v/>
      </c>
      <c r="B1110">
        <f>IF(A1110=1,COUNTIF($A$6:A1110,1),"")</f>
        <v/>
      </c>
      <c r="C1110">
        <f>IFERROR(INDEX($D$6:$D$1750,MATCH(ROWS($B$6:B1110),$B$6:$B$1750,0)),"")</f>
        <v/>
      </c>
      <c r="D1110">
        <f>J1110&amp;" ("&amp;E1110&amp;")"</f>
        <v/>
      </c>
      <c r="E1110" t="n">
        <v>21989</v>
      </c>
      <c r="F1110" t="inlineStr">
        <is>
          <t>Skilled Nursing and Interm. Care Facility</t>
        </is>
      </c>
      <c r="G1110" t="inlineStr">
        <is>
          <t>8203 Telegraph Rd</t>
        </is>
      </c>
      <c r="H1110" t="inlineStr">
        <is>
          <t>Pico Rivera</t>
        </is>
      </c>
      <c r="I1110" t="inlineStr">
        <is>
          <t>Los Angeles</t>
        </is>
      </c>
      <c r="J1110" t="inlineStr">
        <is>
          <t>Riviera Healthcare Center</t>
        </is>
      </c>
    </row>
    <row r="1111">
      <c r="A1111">
        <f>--ISNUMBER(IFERROR(SEARCH($C$5,Inputs!$D1111,1),""))</f>
        <v/>
      </c>
      <c r="B1111">
        <f>IF(A1111=1,COUNTIF($A$6:A1111,1),"")</f>
        <v/>
      </c>
      <c r="C1111">
        <f>IFERROR(INDEX($D$6:$D$1750,MATCH(ROWS($B$6:B1111),$B$6:$B$1750,0)),"")</f>
        <v/>
      </c>
      <c r="D1111">
        <f>J1111&amp;" ("&amp;E1111&amp;")"</f>
        <v/>
      </c>
      <c r="E1111" t="n">
        <v>21996</v>
      </c>
      <c r="F1111" t="inlineStr">
        <is>
          <t>Skilled Nursing and Interm. Care Facility</t>
        </is>
      </c>
      <c r="G1111" t="inlineStr">
        <is>
          <t>250 N Verdugo Rd</t>
        </is>
      </c>
      <c r="H1111" t="inlineStr">
        <is>
          <t>Glendale</t>
        </is>
      </c>
      <c r="I1111" t="inlineStr">
        <is>
          <t>Los Angeles</t>
        </is>
      </c>
      <c r="J1111" t="inlineStr">
        <is>
          <t>Glendale Post Acute Center</t>
        </is>
      </c>
    </row>
    <row r="1112">
      <c r="A1112">
        <f>--ISNUMBER(IFERROR(SEARCH($C$5,Inputs!$D1112,1),""))</f>
        <v/>
      </c>
      <c r="B1112">
        <f>IF(A1112=1,COUNTIF($A$6:A1112,1),"")</f>
        <v/>
      </c>
      <c r="C1112">
        <f>IFERROR(INDEX($D$6:$D$1750,MATCH(ROWS($B$6:B1112),$B$6:$B$1750,0)),"")</f>
        <v/>
      </c>
      <c r="D1112">
        <f>J1112&amp;" ("&amp;E1112&amp;")"</f>
        <v/>
      </c>
      <c r="E1112" t="n">
        <v>21997</v>
      </c>
      <c r="F1112" t="inlineStr">
        <is>
          <t>Skilled Nursing and Interm. Care Facility</t>
        </is>
      </c>
      <c r="G1112" t="inlineStr">
        <is>
          <t>22520 Maple Ave</t>
        </is>
      </c>
      <c r="H1112" t="inlineStr">
        <is>
          <t>Torrance</t>
        </is>
      </c>
      <c r="I1112" t="inlineStr">
        <is>
          <t>Los Angeles</t>
        </is>
      </c>
      <c r="J1112" t="inlineStr">
        <is>
          <t>Beachside Post Acute</t>
        </is>
      </c>
    </row>
    <row r="1113">
      <c r="A1113">
        <f>--ISNUMBER(IFERROR(SEARCH($C$5,Inputs!$D1113,1),""))</f>
        <v/>
      </c>
      <c r="B1113">
        <f>IF(A1113=1,COUNTIF($A$6:A1113,1),"")</f>
        <v/>
      </c>
      <c r="C1113">
        <f>IFERROR(INDEX($D$6:$D$1750,MATCH(ROWS($B$6:B1113),$B$6:$B$1750,0)),"")</f>
        <v/>
      </c>
      <c r="D1113">
        <f>J1113&amp;" ("&amp;E1113&amp;")"</f>
        <v/>
      </c>
      <c r="E1113" t="n">
        <v>21998</v>
      </c>
      <c r="F1113" t="inlineStr">
        <is>
          <t>Skilled Nursing and Interm. Care Facility</t>
        </is>
      </c>
      <c r="G1113" t="inlineStr">
        <is>
          <t>1480 S La Cienega Blvd</t>
        </is>
      </c>
      <c r="H1113" t="inlineStr">
        <is>
          <t>Los Angeles</t>
        </is>
      </c>
      <c r="I1113" t="inlineStr">
        <is>
          <t>Los Angeles</t>
        </is>
      </c>
      <c r="J1113" t="inlineStr">
        <is>
          <t>Flower Villa, Inc.</t>
        </is>
      </c>
    </row>
    <row r="1114">
      <c r="A1114">
        <f>--ISNUMBER(IFERROR(SEARCH($C$5,Inputs!$D1114,1),""))</f>
        <v/>
      </c>
      <c r="B1114">
        <f>IF(A1114=1,COUNTIF($A$6:A1114,1),"")</f>
        <v/>
      </c>
      <c r="C1114">
        <f>IFERROR(INDEX($D$6:$D$1750,MATCH(ROWS($B$6:B1114),$B$6:$B$1750,0)),"")</f>
        <v/>
      </c>
      <c r="D1114">
        <f>J1114&amp;" ("&amp;E1114&amp;")"</f>
        <v/>
      </c>
      <c r="E1114" t="n">
        <v>22002</v>
      </c>
      <c r="F1114" t="inlineStr">
        <is>
          <t>Skilled Nursing and Interm. Care Facility</t>
        </is>
      </c>
      <c r="G1114" t="inlineStr">
        <is>
          <t>1880 Dawson Avenue</t>
        </is>
      </c>
      <c r="H1114" t="inlineStr">
        <is>
          <t>Signal Hill</t>
        </is>
      </c>
      <c r="I1114" t="inlineStr">
        <is>
          <t>Los Angeles</t>
        </is>
      </c>
      <c r="J1114" t="inlineStr">
        <is>
          <t>Courtyard Care Center</t>
        </is>
      </c>
    </row>
    <row r="1115">
      <c r="A1115">
        <f>--ISNUMBER(IFERROR(SEARCH($C$5,Inputs!$D1115,1),""))</f>
        <v/>
      </c>
      <c r="B1115">
        <f>IF(A1115=1,COUNTIF($A$6:A1115,1),"")</f>
        <v/>
      </c>
      <c r="C1115">
        <f>IFERROR(INDEX($D$6:$D$1750,MATCH(ROWS($B$6:B1115),$B$6:$B$1750,0)),"")</f>
        <v/>
      </c>
      <c r="D1115">
        <f>J1115&amp;" ("&amp;E1115&amp;")"</f>
        <v/>
      </c>
      <c r="E1115" t="n">
        <v>22005</v>
      </c>
      <c r="F1115" t="inlineStr">
        <is>
          <t>Skilled Nursing and Interm. Care Facility</t>
        </is>
      </c>
      <c r="G1115" t="inlineStr">
        <is>
          <t>2468 South St. Andrews Place</t>
        </is>
      </c>
      <c r="H1115" t="inlineStr">
        <is>
          <t>Los Angeles</t>
        </is>
      </c>
      <c r="I1115" t="inlineStr">
        <is>
          <t>Los Angeles</t>
        </is>
      </c>
      <c r="J1115" t="inlineStr">
        <is>
          <t>St. John of God Retirement and Care Center</t>
        </is>
      </c>
    </row>
    <row r="1116">
      <c r="A1116">
        <f>--ISNUMBER(IFERROR(SEARCH($C$5,Inputs!$D1116,1),""))</f>
        <v/>
      </c>
      <c r="B1116">
        <f>IF(A1116=1,COUNTIF($A$6:A1116,1),"")</f>
        <v/>
      </c>
      <c r="C1116">
        <f>IFERROR(INDEX($D$6:$D$1750,MATCH(ROWS($B$6:B1116),$B$6:$B$1750,0)),"")</f>
        <v/>
      </c>
      <c r="D1116">
        <f>J1116&amp;" ("&amp;E1116&amp;")"</f>
        <v/>
      </c>
      <c r="E1116" t="n">
        <v>22009</v>
      </c>
      <c r="F1116" t="inlineStr">
        <is>
          <t>Skilled Nursing and Interm. Care Facility</t>
        </is>
      </c>
      <c r="G1116" t="inlineStr">
        <is>
          <t>14165 Purche Ave</t>
        </is>
      </c>
      <c r="H1116" t="inlineStr">
        <is>
          <t>Gardena</t>
        </is>
      </c>
      <c r="I1116" t="inlineStr">
        <is>
          <t>Los Angeles</t>
        </is>
      </c>
      <c r="J1116" t="inlineStr">
        <is>
          <t>Las Flores Convalescent Hospital</t>
        </is>
      </c>
    </row>
    <row r="1117">
      <c r="A1117">
        <f>--ISNUMBER(IFERROR(SEARCH($C$5,Inputs!$D1117,1),""))</f>
        <v/>
      </c>
      <c r="B1117">
        <f>IF(A1117=1,COUNTIF($A$6:A1117,1),"")</f>
        <v/>
      </c>
      <c r="C1117">
        <f>IFERROR(INDEX($D$6:$D$1750,MATCH(ROWS($B$6:B1117),$B$6:$B$1750,0)),"")</f>
        <v/>
      </c>
      <c r="D1117">
        <f>J1117&amp;" ("&amp;E1117&amp;")"</f>
        <v/>
      </c>
      <c r="E1117" t="n">
        <v>22020</v>
      </c>
      <c r="F1117" t="inlineStr">
        <is>
          <t>Skilled Nursing and Interm. Care Facility</t>
        </is>
      </c>
      <c r="G1117" t="inlineStr">
        <is>
          <t>8035 Hill Drive</t>
        </is>
      </c>
      <c r="H1117" t="inlineStr">
        <is>
          <t>Rosemead</t>
        </is>
      </c>
      <c r="I1117" t="inlineStr">
        <is>
          <t>Los Angeles</t>
        </is>
      </c>
      <c r="J1117" t="inlineStr">
        <is>
          <t>San Gabriel Convalescent Center</t>
        </is>
      </c>
    </row>
    <row r="1118">
      <c r="A1118">
        <f>--ISNUMBER(IFERROR(SEARCH($C$5,Inputs!$D1118,1),""))</f>
        <v/>
      </c>
      <c r="B1118">
        <f>IF(A1118=1,COUNTIF($A$6:A1118,1),"")</f>
        <v/>
      </c>
      <c r="C1118">
        <f>IFERROR(INDEX($D$6:$D$1750,MATCH(ROWS($B$6:B1118),$B$6:$B$1750,0)),"")</f>
        <v/>
      </c>
      <c r="D1118">
        <f>J1118&amp;" ("&amp;E1118&amp;")"</f>
        <v/>
      </c>
      <c r="E1118" t="n">
        <v>22022</v>
      </c>
      <c r="F1118" t="inlineStr">
        <is>
          <t>Skilled Nursing and Interm. Care Facility</t>
        </is>
      </c>
      <c r="G1118" t="inlineStr">
        <is>
          <t>6812 N Oak Ave</t>
        </is>
      </c>
      <c r="H1118" t="inlineStr">
        <is>
          <t>San Gabriel</t>
        </is>
      </c>
      <c r="I1118" t="inlineStr">
        <is>
          <t>Los Angeles</t>
        </is>
      </c>
      <c r="J1118" t="inlineStr">
        <is>
          <t>San Marino Manor</t>
        </is>
      </c>
    </row>
    <row r="1119">
      <c r="A1119">
        <f>--ISNUMBER(IFERROR(SEARCH($C$5,Inputs!$D1119,1),""))</f>
        <v/>
      </c>
      <c r="B1119">
        <f>IF(A1119=1,COUNTIF($A$6:A1119,1),"")</f>
        <v/>
      </c>
      <c r="C1119">
        <f>IFERROR(INDEX($D$6:$D$1750,MATCH(ROWS($B$6:B1119),$B$6:$B$1750,0)),"")</f>
        <v/>
      </c>
      <c r="D1119">
        <f>J1119&amp;" ("&amp;E1119&amp;")"</f>
        <v/>
      </c>
      <c r="E1119" t="n">
        <v>22025</v>
      </c>
      <c r="F1119" t="inlineStr">
        <is>
          <t>Skilled Nursing and Interm. Care Facility</t>
        </is>
      </c>
      <c r="G1119" t="inlineStr">
        <is>
          <t>5522 Gracewood Ave.</t>
        </is>
      </c>
      <c r="H1119" t="inlineStr">
        <is>
          <t>Temple City</t>
        </is>
      </c>
      <c r="I1119" t="inlineStr">
        <is>
          <t>Los Angeles</t>
        </is>
      </c>
      <c r="J1119" t="inlineStr">
        <is>
          <t>Santa Anita Convalescent Hospital</t>
        </is>
      </c>
    </row>
    <row r="1120">
      <c r="A1120">
        <f>--ISNUMBER(IFERROR(SEARCH($C$5,Inputs!$D1120,1),""))</f>
        <v/>
      </c>
      <c r="B1120">
        <f>IF(A1120=1,COUNTIF($A$6:A1120,1),"")</f>
        <v/>
      </c>
      <c r="C1120">
        <f>IFERROR(INDEX($D$6:$D$1750,MATCH(ROWS($B$6:B1120),$B$6:$B$1750,0)),"")</f>
        <v/>
      </c>
      <c r="D1120">
        <f>J1120&amp;" ("&amp;E1120&amp;")"</f>
        <v/>
      </c>
      <c r="E1120" t="n">
        <v>22027</v>
      </c>
      <c r="F1120" t="inlineStr">
        <is>
          <t>Skilled Nursing and Interm. Care Facility</t>
        </is>
      </c>
      <c r="G1120" t="inlineStr">
        <is>
          <t>3294 Santa Fe Ave</t>
        </is>
      </c>
      <c r="H1120" t="inlineStr">
        <is>
          <t>Long Beach</t>
        </is>
      </c>
      <c r="I1120" t="inlineStr">
        <is>
          <t>Los Angeles</t>
        </is>
      </c>
      <c r="J1120" t="inlineStr">
        <is>
          <t>Beachside Post Acute</t>
        </is>
      </c>
    </row>
    <row r="1121">
      <c r="A1121">
        <f>--ISNUMBER(IFERROR(SEARCH($C$5,Inputs!$D1121,1),""))</f>
        <v/>
      </c>
      <c r="B1121">
        <f>IF(A1121=1,COUNTIF($A$6:A1121,1),"")</f>
        <v/>
      </c>
      <c r="C1121">
        <f>IFERROR(INDEX($D$6:$D$1750,MATCH(ROWS($B$6:B1121),$B$6:$B$1750,0)),"")</f>
        <v/>
      </c>
      <c r="D1121">
        <f>J1121&amp;" ("&amp;E1121&amp;")"</f>
        <v/>
      </c>
      <c r="E1121" t="n">
        <v>22031</v>
      </c>
      <c r="F1121" t="inlineStr">
        <is>
          <t>Skilled Nursing and Interm. Care Facility</t>
        </is>
      </c>
      <c r="G1121" t="inlineStr">
        <is>
          <t>1320 20th St.</t>
        </is>
      </c>
      <c r="H1121" t="inlineStr">
        <is>
          <t>Santa Monica</t>
        </is>
      </c>
      <c r="I1121" t="inlineStr">
        <is>
          <t>Los Angeles</t>
        </is>
      </c>
      <c r="J1121" t="inlineStr">
        <is>
          <t>Santa Monica Health Care Center</t>
        </is>
      </c>
    </row>
    <row r="1122">
      <c r="A1122">
        <f>--ISNUMBER(IFERROR(SEARCH($C$5,Inputs!$D1122,1),""))</f>
        <v/>
      </c>
      <c r="B1122">
        <f>IF(A1122=1,COUNTIF($A$6:A1122,1),"")</f>
        <v/>
      </c>
      <c r="C1122">
        <f>IFERROR(INDEX($D$6:$D$1750,MATCH(ROWS($B$6:B1122),$B$6:$B$1750,0)),"")</f>
        <v/>
      </c>
      <c r="D1122">
        <f>J1122&amp;" ("&amp;E1122&amp;")"</f>
        <v/>
      </c>
      <c r="E1122" t="n">
        <v>22034</v>
      </c>
      <c r="F1122" t="inlineStr">
        <is>
          <t>Skilled Nursing and Interm. Care Facility</t>
        </is>
      </c>
      <c r="G1122" t="inlineStr">
        <is>
          <t>2828 Pico Blvd</t>
        </is>
      </c>
      <c r="H1122" t="inlineStr">
        <is>
          <t>Santa Monica</t>
        </is>
      </c>
      <c r="I1122" t="inlineStr">
        <is>
          <t>Los Angeles</t>
        </is>
      </c>
      <c r="J1122" t="inlineStr">
        <is>
          <t>Ocean Park Healthcare</t>
        </is>
      </c>
    </row>
    <row r="1123">
      <c r="A1123">
        <f>--ISNUMBER(IFERROR(SEARCH($C$5,Inputs!$D1123,1),""))</f>
        <v/>
      </c>
      <c r="B1123">
        <f>IF(A1123=1,COUNTIF($A$6:A1123,1),"")</f>
        <v/>
      </c>
      <c r="C1123">
        <f>IFERROR(INDEX($D$6:$D$1750,MATCH(ROWS($B$6:B1123),$B$6:$B$1750,0)),"")</f>
        <v/>
      </c>
      <c r="D1123">
        <f>J1123&amp;" ("&amp;E1123&amp;")"</f>
        <v/>
      </c>
      <c r="E1123" t="n">
        <v>22035</v>
      </c>
      <c r="F1123" t="inlineStr">
        <is>
          <t>Skilled Nursing and Interm. Care Facility</t>
        </is>
      </c>
      <c r="G1123" t="inlineStr">
        <is>
          <t>2250 29th St.</t>
        </is>
      </c>
      <c r="H1123" t="inlineStr">
        <is>
          <t>Santa Monica</t>
        </is>
      </c>
      <c r="I1123" t="inlineStr">
        <is>
          <t>Los Angeles</t>
        </is>
      </c>
      <c r="J1123" t="inlineStr">
        <is>
          <t>Santa Monica Convalescent Center II</t>
        </is>
      </c>
    </row>
    <row r="1124">
      <c r="A1124">
        <f>--ISNUMBER(IFERROR(SEARCH($C$5,Inputs!$D1124,1),""))</f>
        <v/>
      </c>
      <c r="B1124">
        <f>IF(A1124=1,COUNTIF($A$6:A1124,1),"")</f>
        <v/>
      </c>
      <c r="C1124">
        <f>IFERROR(INDEX($D$6:$D$1750,MATCH(ROWS($B$6:B1124),$B$6:$B$1750,0)),"")</f>
        <v/>
      </c>
      <c r="D1124">
        <f>J1124&amp;" ("&amp;E1124&amp;")"</f>
        <v/>
      </c>
      <c r="E1124" t="n">
        <v>22036</v>
      </c>
      <c r="F1124" t="inlineStr">
        <is>
          <t>Skilled Nursing and Interm. Care Facility</t>
        </is>
      </c>
      <c r="G1124" t="inlineStr">
        <is>
          <t>1321 Franklin Street</t>
        </is>
      </c>
      <c r="H1124" t="inlineStr">
        <is>
          <t>Santa Monica</t>
        </is>
      </c>
      <c r="I1124" t="inlineStr">
        <is>
          <t>Los Angeles</t>
        </is>
      </c>
      <c r="J1124" t="inlineStr">
        <is>
          <t>Brentwood Health Care Center</t>
        </is>
      </c>
    </row>
    <row r="1125">
      <c r="A1125">
        <f>--ISNUMBER(IFERROR(SEARCH($C$5,Inputs!$D1125,1),""))</f>
        <v/>
      </c>
      <c r="B1125">
        <f>IF(A1125=1,COUNTIF($A$6:A1125,1),"")</f>
        <v/>
      </c>
      <c r="C1125">
        <f>IFERROR(INDEX($D$6:$D$1750,MATCH(ROWS($B$6:B1125),$B$6:$B$1750,0)),"")</f>
        <v/>
      </c>
      <c r="D1125">
        <f>J1125&amp;" ("&amp;E1125&amp;")"</f>
        <v/>
      </c>
      <c r="E1125" t="n">
        <v>22040</v>
      </c>
      <c r="F1125" t="inlineStr">
        <is>
          <t>Skilled Nursing and Interm. Care Facility</t>
        </is>
      </c>
      <c r="G1125" t="inlineStr">
        <is>
          <t>1416 W 6Th St</t>
        </is>
      </c>
      <c r="H1125" t="inlineStr">
        <is>
          <t>San Pedro</t>
        </is>
      </c>
      <c r="I1125" t="inlineStr">
        <is>
          <t>Los Angeles</t>
        </is>
      </c>
      <c r="J1125" t="inlineStr">
        <is>
          <t>Seacrest Post-Acute Care Center</t>
        </is>
      </c>
    </row>
    <row r="1126">
      <c r="A1126">
        <f>--ISNUMBER(IFERROR(SEARCH($C$5,Inputs!$D1126,1),""))</f>
        <v/>
      </c>
      <c r="B1126">
        <f>IF(A1126=1,COUNTIF($A$6:A1126,1),"")</f>
        <v/>
      </c>
      <c r="C1126">
        <f>IFERROR(INDEX($D$6:$D$1750,MATCH(ROWS($B$6:B1126),$B$6:$B$1750,0)),"")</f>
        <v/>
      </c>
      <c r="D1126">
        <f>J1126&amp;" ("&amp;E1126&amp;")"</f>
        <v/>
      </c>
      <c r="E1126" t="n">
        <v>22043</v>
      </c>
      <c r="F1126" t="inlineStr">
        <is>
          <t>Skilled Nursing and Interm. Care Facility</t>
        </is>
      </c>
      <c r="G1126" t="inlineStr">
        <is>
          <t>10158 Sunland Blvd</t>
        </is>
      </c>
      <c r="H1126" t="inlineStr">
        <is>
          <t>Sunland</t>
        </is>
      </c>
      <c r="I1126" t="inlineStr">
        <is>
          <t>Los Angeles</t>
        </is>
      </c>
      <c r="J1126" t="inlineStr">
        <is>
          <t>The Hills Healthcare Center</t>
        </is>
      </c>
    </row>
    <row r="1127">
      <c r="A1127">
        <f>--ISNUMBER(IFERROR(SEARCH($C$5,Inputs!$D1127,1),""))</f>
        <v/>
      </c>
      <c r="B1127">
        <f>IF(A1127=1,COUNTIF($A$6:A1127,1),"")</f>
        <v/>
      </c>
      <c r="C1127">
        <f>IFERROR(INDEX($D$6:$D$1750,MATCH(ROWS($B$6:B1127),$B$6:$B$1750,0)),"")</f>
        <v/>
      </c>
      <c r="D1127">
        <f>J1127&amp;" ("&amp;E1127&amp;")"</f>
        <v/>
      </c>
      <c r="E1127" t="n">
        <v>22044</v>
      </c>
      <c r="F1127" t="inlineStr">
        <is>
          <t>Skilled Nursing and Interm. Care Facility</t>
        </is>
      </c>
      <c r="G1127" t="inlineStr">
        <is>
          <t>8167 W 3rd St</t>
        </is>
      </c>
      <c r="H1127" t="inlineStr">
        <is>
          <t>Los Angeles</t>
        </is>
      </c>
      <c r="I1127" t="inlineStr">
        <is>
          <t>Los Angeles</t>
        </is>
      </c>
      <c r="J1127" t="inlineStr">
        <is>
          <t>Sharon Care Center</t>
        </is>
      </c>
    </row>
    <row r="1128">
      <c r="A1128">
        <f>--ISNUMBER(IFERROR(SEARCH($C$5,Inputs!$D1128,1),""))</f>
        <v/>
      </c>
      <c r="B1128">
        <f>IF(A1128=1,COUNTIF($A$6:A1128,1),"")</f>
        <v/>
      </c>
      <c r="C1128">
        <f>IFERROR(INDEX($D$6:$D$1750,MATCH(ROWS($B$6:B1128),$B$6:$B$1750,0)),"")</f>
        <v/>
      </c>
      <c r="D1128">
        <f>J1128&amp;" ("&amp;E1128&amp;")"</f>
        <v/>
      </c>
      <c r="E1128" t="n">
        <v>22045</v>
      </c>
      <c r="F1128" t="inlineStr">
        <is>
          <t>Skilled Nursing and Interm. Care Facility</t>
        </is>
      </c>
      <c r="G1128" t="inlineStr">
        <is>
          <t>9140 Verner Streer</t>
        </is>
      </c>
      <c r="H1128" t="inlineStr">
        <is>
          <t>Pico Rivera</t>
        </is>
      </c>
      <c r="I1128" t="inlineStr">
        <is>
          <t>Los Angeles</t>
        </is>
      </c>
      <c r="J1128" t="inlineStr">
        <is>
          <t>Pico Rivera Healthcare Center</t>
        </is>
      </c>
    </row>
    <row r="1129">
      <c r="A1129">
        <f>--ISNUMBER(IFERROR(SEARCH($C$5,Inputs!$D1129,1),""))</f>
        <v/>
      </c>
      <c r="B1129">
        <f>IF(A1129=1,COUNTIF($A$6:A1129,1),"")</f>
        <v/>
      </c>
      <c r="C1129">
        <f>IFERROR(INDEX($D$6:$D$1750,MATCH(ROWS($B$6:B1129),$B$6:$B$1750,0)),"")</f>
        <v/>
      </c>
      <c r="D1129">
        <f>J1129&amp;" ("&amp;E1129&amp;")"</f>
        <v/>
      </c>
      <c r="E1129" t="n">
        <v>22049</v>
      </c>
      <c r="F1129" t="inlineStr">
        <is>
          <t>Skilled Nursing and Interm. Care Facility</t>
        </is>
      </c>
      <c r="G1129" t="inlineStr">
        <is>
          <t>13524 Sherman Way</t>
        </is>
      </c>
      <c r="H1129" t="inlineStr">
        <is>
          <t>Van Nuys</t>
        </is>
      </c>
      <c r="I1129" t="inlineStr">
        <is>
          <t>Los Angeles</t>
        </is>
      </c>
      <c r="J1129" t="inlineStr">
        <is>
          <t>Grand Valley Health Care Center</t>
        </is>
      </c>
    </row>
    <row r="1130">
      <c r="A1130">
        <f>--ISNUMBER(IFERROR(SEARCH($C$5,Inputs!$D1130,1),""))</f>
        <v/>
      </c>
      <c r="B1130">
        <f>IF(A1130=1,COUNTIF($A$6:A1130,1),"")</f>
        <v/>
      </c>
      <c r="C1130">
        <f>IFERROR(INDEX($D$6:$D$1750,MATCH(ROWS($B$6:B1130),$B$6:$B$1750,0)),"")</f>
        <v/>
      </c>
      <c r="D1130">
        <f>J1130&amp;" ("&amp;E1130&amp;")"</f>
        <v/>
      </c>
      <c r="E1130" t="n">
        <v>22057</v>
      </c>
      <c r="F1130" t="inlineStr">
        <is>
          <t>Skilled Nursing and Interm. Care Facility</t>
        </is>
      </c>
      <c r="G1130" t="inlineStr">
        <is>
          <t>1425 Laurel Avenue</t>
        </is>
      </c>
      <c r="H1130" t="inlineStr">
        <is>
          <t>Pomona</t>
        </is>
      </c>
      <c r="I1130" t="inlineStr">
        <is>
          <t>Los Angeles</t>
        </is>
      </c>
      <c r="J1130" t="inlineStr">
        <is>
          <t>Laurel Park Behavioral Health Center</t>
        </is>
      </c>
    </row>
    <row r="1131">
      <c r="A1131">
        <f>--ISNUMBER(IFERROR(SEARCH($C$5,Inputs!$D1131,1),""))</f>
        <v/>
      </c>
      <c r="B1131">
        <f>IF(A1131=1,COUNTIF($A$6:A1131,1),"")</f>
        <v/>
      </c>
      <c r="C1131">
        <f>IFERROR(INDEX($D$6:$D$1750,MATCH(ROWS($B$6:B1131),$B$6:$B$1750,0)),"")</f>
        <v/>
      </c>
      <c r="D1131">
        <f>J1131&amp;" ("&amp;E1131&amp;")"</f>
        <v/>
      </c>
      <c r="E1131" t="n">
        <v>22061</v>
      </c>
      <c r="F1131" t="inlineStr">
        <is>
          <t>Skilled Nursing and Interm. Care Facility</t>
        </is>
      </c>
      <c r="G1131" t="inlineStr">
        <is>
          <t>2236 Merton Ave</t>
        </is>
      </c>
      <c r="H1131" t="inlineStr">
        <is>
          <t>Los Angeles</t>
        </is>
      </c>
      <c r="I1131" t="inlineStr">
        <is>
          <t>Los Angeles</t>
        </is>
      </c>
      <c r="J1131" t="inlineStr">
        <is>
          <t>Solheim Senior Community</t>
        </is>
      </c>
    </row>
    <row r="1132">
      <c r="A1132">
        <f>--ISNUMBER(IFERROR(SEARCH($C$5,Inputs!$D1132,1),""))</f>
        <v/>
      </c>
      <c r="B1132">
        <f>IF(A1132=1,COUNTIF($A$6:A1132,1),"")</f>
        <v/>
      </c>
      <c r="C1132">
        <f>IFERROR(INDEX($D$6:$D$1750,MATCH(ROWS($B$6:B1132),$B$6:$B$1750,0)),"")</f>
        <v/>
      </c>
      <c r="D1132">
        <f>J1132&amp;" ("&amp;E1132&amp;")"</f>
        <v/>
      </c>
      <c r="E1132" t="n">
        <v>22062</v>
      </c>
      <c r="F1132" t="inlineStr">
        <is>
          <t>Skilled Nursing and Interm. Care Facility</t>
        </is>
      </c>
      <c r="G1132" t="inlineStr">
        <is>
          <t>1570 N Fair Oaks Ave.</t>
        </is>
      </c>
      <c r="H1132" t="inlineStr">
        <is>
          <t>Pasadena</t>
        </is>
      </c>
      <c r="I1132" t="inlineStr">
        <is>
          <t>Los Angeles</t>
        </is>
      </c>
      <c r="J1132" t="inlineStr">
        <is>
          <t>Legacy Healthcare Center</t>
        </is>
      </c>
    </row>
    <row r="1133">
      <c r="A1133">
        <f>--ISNUMBER(IFERROR(SEARCH($C$5,Inputs!$D1133,1),""))</f>
        <v/>
      </c>
      <c r="B1133">
        <f>IF(A1133=1,COUNTIF($A$6:A1133,1),"")</f>
        <v/>
      </c>
      <c r="C1133">
        <f>IFERROR(INDEX($D$6:$D$1750,MATCH(ROWS($B$6:B1133),$B$6:$B$1750,0)),"")</f>
        <v/>
      </c>
      <c r="D1133">
        <f>J1133&amp;" ("&amp;E1133&amp;")"</f>
        <v/>
      </c>
      <c r="E1133" t="n">
        <v>22063</v>
      </c>
      <c r="F1133" t="inlineStr">
        <is>
          <t>Skilled Nursing and Interm. Care Facility</t>
        </is>
      </c>
      <c r="G1133" t="inlineStr">
        <is>
          <t>7931 Sorensen Ave</t>
        </is>
      </c>
      <c r="H1133" t="inlineStr">
        <is>
          <t>Whittier</t>
        </is>
      </c>
      <c r="I1133" t="inlineStr">
        <is>
          <t>Los Angeles</t>
        </is>
      </c>
      <c r="J1133" t="inlineStr">
        <is>
          <t>Socal Post-Acute Care</t>
        </is>
      </c>
    </row>
    <row r="1134">
      <c r="A1134">
        <f>--ISNUMBER(IFERROR(SEARCH($C$5,Inputs!$D1134,1),""))</f>
        <v/>
      </c>
      <c r="B1134">
        <f>IF(A1134=1,COUNTIF($A$6:A1134,1),"")</f>
        <v/>
      </c>
      <c r="C1134">
        <f>IFERROR(INDEX($D$6:$D$1750,MATCH(ROWS($B$6:B1134),$B$6:$B$1750,0)),"")</f>
        <v/>
      </c>
      <c r="D1134">
        <f>J1134&amp;" ("&amp;E1134&amp;")"</f>
        <v/>
      </c>
      <c r="E1134" t="n">
        <v>22072</v>
      </c>
      <c r="F1134" t="inlineStr">
        <is>
          <t>Skilled Nursing and Interm. Care Facility</t>
        </is>
      </c>
      <c r="G1134" t="inlineStr">
        <is>
          <t>904 Mission St</t>
        </is>
      </c>
      <c r="H1134" t="inlineStr">
        <is>
          <t>South Pasadena</t>
        </is>
      </c>
      <c r="I1134" t="inlineStr">
        <is>
          <t>Los Angeles</t>
        </is>
      </c>
      <c r="J1134" t="inlineStr">
        <is>
          <t>South Pasadena Care Center</t>
        </is>
      </c>
    </row>
    <row r="1135">
      <c r="A1135">
        <f>--ISNUMBER(IFERROR(SEARCH($C$5,Inputs!$D1135,1),""))</f>
        <v/>
      </c>
      <c r="B1135">
        <f>IF(A1135=1,COUNTIF($A$6:A1135,1),"")</f>
        <v/>
      </c>
      <c r="C1135">
        <f>IFERROR(INDEX($D$6:$D$1750,MATCH(ROWS($B$6:B1135),$B$6:$B$1750,0)),"")</f>
        <v/>
      </c>
      <c r="D1135">
        <f>J1135&amp;" ("&amp;E1135&amp;")"</f>
        <v/>
      </c>
      <c r="E1135" t="n">
        <v>22078</v>
      </c>
      <c r="F1135" t="inlineStr">
        <is>
          <t>Skilled Nursing and Interm. Care Facility</t>
        </is>
      </c>
      <c r="G1135" t="inlineStr">
        <is>
          <t>11701 Studebaker Road</t>
        </is>
      </c>
      <c r="H1135" t="inlineStr">
        <is>
          <t>Norwalk</t>
        </is>
      </c>
      <c r="I1135" t="inlineStr">
        <is>
          <t>Los Angeles</t>
        </is>
      </c>
      <c r="J1135" t="inlineStr">
        <is>
          <t>Southland</t>
        </is>
      </c>
    </row>
    <row r="1136">
      <c r="A1136">
        <f>--ISNUMBER(IFERROR(SEARCH($C$5,Inputs!$D1136,1),""))</f>
        <v/>
      </c>
      <c r="B1136">
        <f>IF(A1136=1,COUNTIF($A$6:A1136,1),"")</f>
        <v/>
      </c>
      <c r="C1136">
        <f>IFERROR(INDEX($D$6:$D$1750,MATCH(ROWS($B$6:B1136),$B$6:$B$1750,0)),"")</f>
        <v/>
      </c>
      <c r="D1136">
        <f>J1136&amp;" ("&amp;E1136&amp;")"</f>
        <v/>
      </c>
      <c r="E1136" t="n">
        <v>22087</v>
      </c>
      <c r="F1136" t="inlineStr">
        <is>
          <t>Skilled Nursing and Interm. Care Facility</t>
        </is>
      </c>
      <c r="G1136" t="inlineStr">
        <is>
          <t>527 S Valinda Ave</t>
        </is>
      </c>
      <c r="H1136" t="inlineStr">
        <is>
          <t>West Covina</t>
        </is>
      </c>
      <c r="I1136" t="inlineStr">
        <is>
          <t>Los Angeles</t>
        </is>
      </c>
      <c r="J1136" t="inlineStr">
        <is>
          <t>Clara Baldwin Stocker Home For Women</t>
        </is>
      </c>
    </row>
    <row r="1137">
      <c r="A1137">
        <f>--ISNUMBER(IFERROR(SEARCH($C$5,Inputs!$D1137,1),""))</f>
        <v/>
      </c>
      <c r="B1137">
        <f>IF(A1137=1,COUNTIF($A$6:A1137,1),"")</f>
        <v/>
      </c>
      <c r="C1137">
        <f>IFERROR(INDEX($D$6:$D$1750,MATCH(ROWS($B$6:B1137),$B$6:$B$1750,0)),"")</f>
        <v/>
      </c>
      <c r="D1137">
        <f>J1137&amp;" ("&amp;E1137&amp;")"</f>
        <v/>
      </c>
      <c r="E1137" t="n">
        <v>22089</v>
      </c>
      <c r="F1137" t="inlineStr">
        <is>
          <t>Skilled Nursing and Interm. Care Facility</t>
        </is>
      </c>
      <c r="G1137" t="inlineStr">
        <is>
          <t>11429 Ventura Blvd</t>
        </is>
      </c>
      <c r="H1137" t="inlineStr">
        <is>
          <t>Studio City</t>
        </is>
      </c>
      <c r="I1137" t="inlineStr">
        <is>
          <t>Los Angeles</t>
        </is>
      </c>
      <c r="J1137" t="inlineStr">
        <is>
          <t>Studio City Rehabilitation Center</t>
        </is>
      </c>
    </row>
    <row r="1138">
      <c r="A1138">
        <f>--ISNUMBER(IFERROR(SEARCH($C$5,Inputs!$D1138,1),""))</f>
        <v/>
      </c>
      <c r="B1138">
        <f>IF(A1138=1,COUNTIF($A$6:A1138,1),"")</f>
        <v/>
      </c>
      <c r="C1138">
        <f>IFERROR(INDEX($D$6:$D$1750,MATCH(ROWS($B$6:B1138),$B$6:$B$1750,0)),"")</f>
        <v/>
      </c>
      <c r="D1138">
        <f>J1138&amp;" ("&amp;E1138&amp;")"</f>
        <v/>
      </c>
      <c r="E1138" t="n">
        <v>22091</v>
      </c>
      <c r="F1138" t="inlineStr">
        <is>
          <t>Skilled Nursing and Interm. Care Facility</t>
        </is>
      </c>
      <c r="G1138" t="inlineStr">
        <is>
          <t>3210 W Pico Blvd</t>
        </is>
      </c>
      <c r="H1138" t="inlineStr">
        <is>
          <t>Los Angeles</t>
        </is>
      </c>
      <c r="I1138" t="inlineStr">
        <is>
          <t>Los Angeles</t>
        </is>
      </c>
      <c r="J1138" t="inlineStr">
        <is>
          <t>Sunray Healthcare Center</t>
        </is>
      </c>
    </row>
    <row r="1139">
      <c r="A1139">
        <f>--ISNUMBER(IFERROR(SEARCH($C$5,Inputs!$D1139,1),""))</f>
        <v/>
      </c>
      <c r="B1139">
        <f>IF(A1139=1,COUNTIF($A$6:A1139,1),"")</f>
        <v/>
      </c>
      <c r="C1139">
        <f>IFERROR(INDEX($D$6:$D$1750,MATCH(ROWS($B$6:B1139),$B$6:$B$1750,0)),"")</f>
        <v/>
      </c>
      <c r="D1139">
        <f>J1139&amp;" ("&amp;E1139&amp;")"</f>
        <v/>
      </c>
      <c r="E1139" t="n">
        <v>22092</v>
      </c>
      <c r="F1139" t="inlineStr">
        <is>
          <t>Skilled Nursing and Interm. Care Facility</t>
        </is>
      </c>
      <c r="G1139" t="inlineStr">
        <is>
          <t>3233 W Pico Blvd</t>
        </is>
      </c>
      <c r="H1139" t="inlineStr">
        <is>
          <t>Los Angeles</t>
        </is>
      </c>
      <c r="I1139" t="inlineStr">
        <is>
          <t>Los Angeles</t>
        </is>
      </c>
      <c r="J1139" t="inlineStr">
        <is>
          <t>Country Villa North Convalescent Center</t>
        </is>
      </c>
    </row>
    <row r="1140">
      <c r="A1140">
        <f>--ISNUMBER(IFERROR(SEARCH($C$5,Inputs!$D1140,1),""))</f>
        <v/>
      </c>
      <c r="B1140">
        <f>IF(A1140=1,COUNTIF($A$6:A1140,1),"")</f>
        <v/>
      </c>
      <c r="C1140">
        <f>IFERROR(INDEX($D$6:$D$1750,MATCH(ROWS($B$6:B1140),$B$6:$B$1750,0)),"")</f>
        <v/>
      </c>
      <c r="D1140">
        <f>J1140&amp;" ("&amp;E1140&amp;")"</f>
        <v/>
      </c>
      <c r="E1140" t="n">
        <v>22096</v>
      </c>
      <c r="F1140" t="inlineStr">
        <is>
          <t>Skilled Nursing and Interm. Care Facility</t>
        </is>
      </c>
      <c r="G1140" t="inlineStr">
        <is>
          <t>10625 Leffingwell Rd</t>
        </is>
      </c>
      <c r="H1140" t="inlineStr">
        <is>
          <t>Norwalk</t>
        </is>
      </c>
      <c r="I1140" t="inlineStr">
        <is>
          <t>Los Angeles</t>
        </is>
      </c>
      <c r="J1140" t="inlineStr">
        <is>
          <t>Norwalk Meadows Nursing Center</t>
        </is>
      </c>
    </row>
    <row r="1141">
      <c r="A1141">
        <f>--ISNUMBER(IFERROR(SEARCH($C$5,Inputs!$D1141,1),""))</f>
        <v/>
      </c>
      <c r="B1141">
        <f>IF(A1141=1,COUNTIF($A$6:A1141,1),"")</f>
        <v/>
      </c>
      <c r="C1141">
        <f>IFERROR(INDEX($D$6:$D$1750,MATCH(ROWS($B$6:B1141),$B$6:$B$1750,0)),"")</f>
        <v/>
      </c>
      <c r="D1141">
        <f>J1141&amp;" ("&amp;E1141&amp;")"</f>
        <v/>
      </c>
      <c r="E1141" t="n">
        <v>22099</v>
      </c>
      <c r="F1141" t="inlineStr">
        <is>
          <t>Skilled Nursing and Interm. Care Facility</t>
        </is>
      </c>
      <c r="G1141" t="inlineStr">
        <is>
          <t>261 West Badillo Street</t>
        </is>
      </c>
      <c r="H1141" t="inlineStr">
        <is>
          <t>Covina</t>
        </is>
      </c>
      <c r="I1141" t="inlineStr">
        <is>
          <t>Los Angeles</t>
        </is>
      </c>
      <c r="J1141" t="inlineStr">
        <is>
          <t>Covina Rehabilitation Center</t>
        </is>
      </c>
    </row>
    <row r="1142">
      <c r="A1142">
        <f>--ISNUMBER(IFERROR(SEARCH($C$5,Inputs!$D1142,1),""))</f>
        <v/>
      </c>
      <c r="B1142">
        <f>IF(A1142=1,COUNTIF($A$6:A1142,1),"")</f>
        <v/>
      </c>
      <c r="C1142">
        <f>IFERROR(INDEX($D$6:$D$1750,MATCH(ROWS($B$6:B1142),$B$6:$B$1750,0)),"")</f>
        <v/>
      </c>
      <c r="D1142">
        <f>J1142&amp;" ("&amp;E1142&amp;")"</f>
        <v/>
      </c>
      <c r="E1142" t="n">
        <v>22100</v>
      </c>
      <c r="F1142" t="inlineStr">
        <is>
          <t>Skilled Nursing and Interm. Care Facility</t>
        </is>
      </c>
      <c r="G1142" t="inlineStr">
        <is>
          <t>1201 Walnut Avenue</t>
        </is>
      </c>
      <c r="H1142" t="inlineStr">
        <is>
          <t>Long Beach</t>
        </is>
      </c>
      <c r="I1142" t="inlineStr">
        <is>
          <t>Los Angeles</t>
        </is>
      </c>
      <c r="J1142" t="inlineStr">
        <is>
          <t>Long Beach Post Acute</t>
        </is>
      </c>
    </row>
    <row r="1143">
      <c r="A1143">
        <f>--ISNUMBER(IFERROR(SEARCH($C$5,Inputs!$D1143,1),""))</f>
        <v/>
      </c>
      <c r="B1143">
        <f>IF(A1143=1,COUNTIF($A$6:A1143,1),"")</f>
        <v/>
      </c>
      <c r="C1143">
        <f>IFERROR(INDEX($D$6:$D$1750,MATCH(ROWS($B$6:B1143),$B$6:$B$1750,0)),"")</f>
        <v/>
      </c>
      <c r="D1143">
        <f>J1143&amp;" ("&amp;E1143&amp;")"</f>
        <v/>
      </c>
      <c r="E1143" t="n">
        <v>22101</v>
      </c>
      <c r="F1143" t="inlineStr">
        <is>
          <t>Skilled Nursing and Interm. Care Facility</t>
        </is>
      </c>
      <c r="G1143" t="inlineStr">
        <is>
          <t>22035 S Vermont Ave</t>
        </is>
      </c>
      <c r="H1143" t="inlineStr">
        <is>
          <t>Torrance</t>
        </is>
      </c>
      <c r="I1143" t="inlineStr">
        <is>
          <t>Los Angeles</t>
        </is>
      </c>
      <c r="J1143" t="inlineStr">
        <is>
          <t>Vermont Healthcare Center</t>
        </is>
      </c>
    </row>
    <row r="1144">
      <c r="A1144">
        <f>--ISNUMBER(IFERROR(SEARCH($C$5,Inputs!$D1144,1),""))</f>
        <v/>
      </c>
      <c r="B1144">
        <f>IF(A1144=1,COUNTIF($A$6:A1144,1),"")</f>
        <v/>
      </c>
      <c r="C1144">
        <f>IFERROR(INDEX($D$6:$D$1750,MATCH(ROWS($B$6:B1144),$B$6:$B$1750,0)),"")</f>
        <v/>
      </c>
      <c r="D1144">
        <f>J1144&amp;" ("&amp;E1144&amp;")"</f>
        <v/>
      </c>
      <c r="E1144" t="n">
        <v>22102</v>
      </c>
      <c r="F1144" t="inlineStr">
        <is>
          <t>Skilled Nursing and Interm. Care Facility</t>
        </is>
      </c>
      <c r="G1144" t="inlineStr">
        <is>
          <t>9655 Sepulveda Boulevard</t>
        </is>
      </c>
      <c r="H1144" t="inlineStr">
        <is>
          <t>Sepulveda</t>
        </is>
      </c>
      <c r="I1144" t="inlineStr">
        <is>
          <t>Los Angeles</t>
        </is>
      </c>
      <c r="J1144" t="inlineStr">
        <is>
          <t>Country Villa Sheraton Nursing And Rehab. Center</t>
        </is>
      </c>
    </row>
    <row r="1145">
      <c r="A1145">
        <f>--ISNUMBER(IFERROR(SEARCH($C$5,Inputs!$D1145,1),""))</f>
        <v/>
      </c>
      <c r="B1145">
        <f>IF(A1145=1,COUNTIF($A$6:A1145,1),"")</f>
        <v/>
      </c>
      <c r="C1145">
        <f>IFERROR(INDEX($D$6:$D$1750,MATCH(ROWS($B$6:B1145),$B$6:$B$1750,0)),"")</f>
        <v/>
      </c>
      <c r="D1145">
        <f>J1145&amp;" ("&amp;E1145&amp;")"</f>
        <v/>
      </c>
      <c r="E1145" t="n">
        <v>22106</v>
      </c>
      <c r="F1145" t="inlineStr">
        <is>
          <t>Skilled Nursing and Interm. Care Facility</t>
        </is>
      </c>
      <c r="G1145" t="inlineStr">
        <is>
          <t>2720 Nevada Ave</t>
        </is>
      </c>
      <c r="H1145" t="inlineStr">
        <is>
          <t>El Monte</t>
        </is>
      </c>
      <c r="I1145" t="inlineStr">
        <is>
          <t>Los Angeles</t>
        </is>
      </c>
      <c r="J1145" t="inlineStr">
        <is>
          <t>Sunset Manor Convalescent Hospital</t>
        </is>
      </c>
    </row>
    <row r="1146">
      <c r="A1146">
        <f>--ISNUMBER(IFERROR(SEARCH($C$5,Inputs!$D1146,1),""))</f>
        <v/>
      </c>
      <c r="B1146">
        <f>IF(A1146=1,COUNTIF($A$6:A1146,1),"")</f>
        <v/>
      </c>
      <c r="C1146">
        <f>IFERROR(INDEX($D$6:$D$1750,MATCH(ROWS($B$6:B1146),$B$6:$B$1750,0)),"")</f>
        <v/>
      </c>
      <c r="D1146">
        <f>J1146&amp;" ("&amp;E1146&amp;")"</f>
        <v/>
      </c>
      <c r="E1146" t="n">
        <v>22107</v>
      </c>
      <c r="F1146" t="inlineStr">
        <is>
          <t>Skilled Nursing and Interm. Care Facility</t>
        </is>
      </c>
      <c r="G1146" t="inlineStr">
        <is>
          <t>8835 Vans St</t>
        </is>
      </c>
      <c r="H1146" t="inlineStr">
        <is>
          <t>Paramount</t>
        </is>
      </c>
      <c r="I1146" t="inlineStr">
        <is>
          <t>Los Angeles</t>
        </is>
      </c>
      <c r="J1146" t="inlineStr">
        <is>
          <t>La Paz Geropsychiatric Center</t>
        </is>
      </c>
    </row>
    <row r="1147">
      <c r="A1147">
        <f>--ISNUMBER(IFERROR(SEARCH($C$5,Inputs!$D1147,1),""))</f>
        <v/>
      </c>
      <c r="B1147">
        <f>IF(A1147=1,COUNTIF($A$6:A1147,1),"")</f>
        <v/>
      </c>
      <c r="C1147">
        <f>IFERROR(INDEX($D$6:$D$1750,MATCH(ROWS($B$6:B1147),$B$6:$B$1750,0)),"")</f>
        <v/>
      </c>
      <c r="D1147">
        <f>J1147&amp;" ("&amp;E1147&amp;")"</f>
        <v/>
      </c>
      <c r="E1147" t="n">
        <v>22110</v>
      </c>
      <c r="F1147" t="inlineStr">
        <is>
          <t>Skilled Nursing and Interm. Care Facility</t>
        </is>
      </c>
      <c r="G1147" t="inlineStr">
        <is>
          <t>4585 N Figueroa St</t>
        </is>
      </c>
      <c r="H1147" t="inlineStr">
        <is>
          <t>Los Angeles</t>
        </is>
      </c>
      <c r="I1147" t="inlineStr">
        <is>
          <t>Los Angeles</t>
        </is>
      </c>
      <c r="J1147" t="inlineStr">
        <is>
          <t>Montecito Heights Healthcare &amp; Wellness Centre, LP</t>
        </is>
      </c>
    </row>
    <row r="1148">
      <c r="A1148">
        <f>--ISNUMBER(IFERROR(SEARCH($C$5,Inputs!$D1148,1),""))</f>
        <v/>
      </c>
      <c r="B1148">
        <f>IF(A1148=1,COUNTIF($A$6:A1148,1),"")</f>
        <v/>
      </c>
      <c r="C1148">
        <f>IFERROR(INDEX($D$6:$D$1750,MATCH(ROWS($B$6:B1148),$B$6:$B$1750,0)),"")</f>
        <v/>
      </c>
      <c r="D1148">
        <f>J1148&amp;" ("&amp;E1148&amp;")"</f>
        <v/>
      </c>
      <c r="E1148" t="n">
        <v>22111</v>
      </c>
      <c r="F1148" t="inlineStr">
        <is>
          <t>Skilled Nursing and Interm. Care Facility</t>
        </is>
      </c>
      <c r="G1148" t="inlineStr">
        <is>
          <t>5101 Tyler Ave</t>
        </is>
      </c>
      <c r="H1148" t="inlineStr">
        <is>
          <t>Temple City</t>
        </is>
      </c>
      <c r="I1148" t="inlineStr">
        <is>
          <t>Los Angeles</t>
        </is>
      </c>
      <c r="J1148" t="inlineStr">
        <is>
          <t>Temple City Healthcare</t>
        </is>
      </c>
    </row>
    <row r="1149">
      <c r="A1149">
        <f>--ISNUMBER(IFERROR(SEARCH($C$5,Inputs!$D1149,1),""))</f>
        <v/>
      </c>
      <c r="B1149">
        <f>IF(A1149=1,COUNTIF($A$6:A1149,1),"")</f>
        <v/>
      </c>
      <c r="C1149">
        <f>IFERROR(INDEX($D$6:$D$1750,MATCH(ROWS($B$6:B1149),$B$6:$B$1750,0)),"")</f>
        <v/>
      </c>
      <c r="D1149">
        <f>J1149&amp;" ("&amp;E1149&amp;")"</f>
        <v/>
      </c>
      <c r="E1149" t="n">
        <v>22113</v>
      </c>
      <c r="F1149" t="inlineStr">
        <is>
          <t>Skilled Nursing and Interm. Care Facility</t>
        </is>
      </c>
      <c r="G1149" t="inlineStr">
        <is>
          <t>10425 Magnolia Blvd</t>
        </is>
      </c>
      <c r="H1149" t="inlineStr">
        <is>
          <t>North Hollywood</t>
        </is>
      </c>
      <c r="I1149" t="inlineStr">
        <is>
          <t>Los Angeles</t>
        </is>
      </c>
      <c r="J1149" t="inlineStr">
        <is>
          <t>Providence St. Elizabeth Care Center</t>
        </is>
      </c>
    </row>
    <row r="1150">
      <c r="A1150">
        <f>--ISNUMBER(IFERROR(SEARCH($C$5,Inputs!$D1150,1),""))</f>
        <v/>
      </c>
      <c r="B1150">
        <f>IF(A1150=1,COUNTIF($A$6:A1150,1),"")</f>
        <v/>
      </c>
      <c r="C1150">
        <f>IFERROR(INDEX($D$6:$D$1750,MATCH(ROWS($B$6:B1150),$B$6:$B$1750,0)),"")</f>
        <v/>
      </c>
      <c r="D1150">
        <f>J1150&amp;" ("&amp;E1150&amp;")"</f>
        <v/>
      </c>
      <c r="E1150" t="n">
        <v>22118</v>
      </c>
      <c r="F1150" t="inlineStr">
        <is>
          <t>Skilled Nursing and Interm. Care Facility</t>
        </is>
      </c>
      <c r="G1150" t="inlineStr">
        <is>
          <t>2351 S Towne Ave</t>
        </is>
      </c>
      <c r="H1150" t="inlineStr">
        <is>
          <t>Pomona</t>
        </is>
      </c>
      <c r="I1150" t="inlineStr">
        <is>
          <t>Los Angeles</t>
        </is>
      </c>
      <c r="J1150" t="inlineStr">
        <is>
          <t>Chino Valley Health Care Center</t>
        </is>
      </c>
    </row>
    <row r="1151">
      <c r="A1151">
        <f>--ISNUMBER(IFERROR(SEARCH($C$5,Inputs!$D1151,1),""))</f>
        <v/>
      </c>
      <c r="B1151">
        <f>IF(A1151=1,COUNTIF($A$6:A1151,1),"")</f>
        <v/>
      </c>
      <c r="C1151">
        <f>IFERROR(INDEX($D$6:$D$1750,MATCH(ROWS($B$6:B1151),$B$6:$B$1750,0)),"")</f>
        <v/>
      </c>
      <c r="D1151">
        <f>J1151&amp;" ("&amp;E1151&amp;")"</f>
        <v/>
      </c>
      <c r="E1151" t="n">
        <v>22121</v>
      </c>
      <c r="F1151" t="inlineStr">
        <is>
          <t>Skilled Nursing and Interm. Care Facility</t>
        </is>
      </c>
      <c r="G1151" t="inlineStr">
        <is>
          <t>14475 Garden View Ln</t>
        </is>
      </c>
      <c r="H1151" t="inlineStr">
        <is>
          <t>Baldwin Park</t>
        </is>
      </c>
      <c r="I1151" t="inlineStr">
        <is>
          <t>Los Angeles</t>
        </is>
      </c>
      <c r="J1151" t="inlineStr">
        <is>
          <t>Garden View Post-Acute Rehabilitation</t>
        </is>
      </c>
    </row>
    <row r="1152">
      <c r="A1152">
        <f>--ISNUMBER(IFERROR(SEARCH($C$5,Inputs!$D1152,1),""))</f>
        <v/>
      </c>
      <c r="B1152">
        <f>IF(A1152=1,COUNTIF($A$6:A1152,1),"")</f>
        <v/>
      </c>
      <c r="C1152">
        <f>IFERROR(INDEX($D$6:$D$1750,MATCH(ROWS($B$6:B1152),$B$6:$B$1750,0)),"")</f>
        <v/>
      </c>
      <c r="D1152">
        <f>J1152&amp;" ("&amp;E1152&amp;")"</f>
        <v/>
      </c>
      <c r="E1152" t="n">
        <v>22125</v>
      </c>
      <c r="F1152" t="inlineStr">
        <is>
          <t>Skilled Nursing and Interm. Care Facility</t>
        </is>
      </c>
      <c r="G1152" t="inlineStr">
        <is>
          <t>11900 Artesia Blvd</t>
        </is>
      </c>
      <c r="H1152" t="inlineStr">
        <is>
          <t>Artesia</t>
        </is>
      </c>
      <c r="I1152" t="inlineStr">
        <is>
          <t>Los Angeles</t>
        </is>
      </c>
      <c r="J1152" t="inlineStr">
        <is>
          <t>Windsor Palms Care Center Of Artesia</t>
        </is>
      </c>
    </row>
    <row r="1153">
      <c r="A1153">
        <f>--ISNUMBER(IFERROR(SEARCH($C$5,Inputs!$D1153,1),""))</f>
        <v/>
      </c>
      <c r="B1153">
        <f>IF(A1153=1,COUNTIF($A$6:A1153,1),"")</f>
        <v/>
      </c>
      <c r="C1153">
        <f>IFERROR(INDEX($D$6:$D$1750,MATCH(ROWS($B$6:B1153),$B$6:$B$1750,0)),"")</f>
        <v/>
      </c>
      <c r="D1153">
        <f>J1153&amp;" ("&amp;E1153&amp;")"</f>
        <v/>
      </c>
      <c r="E1153" t="n">
        <v>22134</v>
      </c>
      <c r="F1153" t="inlineStr">
        <is>
          <t>Skilled Nursing and Interm. Care Facility</t>
        </is>
      </c>
      <c r="G1153" t="inlineStr">
        <is>
          <t>2339 W Valley Blvd</t>
        </is>
      </c>
      <c r="H1153" t="inlineStr">
        <is>
          <t>Alhambra</t>
        </is>
      </c>
      <c r="I1153" t="inlineStr">
        <is>
          <t>Los Angeles</t>
        </is>
      </c>
      <c r="J1153" t="inlineStr">
        <is>
          <t>Royal Gardens Healthcare</t>
        </is>
      </c>
    </row>
    <row r="1154">
      <c r="A1154">
        <f>--ISNUMBER(IFERROR(SEARCH($C$5,Inputs!$D1154,1),""))</f>
        <v/>
      </c>
      <c r="B1154">
        <f>IF(A1154=1,COUNTIF($A$6:A1154,1),"")</f>
        <v/>
      </c>
      <c r="C1154">
        <f>IFERROR(INDEX($D$6:$D$1750,MATCH(ROWS($B$6:B1154),$B$6:$B$1750,0)),"")</f>
        <v/>
      </c>
      <c r="D1154">
        <f>J1154&amp;" ("&amp;E1154&amp;")"</f>
        <v/>
      </c>
      <c r="E1154" t="n">
        <v>22136</v>
      </c>
      <c r="F1154" t="inlineStr">
        <is>
          <t>Skilled Nursing and Interm. Care Facility</t>
        </is>
      </c>
      <c r="G1154" t="inlineStr">
        <is>
          <t>1642 W Avenue J</t>
        </is>
      </c>
      <c r="H1154" t="inlineStr">
        <is>
          <t>Lancaster</t>
        </is>
      </c>
      <c r="I1154" t="inlineStr">
        <is>
          <t>Los Angeles</t>
        </is>
      </c>
      <c r="J1154" t="inlineStr">
        <is>
          <t>Desert Canyon Post Acute, LLC</t>
        </is>
      </c>
    </row>
    <row r="1155">
      <c r="A1155">
        <f>--ISNUMBER(IFERROR(SEARCH($C$5,Inputs!$D1155,1),""))</f>
        <v/>
      </c>
      <c r="B1155">
        <f>IF(A1155=1,COUNTIF($A$6:A1155,1),"")</f>
        <v/>
      </c>
      <c r="C1155">
        <f>IFERROR(INDEX($D$6:$D$1750,MATCH(ROWS($B$6:B1155),$B$6:$B$1750,0)),"")</f>
        <v/>
      </c>
      <c r="D1155">
        <f>J1155&amp;" ("&amp;E1155&amp;")"</f>
        <v/>
      </c>
      <c r="E1155" t="n">
        <v>22139</v>
      </c>
      <c r="F1155" t="inlineStr">
        <is>
          <t>Skilled Nursing and Interm. Care Facility</t>
        </is>
      </c>
      <c r="G1155" t="inlineStr">
        <is>
          <t>13400 Sherman Way</t>
        </is>
      </c>
      <c r="H1155" t="inlineStr">
        <is>
          <t>North Hollywood</t>
        </is>
      </c>
      <c r="I1155" t="inlineStr">
        <is>
          <t>Los Angeles</t>
        </is>
      </c>
      <c r="J1155" t="inlineStr">
        <is>
          <t>Valley Palms Care Center</t>
        </is>
      </c>
    </row>
    <row r="1156">
      <c r="A1156">
        <f>--ISNUMBER(IFERROR(SEARCH($C$5,Inputs!$D1156,1),""))</f>
        <v/>
      </c>
      <c r="B1156">
        <f>IF(A1156=1,COUNTIF($A$6:A1156,1),"")</f>
        <v/>
      </c>
      <c r="C1156">
        <f>IFERROR(INDEX($D$6:$D$1750,MATCH(ROWS($B$6:B1156),$B$6:$B$1750,0)),"")</f>
        <v/>
      </c>
      <c r="D1156">
        <f>J1156&amp;" ("&amp;E1156&amp;")"</f>
        <v/>
      </c>
      <c r="E1156" t="n">
        <v>22148</v>
      </c>
      <c r="F1156" t="inlineStr">
        <is>
          <t>Skilled Nursing and Interm. Care Facility</t>
        </is>
      </c>
      <c r="G1156" t="inlineStr">
        <is>
          <t>1037 W Vernon Ave</t>
        </is>
      </c>
      <c r="H1156" t="inlineStr">
        <is>
          <t>Los Angeles</t>
        </is>
      </c>
      <c r="I1156" t="inlineStr">
        <is>
          <t>Los Angeles</t>
        </is>
      </c>
      <c r="J1156" t="inlineStr">
        <is>
          <t>Vernon Healthcare Center</t>
        </is>
      </c>
    </row>
    <row r="1157">
      <c r="A1157">
        <f>--ISNUMBER(IFERROR(SEARCH($C$5,Inputs!$D1157,1),""))</f>
        <v/>
      </c>
      <c r="B1157">
        <f>IF(A1157=1,COUNTIF($A$6:A1157,1),"")</f>
        <v/>
      </c>
      <c r="C1157">
        <f>IFERROR(INDEX($D$6:$D$1750,MATCH(ROWS($B$6:B1157),$B$6:$B$1750,0)),"")</f>
        <v/>
      </c>
      <c r="D1157">
        <f>J1157&amp;" ("&amp;E1157&amp;")"</f>
        <v/>
      </c>
      <c r="E1157" t="n">
        <v>22150</v>
      </c>
      <c r="F1157" t="inlineStr">
        <is>
          <t>Skilled Nursing and Interm. Care Facility</t>
        </is>
      </c>
      <c r="G1157" t="inlineStr">
        <is>
          <t>3050 Montrose Ave</t>
        </is>
      </c>
      <c r="H1157" t="inlineStr">
        <is>
          <t>La Crescenta</t>
        </is>
      </c>
      <c r="I1157" t="inlineStr">
        <is>
          <t>Los Angeles</t>
        </is>
      </c>
      <c r="J1157" t="inlineStr">
        <is>
          <t>La Crescenta Healthcare Center</t>
        </is>
      </c>
    </row>
    <row r="1158">
      <c r="A1158">
        <f>--ISNUMBER(IFERROR(SEARCH($C$5,Inputs!$D1158,1),""))</f>
        <v/>
      </c>
      <c r="B1158">
        <f>IF(A1158=1,COUNTIF($A$6:A1158,1),"")</f>
        <v/>
      </c>
      <c r="C1158">
        <f>IFERROR(INDEX($D$6:$D$1750,MATCH(ROWS($B$6:B1158),$B$6:$B$1750,0)),"")</f>
        <v/>
      </c>
      <c r="D1158">
        <f>J1158&amp;" ("&amp;E1158&amp;")"</f>
        <v/>
      </c>
      <c r="E1158" t="n">
        <v>22151</v>
      </c>
      <c r="F1158" t="inlineStr">
        <is>
          <t>Skilled Nursing and Interm. Care Facility</t>
        </is>
      </c>
      <c r="G1158" t="inlineStr">
        <is>
          <t>13000 Victory Blvd</t>
        </is>
      </c>
      <c r="H1158" t="inlineStr">
        <is>
          <t>North Hollywood</t>
        </is>
      </c>
      <c r="I1158" t="inlineStr">
        <is>
          <t>Los Angeles</t>
        </is>
      </c>
      <c r="J1158" t="inlineStr">
        <is>
          <t>Valley Village Care Center</t>
        </is>
      </c>
    </row>
    <row r="1159">
      <c r="A1159">
        <f>--ISNUMBER(IFERROR(SEARCH($C$5,Inputs!$D1159,1),""))</f>
        <v/>
      </c>
      <c r="B1159">
        <f>IF(A1159=1,COUNTIF($A$6:A1159,1),"")</f>
        <v/>
      </c>
      <c r="C1159">
        <f>IFERROR(INDEX($D$6:$D$1750,MATCH(ROWS($B$6:B1159),$B$6:$B$1750,0)),"")</f>
        <v/>
      </c>
      <c r="D1159">
        <f>J1159&amp;" ("&amp;E1159&amp;")"</f>
        <v/>
      </c>
      <c r="E1159" t="n">
        <v>22153</v>
      </c>
      <c r="F1159" t="inlineStr">
        <is>
          <t>Skilled Nursing and Interm. Care Facility</t>
        </is>
      </c>
      <c r="G1159" t="inlineStr">
        <is>
          <t>13226 Studebaker Rd</t>
        </is>
      </c>
      <c r="H1159" t="inlineStr">
        <is>
          <t>Norwalk</t>
        </is>
      </c>
      <c r="I1159" t="inlineStr">
        <is>
          <t>Los Angeles</t>
        </is>
      </c>
      <c r="J1159" t="inlineStr">
        <is>
          <t>Villa Elena Healthcare Center</t>
        </is>
      </c>
    </row>
    <row r="1160">
      <c r="A1160">
        <f>--ISNUMBER(IFERROR(SEARCH($C$5,Inputs!$D1160,1),""))</f>
        <v/>
      </c>
      <c r="B1160">
        <f>IF(A1160=1,COUNTIF($A$6:A1160,1),"")</f>
        <v/>
      </c>
      <c r="C1160">
        <f>IFERROR(INDEX($D$6:$D$1750,MATCH(ROWS($B$6:B1160),$B$6:$B$1750,0)),"")</f>
        <v/>
      </c>
      <c r="D1160">
        <f>J1160&amp;" ("&amp;E1160&amp;")"</f>
        <v/>
      </c>
      <c r="E1160" t="n">
        <v>22156</v>
      </c>
      <c r="F1160" t="inlineStr">
        <is>
          <t>Skilled Nursing and Interm. Care Facility</t>
        </is>
      </c>
      <c r="G1160" t="inlineStr">
        <is>
          <t>6120 Vineland Ave</t>
        </is>
      </c>
      <c r="H1160" t="inlineStr">
        <is>
          <t>North Hollywood</t>
        </is>
      </c>
      <c r="I1160" t="inlineStr">
        <is>
          <t>Los Angeles</t>
        </is>
      </c>
      <c r="J1160" t="inlineStr">
        <is>
          <t>Valley Vista Nursing And Transitional Care LLC</t>
        </is>
      </c>
    </row>
    <row r="1161">
      <c r="A1161">
        <f>--ISNUMBER(IFERROR(SEARCH($C$5,Inputs!$D1161,1),""))</f>
        <v/>
      </c>
      <c r="B1161">
        <f>IF(A1161=1,COUNTIF($A$6:A1161,1),"")</f>
        <v/>
      </c>
      <c r="C1161">
        <f>IFERROR(INDEX($D$6:$D$1750,MATCH(ROWS($B$6:B1161),$B$6:$B$1750,0)),"")</f>
        <v/>
      </c>
      <c r="D1161">
        <f>J1161&amp;" ("&amp;E1161&amp;")"</f>
        <v/>
      </c>
      <c r="E1161" t="n">
        <v>22157</v>
      </c>
      <c r="F1161" t="inlineStr">
        <is>
          <t>Skilled Nursing and Interm. Care Facility</t>
        </is>
      </c>
      <c r="G1161" t="inlineStr">
        <is>
          <t>975 N Virgil Ave</t>
        </is>
      </c>
      <c r="H1161" t="inlineStr">
        <is>
          <t>Los Angeles</t>
        </is>
      </c>
      <c r="I1161" t="inlineStr">
        <is>
          <t>Los Angeles</t>
        </is>
      </c>
      <c r="J1161" t="inlineStr">
        <is>
          <t>Virgil Rehabilitation And Skilled Nursing Center</t>
        </is>
      </c>
    </row>
    <row r="1162">
      <c r="A1162">
        <f>--ISNUMBER(IFERROR(SEARCH($C$5,Inputs!$D1162,1),""))</f>
        <v/>
      </c>
      <c r="B1162">
        <f>IF(A1162=1,COUNTIF($A$6:A1162,1),"")</f>
        <v/>
      </c>
      <c r="C1162">
        <f>IFERROR(INDEX($D$6:$D$1750,MATCH(ROWS($B$6:B1162),$B$6:$B$1750,0)),"")</f>
        <v/>
      </c>
      <c r="D1162">
        <f>J1162&amp;" ("&amp;E1162&amp;")"</f>
        <v/>
      </c>
      <c r="E1162" t="n">
        <v>22174</v>
      </c>
      <c r="F1162" t="inlineStr">
        <is>
          <t>Skilled Nursing and Interm. Care Facility</t>
        </is>
      </c>
      <c r="G1162" t="inlineStr">
        <is>
          <t>2300 W Washington Blvd</t>
        </is>
      </c>
      <c r="H1162" t="inlineStr">
        <is>
          <t>Los Angeles</t>
        </is>
      </c>
      <c r="I1162" t="inlineStr">
        <is>
          <t>Los Angeles</t>
        </is>
      </c>
      <c r="J1162" t="inlineStr">
        <is>
          <t>St. Andrews</t>
        </is>
      </c>
    </row>
    <row r="1163">
      <c r="A1163">
        <f>--ISNUMBER(IFERROR(SEARCH($C$5,Inputs!$D1163,1),""))</f>
        <v/>
      </c>
      <c r="B1163">
        <f>IF(A1163=1,COUNTIF($A$6:A1163,1),"")</f>
        <v/>
      </c>
      <c r="C1163">
        <f>IFERROR(INDEX($D$6:$D$1750,MATCH(ROWS($B$6:B1163),$B$6:$B$1750,0)),"")</f>
        <v/>
      </c>
      <c r="D1163">
        <f>J1163&amp;" ("&amp;E1163&amp;")"</f>
        <v/>
      </c>
      <c r="E1163" t="n">
        <v>22179</v>
      </c>
      <c r="F1163" t="inlineStr">
        <is>
          <t>Skilled Nursing and Interm. Care Facility</t>
        </is>
      </c>
      <c r="G1163" t="inlineStr">
        <is>
          <t>214 S Atlantic Blvd</t>
        </is>
      </c>
      <c r="H1163" t="inlineStr">
        <is>
          <t>Alhambra</t>
        </is>
      </c>
      <c r="I1163" t="inlineStr">
        <is>
          <t>Los Angeles</t>
        </is>
      </c>
      <c r="J1163" t="inlineStr">
        <is>
          <t>Atherton Baptist Home - Sam B. West</t>
        </is>
      </c>
    </row>
    <row r="1164">
      <c r="A1164">
        <f>--ISNUMBER(IFERROR(SEARCH($C$5,Inputs!$D1164,1),""))</f>
        <v/>
      </c>
      <c r="B1164">
        <f>IF(A1164=1,COUNTIF($A$6:A1164,1),"")</f>
        <v/>
      </c>
      <c r="C1164">
        <f>IFERROR(INDEX($D$6:$D$1750,MATCH(ROWS($B$6:B1164),$B$6:$B$1750,0)),"")</f>
        <v/>
      </c>
      <c r="D1164">
        <f>J1164&amp;" ("&amp;E1164&amp;")"</f>
        <v/>
      </c>
      <c r="E1164" t="n">
        <v>22185</v>
      </c>
      <c r="F1164" t="inlineStr">
        <is>
          <t>Skilled Nursing and Interm. Care Facility</t>
        </is>
      </c>
      <c r="G1164" t="inlineStr">
        <is>
          <t>4333 Torrance Boulevard</t>
        </is>
      </c>
      <c r="H1164" t="inlineStr">
        <is>
          <t>Torrance</t>
        </is>
      </c>
      <c r="I1164" t="inlineStr">
        <is>
          <t>Los Angeles</t>
        </is>
      </c>
      <c r="J1164" t="inlineStr">
        <is>
          <t>Torrance Care Center West, Inc.</t>
        </is>
      </c>
    </row>
    <row r="1165">
      <c r="A1165">
        <f>--ISNUMBER(IFERROR(SEARCH($C$5,Inputs!$D1165,1),""))</f>
        <v/>
      </c>
      <c r="B1165">
        <f>IF(A1165=1,COUNTIF($A$6:A1165,1),"")</f>
        <v/>
      </c>
      <c r="C1165">
        <f>IFERROR(INDEX($D$6:$D$1750,MATCH(ROWS($B$6:B1165),$B$6:$B$1750,0)),"")</f>
        <v/>
      </c>
      <c r="D1165">
        <f>J1165&amp;" ("&amp;E1165&amp;")"</f>
        <v/>
      </c>
      <c r="E1165" t="n">
        <v>22191</v>
      </c>
      <c r="F1165" t="inlineStr">
        <is>
          <t>Skilled Nursing and Interm. Care Facility</t>
        </is>
      </c>
      <c r="G1165" t="inlineStr">
        <is>
          <t>3515 Overland Ave</t>
        </is>
      </c>
      <c r="H1165" t="inlineStr">
        <is>
          <t>Los Angeles</t>
        </is>
      </c>
      <c r="I1165" t="inlineStr">
        <is>
          <t>Los Angeles</t>
        </is>
      </c>
      <c r="J1165" t="inlineStr">
        <is>
          <t>Country Villa South Convalescent Center</t>
        </is>
      </c>
    </row>
    <row r="1166">
      <c r="A1166">
        <f>--ISNUMBER(IFERROR(SEARCH($C$5,Inputs!$D1166,1),""))</f>
        <v/>
      </c>
      <c r="B1166">
        <f>IF(A1166=1,COUNTIF($A$6:A1166,1),"")</f>
        <v/>
      </c>
      <c r="C1166">
        <f>IFERROR(INDEX($D$6:$D$1750,MATCH(ROWS($B$6:B1166),$B$6:$B$1750,0)),"")</f>
        <v/>
      </c>
      <c r="D1166">
        <f>J1166&amp;" ("&amp;E1166&amp;")"</f>
        <v/>
      </c>
      <c r="E1166" t="n">
        <v>22194</v>
      </c>
      <c r="F1166" t="inlineStr">
        <is>
          <t>Skilled Nursing and Interm. Care Facility</t>
        </is>
      </c>
      <c r="G1166" t="inlineStr">
        <is>
          <t>13007 S Paramount Blvd</t>
        </is>
      </c>
      <c r="H1166" t="inlineStr">
        <is>
          <t>Downey</t>
        </is>
      </c>
      <c r="I1166" t="inlineStr">
        <is>
          <t>Los Angeles</t>
        </is>
      </c>
      <c r="J1166" t="inlineStr">
        <is>
          <t>Downey Post Acute</t>
        </is>
      </c>
    </row>
    <row r="1167">
      <c r="A1167">
        <f>--ISNUMBER(IFERROR(SEARCH($C$5,Inputs!$D1167,1),""))</f>
        <v/>
      </c>
      <c r="B1167">
        <f>IF(A1167=1,COUNTIF($A$6:A1167,1),"")</f>
        <v/>
      </c>
      <c r="C1167">
        <f>IFERROR(INDEX($D$6:$D$1750,MATCH(ROWS($B$6:B1167),$B$6:$B$1750,0)),"")</f>
        <v/>
      </c>
      <c r="D1167">
        <f>J1167&amp;" ("&amp;E1167&amp;")"</f>
        <v/>
      </c>
      <c r="E1167" t="n">
        <v>22195</v>
      </c>
      <c r="F1167" t="inlineStr">
        <is>
          <t>Skilled Nursing and Interm. Care Facility</t>
        </is>
      </c>
      <c r="G1167" t="inlineStr">
        <is>
          <t>12121 Santa Monica Blvd</t>
        </is>
      </c>
      <c r="H1167" t="inlineStr">
        <is>
          <t>Los Angeles</t>
        </is>
      </c>
      <c r="I1167" t="inlineStr">
        <is>
          <t>Los Angeles</t>
        </is>
      </c>
      <c r="J1167" t="inlineStr">
        <is>
          <t>Country Villa Westwood Convalescent Center</t>
        </is>
      </c>
    </row>
    <row r="1168">
      <c r="A1168">
        <f>--ISNUMBER(IFERROR(SEARCH($C$5,Inputs!$D1168,1),""))</f>
        <v/>
      </c>
      <c r="B1168">
        <f>IF(A1168=1,COUNTIF($A$6:A1168,1),"")</f>
        <v/>
      </c>
      <c r="C1168">
        <f>IFERROR(INDEX($D$6:$D$1750,MATCH(ROWS($B$6:B1168),$B$6:$B$1750,0)),"")</f>
        <v/>
      </c>
      <c r="D1168">
        <f>J1168&amp;" ("&amp;E1168&amp;")"</f>
        <v/>
      </c>
      <c r="E1168" t="n">
        <v>22199</v>
      </c>
      <c r="F1168" t="inlineStr">
        <is>
          <t>Skilled Nursing and Interm. Care Facility</t>
        </is>
      </c>
      <c r="G1168" t="inlineStr">
        <is>
          <t>10426 Bogardus Ave.</t>
        </is>
      </c>
      <c r="H1168" t="inlineStr">
        <is>
          <t>Whittier</t>
        </is>
      </c>
      <c r="I1168" t="inlineStr">
        <is>
          <t>Los Angeles</t>
        </is>
      </c>
      <c r="J1168" t="inlineStr">
        <is>
          <t>Whittier Hills Health Care Center</t>
        </is>
      </c>
    </row>
    <row r="1169">
      <c r="A1169">
        <f>--ISNUMBER(IFERROR(SEARCH($C$5,Inputs!$D1169,1),""))</f>
        <v/>
      </c>
      <c r="B1169">
        <f>IF(A1169=1,COUNTIF($A$6:A1169,1),"")</f>
        <v/>
      </c>
      <c r="C1169">
        <f>IFERROR(INDEX($D$6:$D$1750,MATCH(ROWS($B$6:B1169),$B$6:$B$1750,0)),"")</f>
        <v/>
      </c>
      <c r="D1169">
        <f>J1169&amp;" ("&amp;E1169&amp;")"</f>
        <v/>
      </c>
      <c r="E1169" t="n">
        <v>22200</v>
      </c>
      <c r="F1169" t="inlineStr">
        <is>
          <t>Skilled Nursing and Interm. Care Facility</t>
        </is>
      </c>
      <c r="G1169" t="inlineStr">
        <is>
          <t>12385 Washington Blvd.</t>
        </is>
      </c>
      <c r="H1169" t="inlineStr">
        <is>
          <t>Whittier</t>
        </is>
      </c>
      <c r="I1169" t="inlineStr">
        <is>
          <t>Los Angeles</t>
        </is>
      </c>
      <c r="J1169" t="inlineStr">
        <is>
          <t>The Orchard - Post Acute Care</t>
        </is>
      </c>
    </row>
    <row r="1170">
      <c r="A1170">
        <f>--ISNUMBER(IFERROR(SEARCH($C$5,Inputs!$D1170,1),""))</f>
        <v/>
      </c>
      <c r="B1170">
        <f>IF(A1170=1,COUNTIF($A$6:A1170,1),"")</f>
        <v/>
      </c>
      <c r="C1170">
        <f>IFERROR(INDEX($D$6:$D$1750,MATCH(ROWS($B$6:B1170),$B$6:$B$1750,0)),"")</f>
        <v/>
      </c>
      <c r="D1170">
        <f>J1170&amp;" ("&amp;E1170&amp;")"</f>
        <v/>
      </c>
      <c r="E1170" t="n">
        <v>22203</v>
      </c>
      <c r="F1170" t="inlineStr">
        <is>
          <t>Skilled Nursing and Interm. Care Facility</t>
        </is>
      </c>
      <c r="G1170" t="inlineStr">
        <is>
          <t>1230 E Windsor Rd</t>
        </is>
      </c>
      <c r="H1170" t="inlineStr">
        <is>
          <t>Glendale</t>
        </is>
      </c>
      <c r="I1170" t="inlineStr">
        <is>
          <t>Los Angeles</t>
        </is>
      </c>
      <c r="J1170" t="inlineStr">
        <is>
          <t>Windsor Manor</t>
        </is>
      </c>
    </row>
    <row r="1171">
      <c r="A1171">
        <f>--ISNUMBER(IFERROR(SEARCH($C$5,Inputs!$D1171,1),""))</f>
        <v/>
      </c>
      <c r="B1171">
        <f>IF(A1171=1,COUNTIF($A$6:A1171,1),"")</f>
        <v/>
      </c>
      <c r="C1171">
        <f>IFERROR(INDEX($D$6:$D$1750,MATCH(ROWS($B$6:B1171),$B$6:$B$1750,0)),"")</f>
        <v/>
      </c>
      <c r="D1171">
        <f>J1171&amp;" ("&amp;E1171&amp;")"</f>
        <v/>
      </c>
      <c r="E1171" t="n">
        <v>22207</v>
      </c>
      <c r="F1171" t="inlineStr">
        <is>
          <t>Skilled Nursing and Interm. Care Facility</t>
        </is>
      </c>
      <c r="G1171" t="inlineStr">
        <is>
          <t>6071 York Boulevard</t>
        </is>
      </c>
      <c r="H1171" t="inlineStr">
        <is>
          <t>Los Angeles</t>
        </is>
      </c>
      <c r="I1171" t="inlineStr">
        <is>
          <t>Los Angeles</t>
        </is>
      </c>
      <c r="J1171" t="inlineStr">
        <is>
          <t>York Healthcare &amp; Wellness Centre</t>
        </is>
      </c>
    </row>
    <row r="1172">
      <c r="A1172">
        <f>--ISNUMBER(IFERROR(SEARCH($C$5,Inputs!$D1172,1),""))</f>
        <v/>
      </c>
      <c r="B1172">
        <f>IF(A1172=1,COUNTIF($A$6:A1172,1),"")</f>
        <v/>
      </c>
      <c r="C1172">
        <f>IFERROR(INDEX($D$6:$D$1750,MATCH(ROWS($B$6:B1172),$B$6:$B$1750,0)),"")</f>
        <v/>
      </c>
      <c r="D1172">
        <f>J1172&amp;" ("&amp;E1172&amp;")"</f>
        <v/>
      </c>
      <c r="E1172" t="n">
        <v>22209</v>
      </c>
      <c r="F1172" t="inlineStr">
        <is>
          <t>Skilled Nursing and Interm. Care Facility</t>
        </is>
      </c>
      <c r="G1172" t="inlineStr">
        <is>
          <t>14122 Hubbard St</t>
        </is>
      </c>
      <c r="H1172" t="inlineStr">
        <is>
          <t>Sylmar</t>
        </is>
      </c>
      <c r="I1172" t="inlineStr">
        <is>
          <t>Los Angeles</t>
        </is>
      </c>
      <c r="J1172" t="inlineStr">
        <is>
          <t>The Grove Post-Acute Care Center</t>
        </is>
      </c>
    </row>
    <row r="1173">
      <c r="A1173">
        <f>--ISNUMBER(IFERROR(SEARCH($C$5,Inputs!$D1173,1),""))</f>
        <v/>
      </c>
      <c r="B1173">
        <f>IF(A1173=1,COUNTIF($A$6:A1173,1),"")</f>
        <v/>
      </c>
      <c r="C1173">
        <f>IFERROR(INDEX($D$6:$D$1750,MATCH(ROWS($B$6:B1173),$B$6:$B$1750,0)),"")</f>
        <v/>
      </c>
      <c r="D1173">
        <f>J1173&amp;" ("&amp;E1173&amp;")"</f>
        <v/>
      </c>
      <c r="E1173" t="n">
        <v>22211</v>
      </c>
      <c r="F1173" t="inlineStr">
        <is>
          <t>Skilled Nursing and Interm. Care Facility</t>
        </is>
      </c>
      <c r="G1173" t="inlineStr">
        <is>
          <t>7120 Corbin Ave</t>
        </is>
      </c>
      <c r="H1173" t="inlineStr">
        <is>
          <t>Reseda</t>
        </is>
      </c>
      <c r="I1173" t="inlineStr">
        <is>
          <t>Los Angeles</t>
        </is>
      </c>
      <c r="J1173" t="inlineStr">
        <is>
          <t>Woodland Care Center</t>
        </is>
      </c>
    </row>
    <row r="1174">
      <c r="A1174">
        <f>--ISNUMBER(IFERROR(SEARCH($C$5,Inputs!$D1174,1),""))</f>
        <v/>
      </c>
      <c r="B1174">
        <f>IF(A1174=1,COUNTIF($A$6:A1174,1),"")</f>
        <v/>
      </c>
      <c r="C1174">
        <f>IFERROR(INDEX($D$6:$D$1750,MATCH(ROWS($B$6:B1174),$B$6:$B$1750,0)),"")</f>
        <v/>
      </c>
      <c r="D1174">
        <f>J1174&amp;" ("&amp;E1174&amp;")"</f>
        <v/>
      </c>
      <c r="E1174" t="n">
        <v>22214</v>
      </c>
      <c r="F1174" t="inlineStr">
        <is>
          <t>Skilled Nursing and Interm. Care Facility</t>
        </is>
      </c>
      <c r="G1174" t="inlineStr">
        <is>
          <t>14857 Roscoe Blvd</t>
        </is>
      </c>
      <c r="H1174" t="inlineStr">
        <is>
          <t>Panorama City</t>
        </is>
      </c>
      <c r="I1174" t="inlineStr">
        <is>
          <t>Los Angeles</t>
        </is>
      </c>
      <c r="J1174" t="inlineStr">
        <is>
          <t>The Meadows Post Acute</t>
        </is>
      </c>
    </row>
    <row r="1175">
      <c r="A1175">
        <f>--ISNUMBER(IFERROR(SEARCH($C$5,Inputs!$D1175,1),""))</f>
        <v/>
      </c>
      <c r="B1175">
        <f>IF(A1175=1,COUNTIF($A$6:A1175,1),"")</f>
        <v/>
      </c>
      <c r="C1175">
        <f>IFERROR(INDEX($D$6:$D$1750,MATCH(ROWS($B$6:B1175),$B$6:$B$1750,0)),"")</f>
        <v/>
      </c>
      <c r="D1175">
        <f>J1175&amp;" ("&amp;E1175&amp;")"</f>
        <v/>
      </c>
      <c r="E1175" t="n">
        <v>22215</v>
      </c>
      <c r="F1175" t="inlineStr">
        <is>
          <t>Skilled Nursing and Interm. Care Facility</t>
        </is>
      </c>
      <c r="G1175" t="inlineStr">
        <is>
          <t>7940 Topanga Canyon Blvd</t>
        </is>
      </c>
      <c r="H1175" t="inlineStr">
        <is>
          <t>Canoga Park</t>
        </is>
      </c>
      <c r="I1175" t="inlineStr">
        <is>
          <t>Los Angeles</t>
        </is>
      </c>
      <c r="J1175" t="inlineStr">
        <is>
          <t>West Hills Health And Rehabilitation Center</t>
        </is>
      </c>
    </row>
    <row r="1176">
      <c r="A1176">
        <f>--ISNUMBER(IFERROR(SEARCH($C$5,Inputs!$D1176,1),""))</f>
        <v/>
      </c>
      <c r="B1176">
        <f>IF(A1176=1,COUNTIF($A$6:A1176,1),"")</f>
        <v/>
      </c>
      <c r="C1176">
        <f>IFERROR(INDEX($D$6:$D$1750,MATCH(ROWS($B$6:B1176),$B$6:$B$1750,0)),"")</f>
        <v/>
      </c>
      <c r="D1176">
        <f>J1176&amp;" ("&amp;E1176&amp;")"</f>
        <v/>
      </c>
      <c r="E1176" t="n">
        <v>22216</v>
      </c>
      <c r="F1176" t="inlineStr">
        <is>
          <t>Skilled Nursing and Interm. Care Facility</t>
        </is>
      </c>
      <c r="G1176" t="inlineStr">
        <is>
          <t>22125 Roscoe Blvd</t>
        </is>
      </c>
      <c r="H1176" t="inlineStr">
        <is>
          <t>Canoga Park</t>
        </is>
      </c>
      <c r="I1176" t="inlineStr">
        <is>
          <t>Los Angeles</t>
        </is>
      </c>
      <c r="J1176" t="inlineStr">
        <is>
          <t>Topanga Terrace</t>
        </is>
      </c>
    </row>
    <row r="1177">
      <c r="A1177">
        <f>--ISNUMBER(IFERROR(SEARCH($C$5,Inputs!$D1177,1),""))</f>
        <v/>
      </c>
      <c r="B1177">
        <f>IF(A1177=1,COUNTIF($A$6:A1177,1),"")</f>
        <v/>
      </c>
      <c r="C1177">
        <f>IFERROR(INDEX($D$6:$D$1750,MATCH(ROWS($B$6:B1177),$B$6:$B$1750,0)),"")</f>
        <v/>
      </c>
      <c r="D1177">
        <f>J1177&amp;" ("&amp;E1177&amp;")"</f>
        <v/>
      </c>
      <c r="E1177" t="n">
        <v>22217</v>
      </c>
      <c r="F1177" t="inlineStr">
        <is>
          <t>Skilled Nursing and Interm. Care Facility</t>
        </is>
      </c>
      <c r="G1177" t="inlineStr">
        <is>
          <t>1041 S Main St</t>
        </is>
      </c>
      <c r="H1177" t="inlineStr">
        <is>
          <t>Burbank</t>
        </is>
      </c>
      <c r="I1177" t="inlineStr">
        <is>
          <t>Los Angeles</t>
        </is>
      </c>
      <c r="J1177" t="inlineStr">
        <is>
          <t>Burbank Healthcare And Rehabilitation Center</t>
        </is>
      </c>
    </row>
    <row r="1178">
      <c r="A1178">
        <f>--ISNUMBER(IFERROR(SEARCH($C$5,Inputs!$D1178,1),""))</f>
        <v/>
      </c>
      <c r="B1178">
        <f>IF(A1178=1,COUNTIF($A$6:A1178,1),"")</f>
        <v/>
      </c>
      <c r="C1178">
        <f>IFERROR(INDEX($D$6:$D$1750,MATCH(ROWS($B$6:B1178),$B$6:$B$1750,0)),"")</f>
        <v/>
      </c>
      <c r="D1178">
        <f>J1178&amp;" ("&amp;E1178&amp;")"</f>
        <v/>
      </c>
      <c r="E1178" t="n">
        <v>22219</v>
      </c>
      <c r="F1178" t="inlineStr">
        <is>
          <t>Skilled Nursing and Interm. Care Facility</t>
        </is>
      </c>
      <c r="G1178" t="inlineStr">
        <is>
          <t>12750 Riverside Dr</t>
        </is>
      </c>
      <c r="H1178" t="inlineStr">
        <is>
          <t>Valley Village</t>
        </is>
      </c>
      <c r="I1178" t="inlineStr">
        <is>
          <t>Los Angeles</t>
        </is>
      </c>
      <c r="J1178" t="inlineStr">
        <is>
          <t>Sherman Village Healthcare Center</t>
        </is>
      </c>
    </row>
    <row r="1179">
      <c r="A1179">
        <f>--ISNUMBER(IFERROR(SEARCH($C$5,Inputs!$D1179,1),""))</f>
        <v/>
      </c>
      <c r="B1179">
        <f>IF(A1179=1,COUNTIF($A$6:A1179,1),"")</f>
        <v/>
      </c>
      <c r="C1179">
        <f>IFERROR(INDEX($D$6:$D$1750,MATCH(ROWS($B$6:B1179),$B$6:$B$1750,0)),"")</f>
        <v/>
      </c>
      <c r="D1179">
        <f>J1179&amp;" ("&amp;E1179&amp;")"</f>
        <v/>
      </c>
      <c r="E1179" t="n">
        <v>22223</v>
      </c>
      <c r="F1179" t="inlineStr">
        <is>
          <t>Skilled Nursing and Interm. Care Facility</t>
        </is>
      </c>
      <c r="G1179" t="inlineStr">
        <is>
          <t>150 Bellefontaine St</t>
        </is>
      </c>
      <c r="H1179" t="inlineStr">
        <is>
          <t>Pasadena</t>
        </is>
      </c>
      <c r="I1179" t="inlineStr">
        <is>
          <t>Los Angeles</t>
        </is>
      </c>
      <c r="J1179" t="inlineStr">
        <is>
          <t>Huntington Post Acute</t>
        </is>
      </c>
    </row>
    <row r="1180">
      <c r="A1180">
        <f>--ISNUMBER(IFERROR(SEARCH($C$5,Inputs!$D1180,1),""))</f>
        <v/>
      </c>
      <c r="B1180">
        <f>IF(A1180=1,COUNTIF($A$6:A1180,1),"")</f>
        <v/>
      </c>
      <c r="C1180">
        <f>IFERROR(INDEX($D$6:$D$1750,MATCH(ROWS($B$6:B1180),$B$6:$B$1750,0)),"")</f>
        <v/>
      </c>
      <c r="D1180">
        <f>J1180&amp;" ("&amp;E1180&amp;")"</f>
        <v/>
      </c>
      <c r="E1180" t="n">
        <v>22224</v>
      </c>
      <c r="F1180" t="inlineStr">
        <is>
          <t>Skilled Nursing and Interm. Care Facility</t>
        </is>
      </c>
      <c r="G1180" t="inlineStr">
        <is>
          <t>537 W Live Oak St</t>
        </is>
      </c>
      <c r="H1180" t="inlineStr">
        <is>
          <t>San Gabriel</t>
        </is>
      </c>
      <c r="I1180" t="inlineStr">
        <is>
          <t>Los Angeles</t>
        </is>
      </c>
      <c r="J1180" t="inlineStr">
        <is>
          <t>Live Oak Rehabilitation Center</t>
        </is>
      </c>
    </row>
    <row r="1181">
      <c r="A1181">
        <f>--ISNUMBER(IFERROR(SEARCH($C$5,Inputs!$D1181,1),""))</f>
        <v/>
      </c>
      <c r="B1181">
        <f>IF(A1181=1,COUNTIF($A$6:A1181,1),"")</f>
        <v/>
      </c>
      <c r="C1181">
        <f>IFERROR(INDEX($D$6:$D$1750,MATCH(ROWS($B$6:B1181),$B$6:$B$1750,0)),"")</f>
        <v/>
      </c>
      <c r="D1181">
        <f>J1181&amp;" ("&amp;E1181&amp;")"</f>
        <v/>
      </c>
      <c r="E1181" t="n">
        <v>22225</v>
      </c>
      <c r="F1181" t="inlineStr">
        <is>
          <t>Skilled Nursing and Interm. Care Facility</t>
        </is>
      </c>
      <c r="G1181" t="inlineStr">
        <is>
          <t>11210 Lower Azusa Rd</t>
        </is>
      </c>
      <c r="H1181" t="inlineStr">
        <is>
          <t>El Monte</t>
        </is>
      </c>
      <c r="I1181" t="inlineStr">
        <is>
          <t>Los Angeles</t>
        </is>
      </c>
      <c r="J1181" t="inlineStr">
        <is>
          <t>Fidelity Health Care</t>
        </is>
      </c>
    </row>
    <row r="1182">
      <c r="A1182">
        <f>--ISNUMBER(IFERROR(SEARCH($C$5,Inputs!$D1182,1),""))</f>
        <v/>
      </c>
      <c r="B1182">
        <f>IF(A1182=1,COUNTIF($A$6:A1182,1),"")</f>
        <v/>
      </c>
      <c r="C1182">
        <f>IFERROR(INDEX($D$6:$D$1750,MATCH(ROWS($B$6:B1182),$B$6:$B$1750,0)),"")</f>
        <v/>
      </c>
      <c r="D1182">
        <f>J1182&amp;" ("&amp;E1182&amp;")"</f>
        <v/>
      </c>
      <c r="E1182" t="n">
        <v>22226</v>
      </c>
      <c r="F1182" t="inlineStr">
        <is>
          <t>Skilled Nursing and Interm. Care Facility</t>
        </is>
      </c>
      <c r="G1182" t="inlineStr">
        <is>
          <t>435 E Gladstone St</t>
        </is>
      </c>
      <c r="H1182" t="inlineStr">
        <is>
          <t>Glendora</t>
        </is>
      </c>
      <c r="I1182" t="inlineStr">
        <is>
          <t>Los Angeles</t>
        </is>
      </c>
      <c r="J1182" t="inlineStr">
        <is>
          <t>Gladstone Sub-Acute and Rehab Center</t>
        </is>
      </c>
    </row>
    <row r="1183">
      <c r="A1183">
        <f>--ISNUMBER(IFERROR(SEARCH($C$5,Inputs!$D1183,1),""))</f>
        <v/>
      </c>
      <c r="B1183">
        <f>IF(A1183=1,COUNTIF($A$6:A1183,1),"")</f>
        <v/>
      </c>
      <c r="C1183">
        <f>IFERROR(INDEX($D$6:$D$1750,MATCH(ROWS($B$6:B1183),$B$6:$B$1750,0)),"")</f>
        <v/>
      </c>
      <c r="D1183">
        <f>J1183&amp;" ("&amp;E1183&amp;")"</f>
        <v/>
      </c>
      <c r="E1183" t="n">
        <v>22230</v>
      </c>
      <c r="F1183" t="inlineStr">
        <is>
          <t>Skilled Nursing and Interm. Care Facility</t>
        </is>
      </c>
      <c r="G1183" t="inlineStr">
        <is>
          <t>330 W Rowland St</t>
        </is>
      </c>
      <c r="H1183" t="inlineStr">
        <is>
          <t>Covina</t>
        </is>
      </c>
      <c r="I1183" t="inlineStr">
        <is>
          <t>Los Angeles</t>
        </is>
      </c>
      <c r="J1183" t="inlineStr">
        <is>
          <t>The Rowland</t>
        </is>
      </c>
    </row>
    <row r="1184">
      <c r="A1184">
        <f>--ISNUMBER(IFERROR(SEARCH($C$5,Inputs!$D1184,1),""))</f>
        <v/>
      </c>
      <c r="B1184">
        <f>IF(A1184=1,COUNTIF($A$6:A1184,1),"")</f>
        <v/>
      </c>
      <c r="C1184">
        <f>IFERROR(INDEX($D$6:$D$1750,MATCH(ROWS($B$6:B1184),$B$6:$B$1750,0)),"")</f>
        <v/>
      </c>
      <c r="D1184">
        <f>J1184&amp;" ("&amp;E1184&amp;")"</f>
        <v/>
      </c>
      <c r="E1184" t="n">
        <v>22231</v>
      </c>
      <c r="F1184" t="inlineStr">
        <is>
          <t>Skilled Nursing and Interm. Care Facility</t>
        </is>
      </c>
      <c r="G1184" t="inlineStr">
        <is>
          <t>805 W Arrow Hwy</t>
        </is>
      </c>
      <c r="H1184" t="inlineStr">
        <is>
          <t>Glendora</t>
        </is>
      </c>
      <c r="I1184" t="inlineStr">
        <is>
          <t>Los Angeles</t>
        </is>
      </c>
      <c r="J1184" t="inlineStr">
        <is>
          <t>Glendora Grand, Inc.</t>
        </is>
      </c>
    </row>
    <row r="1185">
      <c r="A1185">
        <f>--ISNUMBER(IFERROR(SEARCH($C$5,Inputs!$D1185,1),""))</f>
        <v/>
      </c>
      <c r="B1185">
        <f>IF(A1185=1,COUNTIF($A$6:A1185,1),"")</f>
        <v/>
      </c>
      <c r="C1185">
        <f>IFERROR(INDEX($D$6:$D$1750,MATCH(ROWS($B$6:B1185),$B$6:$B$1750,0)),"")</f>
        <v/>
      </c>
      <c r="D1185">
        <f>J1185&amp;" ("&amp;E1185&amp;")"</f>
        <v/>
      </c>
      <c r="E1185" t="n">
        <v>22232</v>
      </c>
      <c r="F1185" t="inlineStr">
        <is>
          <t>Skilled Nursing and Interm. Care Facility</t>
        </is>
      </c>
      <c r="G1185" t="inlineStr">
        <is>
          <t>2600 A St</t>
        </is>
      </c>
      <c r="H1185" t="inlineStr">
        <is>
          <t>La Verne</t>
        </is>
      </c>
      <c r="I1185" t="inlineStr">
        <is>
          <t>Los Angeles</t>
        </is>
      </c>
      <c r="J1185" t="inlineStr">
        <is>
          <t>Woods Health Services</t>
        </is>
      </c>
    </row>
    <row r="1186">
      <c r="A1186">
        <f>--ISNUMBER(IFERROR(SEARCH($C$5,Inputs!$D1186,1),""))</f>
        <v/>
      </c>
      <c r="B1186">
        <f>IF(A1186=1,COUNTIF($A$6:A1186,1),"")</f>
        <v/>
      </c>
      <c r="C1186">
        <f>IFERROR(INDEX($D$6:$D$1750,MATCH(ROWS($B$6:B1186),$B$6:$B$1750,0)),"")</f>
        <v/>
      </c>
      <c r="D1186">
        <f>J1186&amp;" ("&amp;E1186&amp;")"</f>
        <v/>
      </c>
      <c r="E1186" t="n">
        <v>22233</v>
      </c>
      <c r="F1186" t="inlineStr">
        <is>
          <t>Skilled Nursing and Interm. Care Facility</t>
        </is>
      </c>
      <c r="G1186" t="inlineStr">
        <is>
          <t>535 E Bonita Ave</t>
        </is>
      </c>
      <c r="H1186" t="inlineStr">
        <is>
          <t>San Dimas</t>
        </is>
      </c>
      <c r="I1186" t="inlineStr">
        <is>
          <t>Los Angeles</t>
        </is>
      </c>
      <c r="J1186" t="inlineStr">
        <is>
          <t>Casa Bonita Convalescent Hospital</t>
        </is>
      </c>
    </row>
    <row r="1187">
      <c r="A1187">
        <f>--ISNUMBER(IFERROR(SEARCH($C$5,Inputs!$D1187,1),""))</f>
        <v/>
      </c>
      <c r="B1187">
        <f>IF(A1187=1,COUNTIF($A$6:A1187,1),"")</f>
        <v/>
      </c>
      <c r="C1187">
        <f>IFERROR(INDEX($D$6:$D$1750,MATCH(ROWS($B$6:B1187),$B$6:$B$1750,0)),"")</f>
        <v/>
      </c>
      <c r="D1187">
        <f>J1187&amp;" ("&amp;E1187&amp;")"</f>
        <v/>
      </c>
      <c r="E1187" t="n">
        <v>22234</v>
      </c>
      <c r="F1187" t="inlineStr">
        <is>
          <t>Skilled Nursing and Interm. Care Facility</t>
        </is>
      </c>
      <c r="G1187" t="inlineStr">
        <is>
          <t>8925 Mines Ave</t>
        </is>
      </c>
      <c r="H1187" t="inlineStr">
        <is>
          <t>Pico Rivera</t>
        </is>
      </c>
      <c r="I1187" t="inlineStr">
        <is>
          <t>Los Angeles</t>
        </is>
      </c>
      <c r="J1187" t="inlineStr">
        <is>
          <t>El Rancho Vista Health Care Center</t>
        </is>
      </c>
    </row>
    <row r="1188">
      <c r="A1188">
        <f>--ISNUMBER(IFERROR(SEARCH($C$5,Inputs!$D1188,1),""))</f>
        <v/>
      </c>
      <c r="B1188">
        <f>IF(A1188=1,COUNTIF($A$6:A1188,1),"")</f>
        <v/>
      </c>
      <c r="C1188">
        <f>IFERROR(INDEX($D$6:$D$1750,MATCH(ROWS($B$6:B1188),$B$6:$B$1750,0)),"")</f>
        <v/>
      </c>
      <c r="D1188">
        <f>J1188&amp;" ("&amp;E1188&amp;")"</f>
        <v/>
      </c>
      <c r="E1188" t="n">
        <v>22236</v>
      </c>
      <c r="F1188" t="inlineStr">
        <is>
          <t>Skilled Nursing and Interm. Care Facility</t>
        </is>
      </c>
      <c r="G1188" t="inlineStr">
        <is>
          <t>11926 La Mirada Blvd</t>
        </is>
      </c>
      <c r="H1188" t="inlineStr">
        <is>
          <t>La Mirada</t>
        </is>
      </c>
      <c r="I1188" t="inlineStr">
        <is>
          <t>Los Angeles</t>
        </is>
      </c>
      <c r="J1188" t="inlineStr">
        <is>
          <t>Imperial Healthcare Center</t>
        </is>
      </c>
    </row>
    <row r="1189">
      <c r="A1189">
        <f>--ISNUMBER(IFERROR(SEARCH($C$5,Inputs!$D1189,1),""))</f>
        <v/>
      </c>
      <c r="B1189">
        <f>IF(A1189=1,COUNTIF($A$6:A1189,1),"")</f>
        <v/>
      </c>
      <c r="C1189">
        <f>IFERROR(INDEX($D$6:$D$1750,MATCH(ROWS($B$6:B1189),$B$6:$B$1750,0)),"")</f>
        <v/>
      </c>
      <c r="D1189">
        <f>J1189&amp;" ("&amp;E1189&amp;")"</f>
        <v/>
      </c>
      <c r="E1189" t="n">
        <v>22237</v>
      </c>
      <c r="F1189" t="inlineStr">
        <is>
          <t>Skilled Nursing and Interm. Care Facility</t>
        </is>
      </c>
      <c r="G1189" t="inlineStr">
        <is>
          <t>17836 Woodruff Ave</t>
        </is>
      </c>
      <c r="H1189" t="inlineStr">
        <is>
          <t>Bellflower</t>
        </is>
      </c>
      <c r="I1189" t="inlineStr">
        <is>
          <t>Los Angeles</t>
        </is>
      </c>
      <c r="J1189" t="inlineStr">
        <is>
          <t>Cerritos Vista Healthcare Center</t>
        </is>
      </c>
    </row>
    <row r="1190">
      <c r="A1190">
        <f>--ISNUMBER(IFERROR(SEARCH($C$5,Inputs!$D1190,1),""))</f>
        <v/>
      </c>
      <c r="B1190">
        <f>IF(A1190=1,COUNTIF($A$6:A1190,1),"")</f>
        <v/>
      </c>
      <c r="C1190">
        <f>IFERROR(INDEX($D$6:$D$1750,MATCH(ROWS($B$6:B1190),$B$6:$B$1750,0)),"")</f>
        <v/>
      </c>
      <c r="D1190">
        <f>J1190&amp;" ("&amp;E1190&amp;")"</f>
        <v/>
      </c>
      <c r="E1190" t="n">
        <v>22238</v>
      </c>
      <c r="F1190" t="inlineStr">
        <is>
          <t>Skilled Nursing and Interm. Care Facility</t>
        </is>
      </c>
      <c r="G1190" t="inlineStr">
        <is>
          <t>1515 N Alexandria Ave</t>
        </is>
      </c>
      <c r="H1190" t="inlineStr">
        <is>
          <t>Los Angeles</t>
        </is>
      </c>
      <c r="I1190" t="inlineStr">
        <is>
          <t>Los Angeles</t>
        </is>
      </c>
      <c r="J1190" t="inlineStr">
        <is>
          <t>Alexandria Care Center</t>
        </is>
      </c>
    </row>
    <row r="1191">
      <c r="A1191">
        <f>--ISNUMBER(IFERROR(SEARCH($C$5,Inputs!$D1191,1),""))</f>
        <v/>
      </c>
      <c r="B1191">
        <f>IF(A1191=1,COUNTIF($A$6:A1191,1),"")</f>
        <v/>
      </c>
      <c r="C1191">
        <f>IFERROR(INDEX($D$6:$D$1750,MATCH(ROWS($B$6:B1191),$B$6:$B$1750,0)),"")</f>
        <v/>
      </c>
      <c r="D1191">
        <f>J1191&amp;" ("&amp;E1191&amp;")"</f>
        <v/>
      </c>
      <c r="E1191" t="n">
        <v>22239</v>
      </c>
      <c r="F1191" t="inlineStr">
        <is>
          <t>Skilled Nursing and Interm. Care Facility</t>
        </is>
      </c>
      <c r="G1191" t="inlineStr">
        <is>
          <t>101 S Fickett St</t>
        </is>
      </c>
      <c r="H1191" t="inlineStr">
        <is>
          <t>Los Angeles</t>
        </is>
      </c>
      <c r="I1191" t="inlineStr">
        <is>
          <t>Los Angeles</t>
        </is>
      </c>
      <c r="J1191" t="inlineStr">
        <is>
          <t>Infinity Care Of East Los Angeles</t>
        </is>
      </c>
    </row>
    <row r="1192">
      <c r="A1192">
        <f>--ISNUMBER(IFERROR(SEARCH($C$5,Inputs!$D1192,1),""))</f>
        <v/>
      </c>
      <c r="B1192">
        <f>IF(A1192=1,COUNTIF($A$6:A1192,1),"")</f>
        <v/>
      </c>
      <c r="C1192">
        <f>IFERROR(INDEX($D$6:$D$1750,MATCH(ROWS($B$6:B1192),$B$6:$B$1750,0)),"")</f>
        <v/>
      </c>
      <c r="D1192">
        <f>J1192&amp;" ("&amp;E1192&amp;")"</f>
        <v/>
      </c>
      <c r="E1192" t="n">
        <v>22240</v>
      </c>
      <c r="F1192" t="inlineStr">
        <is>
          <t>Skilled Nursing and Interm. Care Facility</t>
        </is>
      </c>
      <c r="G1192" t="inlineStr">
        <is>
          <t>5401 Fountain Ave</t>
        </is>
      </c>
      <c r="H1192" t="inlineStr">
        <is>
          <t>Los Angeles</t>
        </is>
      </c>
      <c r="I1192" t="inlineStr">
        <is>
          <t>Los Angeles</t>
        </is>
      </c>
      <c r="J1192" t="inlineStr">
        <is>
          <t>Hollywood Premier Healthcare Center</t>
        </is>
      </c>
    </row>
    <row r="1193">
      <c r="A1193">
        <f>--ISNUMBER(IFERROR(SEARCH($C$5,Inputs!$D1193,1),""))</f>
        <v/>
      </c>
      <c r="B1193">
        <f>IF(A1193=1,COUNTIF($A$6:A1193,1),"")</f>
        <v/>
      </c>
      <c r="C1193">
        <f>IFERROR(INDEX($D$6:$D$1750,MATCH(ROWS($B$6:B1193),$B$6:$B$1750,0)),"")</f>
        <v/>
      </c>
      <c r="D1193">
        <f>J1193&amp;" ("&amp;E1193&amp;")"</f>
        <v/>
      </c>
      <c r="E1193" t="n">
        <v>22242</v>
      </c>
      <c r="F1193" t="inlineStr">
        <is>
          <t>Skilled Nursing and Interm. Care Facility</t>
        </is>
      </c>
      <c r="G1193" t="inlineStr">
        <is>
          <t>831 S Lake Street</t>
        </is>
      </c>
      <c r="H1193" t="inlineStr">
        <is>
          <t>Los Angeles</t>
        </is>
      </c>
      <c r="I1193" t="inlineStr">
        <is>
          <t>Los Angeles</t>
        </is>
      </c>
      <c r="J1193" t="inlineStr">
        <is>
          <t>Lakeview Terrace</t>
        </is>
      </c>
    </row>
    <row r="1194">
      <c r="A1194">
        <f>--ISNUMBER(IFERROR(SEARCH($C$5,Inputs!$D1194,1),""))</f>
        <v/>
      </c>
      <c r="B1194">
        <f>IF(A1194=1,COUNTIF($A$6:A1194,1),"")</f>
        <v/>
      </c>
      <c r="C1194">
        <f>IFERROR(INDEX($D$6:$D$1750,MATCH(ROWS($B$6:B1194),$B$6:$B$1750,0)),"")</f>
        <v/>
      </c>
      <c r="D1194">
        <f>J1194&amp;" ("&amp;E1194&amp;")"</f>
        <v/>
      </c>
      <c r="E1194" t="n">
        <v>22243</v>
      </c>
      <c r="F1194" t="inlineStr">
        <is>
          <t>Skilled Nursing and Interm. Care Facility</t>
        </is>
      </c>
      <c r="G1194" t="inlineStr">
        <is>
          <t>3002 Rowena Ave</t>
        </is>
      </c>
      <c r="H1194" t="inlineStr">
        <is>
          <t>Los Angeles</t>
        </is>
      </c>
      <c r="I1194" t="inlineStr">
        <is>
          <t>Los Angeles</t>
        </is>
      </c>
      <c r="J1194" t="inlineStr">
        <is>
          <t>Country Villa Los Feliz Nursing Center</t>
        </is>
      </c>
    </row>
    <row r="1195">
      <c r="A1195">
        <f>--ISNUMBER(IFERROR(SEARCH($C$5,Inputs!$D1195,1),""))</f>
        <v/>
      </c>
      <c r="B1195">
        <f>IF(A1195=1,COUNTIF($A$6:A1195,1),"")</f>
        <v/>
      </c>
      <c r="C1195">
        <f>IFERROR(INDEX($D$6:$D$1750,MATCH(ROWS($B$6:B1195),$B$6:$B$1750,0)),"")</f>
        <v/>
      </c>
      <c r="D1195">
        <f>J1195&amp;" ("&amp;E1195&amp;")"</f>
        <v/>
      </c>
      <c r="E1195" t="n">
        <v>22244</v>
      </c>
      <c r="F1195" t="inlineStr">
        <is>
          <t>Skilled Nursing and Interm. Care Facility</t>
        </is>
      </c>
      <c r="G1195" t="inlineStr">
        <is>
          <t>5154 W Sunset Blvd</t>
        </is>
      </c>
      <c r="H1195" t="inlineStr">
        <is>
          <t>Los Angeles</t>
        </is>
      </c>
      <c r="I1195" t="inlineStr">
        <is>
          <t>Los Angeles</t>
        </is>
      </c>
      <c r="J1195" t="inlineStr">
        <is>
          <t>Brier Oak On Sunset</t>
        </is>
      </c>
    </row>
    <row r="1196">
      <c r="A1196">
        <f>--ISNUMBER(IFERROR(SEARCH($C$5,Inputs!$D1196,1),""))</f>
        <v/>
      </c>
      <c r="B1196">
        <f>IF(A1196=1,COUNTIF($A$6:A1196,1),"")</f>
        <v/>
      </c>
      <c r="C1196">
        <f>IFERROR(INDEX($D$6:$D$1750,MATCH(ROWS($B$6:B1196),$B$6:$B$1750,0)),"")</f>
        <v/>
      </c>
      <c r="D1196">
        <f>J1196&amp;" ("&amp;E1196&amp;")"</f>
        <v/>
      </c>
      <c r="E1196" t="n">
        <v>22245</v>
      </c>
      <c r="F1196" t="inlineStr">
        <is>
          <t>Skilled Nursing and Interm. Care Facility</t>
        </is>
      </c>
      <c r="G1196" t="inlineStr">
        <is>
          <t>2021 Arizona Ave</t>
        </is>
      </c>
      <c r="H1196" t="inlineStr">
        <is>
          <t>Santa Monica</t>
        </is>
      </c>
      <c r="I1196" t="inlineStr">
        <is>
          <t>Los Angeles</t>
        </is>
      </c>
      <c r="J1196" t="inlineStr">
        <is>
          <t>Berkley East Healthcare Center</t>
        </is>
      </c>
    </row>
    <row r="1197">
      <c r="A1197">
        <f>--ISNUMBER(IFERROR(SEARCH($C$5,Inputs!$D1197,1),""))</f>
        <v/>
      </c>
      <c r="B1197">
        <f>IF(A1197=1,COUNTIF($A$6:A1197,1),"")</f>
        <v/>
      </c>
      <c r="C1197">
        <f>IFERROR(INDEX($D$6:$D$1750,MATCH(ROWS($B$6:B1197),$B$6:$B$1750,0)),"")</f>
        <v/>
      </c>
      <c r="D1197">
        <f>J1197&amp;" ("&amp;E1197&amp;")"</f>
        <v/>
      </c>
      <c r="E1197" t="n">
        <v>22247</v>
      </c>
      <c r="F1197" t="inlineStr">
        <is>
          <t>Skilled Nursing and Interm. Care Facility</t>
        </is>
      </c>
      <c r="G1197" t="inlineStr">
        <is>
          <t>2000 W Washington Blvd</t>
        </is>
      </c>
      <c r="H1197" t="inlineStr">
        <is>
          <t>Los Angeles</t>
        </is>
      </c>
      <c r="I1197" t="inlineStr">
        <is>
          <t>Los Angeles</t>
        </is>
      </c>
      <c r="J1197" t="inlineStr">
        <is>
          <t>Sunnyview Care Center</t>
        </is>
      </c>
    </row>
    <row r="1198">
      <c r="A1198">
        <f>--ISNUMBER(IFERROR(SEARCH($C$5,Inputs!$D1198,1),""))</f>
        <v/>
      </c>
      <c r="B1198">
        <f>IF(A1198=1,COUNTIF($A$6:A1198,1),"")</f>
        <v/>
      </c>
      <c r="C1198">
        <f>IFERROR(INDEX($D$6:$D$1750,MATCH(ROWS($B$6:B1198),$B$6:$B$1750,0)),"")</f>
        <v/>
      </c>
      <c r="D1198">
        <f>J1198&amp;" ("&amp;E1198&amp;")"</f>
        <v/>
      </c>
      <c r="E1198" t="n">
        <v>22250</v>
      </c>
      <c r="F1198" t="inlineStr">
        <is>
          <t>Skilled Nursing and Interm. Care Facility</t>
        </is>
      </c>
      <c r="G1198" t="inlineStr">
        <is>
          <t>3901 E 4th St</t>
        </is>
      </c>
      <c r="H1198" t="inlineStr">
        <is>
          <t>Long Beach</t>
        </is>
      </c>
      <c r="I1198" t="inlineStr">
        <is>
          <t>Los Angeles</t>
        </is>
      </c>
      <c r="J1198" t="inlineStr">
        <is>
          <t>Alamitos Belmont Rehabilitation Hospital</t>
        </is>
      </c>
    </row>
    <row r="1199">
      <c r="A1199">
        <f>--ISNUMBER(IFERROR(SEARCH($C$5,Inputs!$D1199,1),""))</f>
        <v/>
      </c>
      <c r="B1199">
        <f>IF(A1199=1,COUNTIF($A$6:A1199,1),"")</f>
        <v/>
      </c>
      <c r="C1199">
        <f>IFERROR(INDEX($D$6:$D$1750,MATCH(ROWS($B$6:B1199),$B$6:$B$1750,0)),"")</f>
        <v/>
      </c>
      <c r="D1199">
        <f>J1199&amp;" ("&amp;E1199&amp;")"</f>
        <v/>
      </c>
      <c r="E1199" t="n">
        <v>22252</v>
      </c>
      <c r="F1199" t="inlineStr">
        <is>
          <t>Skilled Nursing and Interm. Care Facility</t>
        </is>
      </c>
      <c r="G1199" t="inlineStr">
        <is>
          <t>3801 E Anaheim St</t>
        </is>
      </c>
      <c r="H1199" t="inlineStr">
        <is>
          <t>Long Beach</t>
        </is>
      </c>
      <c r="I1199" t="inlineStr">
        <is>
          <t>Los Angeles</t>
        </is>
      </c>
      <c r="J1199" t="inlineStr">
        <is>
          <t>Marlora Post Acute Rehabilitation Hospital</t>
        </is>
      </c>
    </row>
    <row r="1200">
      <c r="A1200">
        <f>--ISNUMBER(IFERROR(SEARCH($C$5,Inputs!$D1200,1),""))</f>
        <v/>
      </c>
      <c r="B1200">
        <f>IF(A1200=1,COUNTIF($A$6:A1200,1),"")</f>
        <v/>
      </c>
      <c r="C1200">
        <f>IFERROR(INDEX($D$6:$D$1750,MATCH(ROWS($B$6:B1200),$B$6:$B$1750,0)),"")</f>
        <v/>
      </c>
      <c r="D1200">
        <f>J1200&amp;" ("&amp;E1200&amp;")"</f>
        <v/>
      </c>
      <c r="E1200" t="n">
        <v>22253</v>
      </c>
      <c r="F1200" t="inlineStr">
        <is>
          <t>Skilled Nursing and Interm. Care Facility</t>
        </is>
      </c>
      <c r="G1200" t="inlineStr">
        <is>
          <t>1913 E 5th St</t>
        </is>
      </c>
      <c r="H1200" t="inlineStr">
        <is>
          <t>Long Beach</t>
        </is>
      </c>
      <c r="I1200" t="inlineStr">
        <is>
          <t>Los Angeles</t>
        </is>
      </c>
      <c r="J1200" t="inlineStr">
        <is>
          <t>Colonial Care Center</t>
        </is>
      </c>
    </row>
    <row r="1201">
      <c r="A1201">
        <f>--ISNUMBER(IFERROR(SEARCH($C$5,Inputs!$D1201,1),""))</f>
        <v/>
      </c>
      <c r="B1201">
        <f>IF(A1201=1,COUNTIF($A$6:A1201,1),"")</f>
        <v/>
      </c>
      <c r="C1201">
        <f>IFERROR(INDEX($D$6:$D$1750,MATCH(ROWS($B$6:B1201),$B$6:$B$1750,0)),"")</f>
        <v/>
      </c>
      <c r="D1201">
        <f>J1201&amp;" ("&amp;E1201&amp;")"</f>
        <v/>
      </c>
      <c r="E1201" t="n">
        <v>22254</v>
      </c>
      <c r="F1201" t="inlineStr">
        <is>
          <t>Skilled Nursing and Interm. Care Facility</t>
        </is>
      </c>
      <c r="G1201" t="inlineStr">
        <is>
          <t>1020 Termino Ave</t>
        </is>
      </c>
      <c r="H1201" t="inlineStr">
        <is>
          <t>Long Beach</t>
        </is>
      </c>
      <c r="I1201" t="inlineStr">
        <is>
          <t>Los Angeles</t>
        </is>
      </c>
      <c r="J1201" t="inlineStr">
        <is>
          <t>Pacific Palms Healthcare</t>
        </is>
      </c>
    </row>
    <row r="1202">
      <c r="A1202">
        <f>--ISNUMBER(IFERROR(SEARCH($C$5,Inputs!$D1202,1),""))</f>
        <v/>
      </c>
      <c r="B1202">
        <f>IF(A1202=1,COUNTIF($A$6:A1202,1),"")</f>
        <v/>
      </c>
      <c r="C1202">
        <f>IFERROR(INDEX($D$6:$D$1750,MATCH(ROWS($B$6:B1202),$B$6:$B$1750,0)),"")</f>
        <v/>
      </c>
      <c r="D1202">
        <f>J1202&amp;" ("&amp;E1202&amp;")"</f>
        <v/>
      </c>
      <c r="E1202" t="n">
        <v>22260</v>
      </c>
      <c r="F1202" t="inlineStr">
        <is>
          <t>Skilled Nursing and Interm. Care Facility</t>
        </is>
      </c>
      <c r="G1202" t="inlineStr">
        <is>
          <t>21820 Craggy View Street</t>
        </is>
      </c>
      <c r="H1202" t="inlineStr">
        <is>
          <t>Chatsworth</t>
        </is>
      </c>
      <c r="I1202" t="inlineStr">
        <is>
          <t>Los Angeles</t>
        </is>
      </c>
      <c r="J1202" t="inlineStr">
        <is>
          <t>Stoney Point Healthcare Center</t>
        </is>
      </c>
    </row>
    <row r="1203">
      <c r="A1203">
        <f>--ISNUMBER(IFERROR(SEARCH($C$5,Inputs!$D1203,1),""))</f>
        <v/>
      </c>
      <c r="B1203">
        <f>IF(A1203=1,COUNTIF($A$6:A1203,1),"")</f>
        <v/>
      </c>
      <c r="C1203">
        <f>IFERROR(INDEX($D$6:$D$1750,MATCH(ROWS($B$6:B1203),$B$6:$B$1750,0)),"")</f>
        <v/>
      </c>
      <c r="D1203">
        <f>J1203&amp;" ("&amp;E1203&amp;")"</f>
        <v/>
      </c>
      <c r="E1203" t="n">
        <v>22261</v>
      </c>
      <c r="F1203" t="inlineStr">
        <is>
          <t>Skilled Nursing and Interm. Care Facility</t>
        </is>
      </c>
      <c r="G1203" t="inlineStr">
        <is>
          <t>20554 Roscoe Blvd</t>
        </is>
      </c>
      <c r="H1203" t="inlineStr">
        <is>
          <t>Winnetka</t>
        </is>
      </c>
      <c r="I1203" t="inlineStr">
        <is>
          <t>Los Angeles</t>
        </is>
      </c>
      <c r="J1203" t="inlineStr">
        <is>
          <t>Holiday Manor Care Center</t>
        </is>
      </c>
    </row>
    <row r="1204">
      <c r="A1204">
        <f>--ISNUMBER(IFERROR(SEARCH($C$5,Inputs!$D1204,1),""))</f>
        <v/>
      </c>
      <c r="B1204">
        <f>IF(A1204=1,COUNTIF($A$6:A1204,1),"")</f>
        <v/>
      </c>
      <c r="C1204">
        <f>IFERROR(INDEX($D$6:$D$1750,MATCH(ROWS($B$6:B1204),$B$6:$B$1750,0)),"")</f>
        <v/>
      </c>
      <c r="D1204">
        <f>J1204&amp;" ("&amp;E1204&amp;")"</f>
        <v/>
      </c>
      <c r="E1204" t="n">
        <v>22269</v>
      </c>
      <c r="F1204" t="inlineStr">
        <is>
          <t>Skilled Nursing and Interm. Care Facility</t>
        </is>
      </c>
      <c r="G1204" t="inlineStr">
        <is>
          <t>421 East Mission Avenue</t>
        </is>
      </c>
      <c r="H1204" t="inlineStr">
        <is>
          <t>Escondido</t>
        </is>
      </c>
      <c r="I1204" t="inlineStr">
        <is>
          <t>San Diego</t>
        </is>
      </c>
      <c r="J1204" t="inlineStr">
        <is>
          <t>Escondido Post Acute Rehab</t>
        </is>
      </c>
    </row>
    <row r="1205">
      <c r="A1205">
        <f>--ISNUMBER(IFERROR(SEARCH($C$5,Inputs!$D1205,1),""))</f>
        <v/>
      </c>
      <c r="B1205">
        <f>IF(A1205=1,COUNTIF($A$6:A1205,1),"")</f>
        <v/>
      </c>
      <c r="C1205">
        <f>IFERROR(INDEX($D$6:$D$1750,MATCH(ROWS($B$6:B1205),$B$6:$B$1750,0)),"")</f>
        <v/>
      </c>
      <c r="D1205">
        <f>J1205&amp;" ("&amp;E1205&amp;")"</f>
        <v/>
      </c>
      <c r="E1205" t="n">
        <v>22270</v>
      </c>
      <c r="F1205" t="inlineStr">
        <is>
          <t>Skilled Nursing and Interm. Care Facility</t>
        </is>
      </c>
      <c r="G1205" t="inlineStr">
        <is>
          <t>5696 Lake Murray Boulevard</t>
        </is>
      </c>
      <c r="H1205" t="inlineStr">
        <is>
          <t>La Mesa</t>
        </is>
      </c>
      <c r="I1205" t="inlineStr">
        <is>
          <t>San Diego</t>
        </is>
      </c>
      <c r="J1205" t="inlineStr">
        <is>
          <t>Country Manor La Mesa Healthcare Center</t>
        </is>
      </c>
    </row>
    <row r="1206">
      <c r="A1206">
        <f>--ISNUMBER(IFERROR(SEARCH($C$5,Inputs!$D1206,1),""))</f>
        <v/>
      </c>
      <c r="B1206">
        <f>IF(A1206=1,COUNTIF($A$6:A1206,1),"")</f>
        <v/>
      </c>
      <c r="C1206">
        <f>IFERROR(INDEX($D$6:$D$1750,MATCH(ROWS($B$6:B1206),$B$6:$B$1750,0)),"")</f>
        <v/>
      </c>
      <c r="D1206">
        <f>J1206&amp;" ("&amp;E1206&amp;")"</f>
        <v/>
      </c>
      <c r="E1206" t="n">
        <v>22272</v>
      </c>
      <c r="F1206" t="inlineStr">
        <is>
          <t>Skilled Nursing and Interm. Care Facility</t>
        </is>
      </c>
      <c r="G1206" t="inlineStr">
        <is>
          <t>675 E. Bradley Ave.</t>
        </is>
      </c>
      <c r="H1206" t="inlineStr">
        <is>
          <t>El Cajon</t>
        </is>
      </c>
      <c r="I1206" t="inlineStr">
        <is>
          <t>San Diego</t>
        </is>
      </c>
      <c r="J1206" t="inlineStr">
        <is>
          <t>Bradley Court</t>
        </is>
      </c>
    </row>
    <row r="1207">
      <c r="A1207">
        <f>--ISNUMBER(IFERROR(SEARCH($C$5,Inputs!$D1207,1),""))</f>
        <v/>
      </c>
      <c r="B1207">
        <f>IF(A1207=1,COUNTIF($A$6:A1207,1),"")</f>
        <v/>
      </c>
      <c r="C1207">
        <f>IFERROR(INDEX($D$6:$D$1750,MATCH(ROWS($B$6:B1207),$B$6:$B$1750,0)),"")</f>
        <v/>
      </c>
      <c r="D1207">
        <f>J1207&amp;" ("&amp;E1207&amp;")"</f>
        <v/>
      </c>
      <c r="E1207" t="n">
        <v>22274</v>
      </c>
      <c r="F1207" t="inlineStr">
        <is>
          <t>Skilled Nursing and Interm. Care Facility</t>
        </is>
      </c>
      <c r="G1207" t="inlineStr">
        <is>
          <t>8787 Center Drive</t>
        </is>
      </c>
      <c r="H1207" t="inlineStr">
        <is>
          <t>La Mesa</t>
        </is>
      </c>
      <c r="I1207" t="inlineStr">
        <is>
          <t>San Diego</t>
        </is>
      </c>
      <c r="J1207" t="inlineStr">
        <is>
          <t>Grossmont Post Acute Care</t>
        </is>
      </c>
    </row>
    <row r="1208">
      <c r="A1208">
        <f>--ISNUMBER(IFERROR(SEARCH($C$5,Inputs!$D1208,1),""))</f>
        <v/>
      </c>
      <c r="B1208">
        <f>IF(A1208=1,COUNTIF($A$6:A1208,1),"")</f>
        <v/>
      </c>
      <c r="C1208">
        <f>IFERROR(INDEX($D$6:$D$1750,MATCH(ROWS($B$6:B1208),$B$6:$B$1750,0)),"")</f>
        <v/>
      </c>
      <c r="D1208">
        <f>J1208&amp;" ("&amp;E1208&amp;")"</f>
        <v/>
      </c>
      <c r="E1208" t="n">
        <v>22276</v>
      </c>
      <c r="F1208" t="inlineStr">
        <is>
          <t>Skilled Nursing and Interm. Care Facility</t>
        </is>
      </c>
      <c r="G1208" t="inlineStr">
        <is>
          <t>2828 Meadowlark Dr</t>
        </is>
      </c>
      <c r="H1208" t="inlineStr">
        <is>
          <t>San Diego</t>
        </is>
      </c>
      <c r="I1208" t="inlineStr">
        <is>
          <t>San Diego</t>
        </is>
      </c>
      <c r="J1208" t="inlineStr">
        <is>
          <t>The Shores Post-Acute</t>
        </is>
      </c>
    </row>
    <row r="1209">
      <c r="A1209">
        <f>--ISNUMBER(IFERROR(SEARCH($C$5,Inputs!$D1209,1),""))</f>
        <v/>
      </c>
      <c r="B1209">
        <f>IF(A1209=1,COUNTIF($A$6:A1209,1),"")</f>
        <v/>
      </c>
      <c r="C1209">
        <f>IFERROR(INDEX($D$6:$D$1750,MATCH(ROWS($B$6:B1209),$B$6:$B$1750,0)),"")</f>
        <v/>
      </c>
      <c r="D1209">
        <f>J1209&amp;" ("&amp;E1209&amp;")"</f>
        <v/>
      </c>
      <c r="E1209" t="n">
        <v>22277</v>
      </c>
      <c r="F1209" t="inlineStr">
        <is>
          <t>Skilled Nursing and Interm. Care Facility</t>
        </is>
      </c>
      <c r="G1209" t="inlineStr">
        <is>
          <t>7979 La Mesa Boulevard</t>
        </is>
      </c>
      <c r="H1209" t="inlineStr">
        <is>
          <t>La Mesa</t>
        </is>
      </c>
      <c r="I1209" t="inlineStr">
        <is>
          <t>San Diego</t>
        </is>
      </c>
      <c r="J1209" t="inlineStr">
        <is>
          <t>Hilldale Habilitation Center</t>
        </is>
      </c>
    </row>
    <row r="1210">
      <c r="A1210">
        <f>--ISNUMBER(IFERROR(SEARCH($C$5,Inputs!$D1210,1),""))</f>
        <v/>
      </c>
      <c r="B1210">
        <f>IF(A1210=1,COUNTIF($A$6:A1210,1),"")</f>
        <v/>
      </c>
      <c r="C1210">
        <f>IFERROR(INDEX($D$6:$D$1750,MATCH(ROWS($B$6:B1210),$B$6:$B$1750,0)),"")</f>
        <v/>
      </c>
      <c r="D1210">
        <f>J1210&amp;" ("&amp;E1210&amp;")"</f>
        <v/>
      </c>
      <c r="E1210" t="n">
        <v>22278</v>
      </c>
      <c r="F1210" t="inlineStr">
        <is>
          <t>Skilled Nursing and Interm. Care Facility</t>
        </is>
      </c>
      <c r="G1210" t="inlineStr">
        <is>
          <t>1391 East Madison Avenue</t>
        </is>
      </c>
      <c r="H1210" t="inlineStr">
        <is>
          <t>El Cajon</t>
        </is>
      </c>
      <c r="I1210" t="inlineStr">
        <is>
          <t>San Diego</t>
        </is>
      </c>
      <c r="J1210" t="inlineStr">
        <is>
          <t>Cottonwood Canyon Healthcare Center</t>
        </is>
      </c>
    </row>
    <row r="1211">
      <c r="A1211">
        <f>--ISNUMBER(IFERROR(SEARCH($C$5,Inputs!$D1211,1),""))</f>
        <v/>
      </c>
      <c r="B1211">
        <f>IF(A1211=1,COUNTIF($A$6:A1211,1),"")</f>
        <v/>
      </c>
      <c r="C1211">
        <f>IFERROR(INDEX($D$6:$D$1750,MATCH(ROWS($B$6:B1211),$B$6:$B$1750,0)),"")</f>
        <v/>
      </c>
      <c r="D1211">
        <f>J1211&amp;" ("&amp;E1211&amp;")"</f>
        <v/>
      </c>
      <c r="E1211" t="n">
        <v>22279</v>
      </c>
      <c r="F1211" t="inlineStr">
        <is>
          <t>Skilled Nursing and Interm. Care Facility</t>
        </is>
      </c>
      <c r="G1211" t="inlineStr">
        <is>
          <t>3022 45th Street</t>
        </is>
      </c>
      <c r="H1211" t="inlineStr">
        <is>
          <t>San Diego</t>
        </is>
      </c>
      <c r="I1211" t="inlineStr">
        <is>
          <t>San Diego</t>
        </is>
      </c>
      <c r="J1211" t="inlineStr">
        <is>
          <t>Arroyo Vista Nursing Center</t>
        </is>
      </c>
    </row>
    <row r="1212">
      <c r="A1212">
        <f>--ISNUMBER(IFERROR(SEARCH($C$5,Inputs!$D1212,1),""))</f>
        <v/>
      </c>
      <c r="B1212">
        <f>IF(A1212=1,COUNTIF($A$6:A1212,1),"")</f>
        <v/>
      </c>
      <c r="C1212">
        <f>IFERROR(INDEX($D$6:$D$1750,MATCH(ROWS($B$6:B1212),$B$6:$B$1750,0)),"")</f>
        <v/>
      </c>
      <c r="D1212">
        <f>J1212&amp;" ("&amp;E1212&amp;")"</f>
        <v/>
      </c>
      <c r="E1212" t="n">
        <v>22280</v>
      </c>
      <c r="F1212" t="inlineStr">
        <is>
          <t>Skilled Nursing and Interm. Care Facility</t>
        </is>
      </c>
      <c r="G1212" t="inlineStr">
        <is>
          <t>201 North Fig Street</t>
        </is>
      </c>
      <c r="H1212" t="inlineStr">
        <is>
          <t>Escondido</t>
        </is>
      </c>
      <c r="I1212" t="inlineStr">
        <is>
          <t>San Diego</t>
        </is>
      </c>
      <c r="J1212" t="inlineStr">
        <is>
          <t>Palomar Vista Healthcare Center</t>
        </is>
      </c>
    </row>
    <row r="1213">
      <c r="A1213">
        <f>--ISNUMBER(IFERROR(SEARCH($C$5,Inputs!$D1213,1),""))</f>
        <v/>
      </c>
      <c r="B1213">
        <f>IF(A1213=1,COUNTIF($A$6:A1213,1),"")</f>
        <v/>
      </c>
      <c r="C1213">
        <f>IFERROR(INDEX($D$6:$D$1750,MATCH(ROWS($B$6:B1213),$B$6:$B$1750,0)),"")</f>
        <v/>
      </c>
      <c r="D1213">
        <f>J1213&amp;" ("&amp;E1213&amp;")"</f>
        <v/>
      </c>
      <c r="E1213" t="n">
        <v>22281</v>
      </c>
      <c r="F1213" t="inlineStr">
        <is>
          <t>Skilled Nursing and Interm. Care Facility</t>
        </is>
      </c>
      <c r="G1213" t="inlineStr">
        <is>
          <t>3232 Thunder Drive</t>
        </is>
      </c>
      <c r="H1213" t="inlineStr">
        <is>
          <t>Oceanside</t>
        </is>
      </c>
      <c r="I1213" t="inlineStr">
        <is>
          <t>San Diego</t>
        </is>
      </c>
      <c r="J1213" t="inlineStr">
        <is>
          <t>La Paloma Healthcare Center</t>
        </is>
      </c>
    </row>
    <row r="1214">
      <c r="A1214">
        <f>--ISNUMBER(IFERROR(SEARCH($C$5,Inputs!$D1214,1),""))</f>
        <v/>
      </c>
      <c r="B1214">
        <f>IF(A1214=1,COUNTIF($A$6:A1214,1),"")</f>
        <v/>
      </c>
      <c r="C1214">
        <f>IFERROR(INDEX($D$6:$D$1750,MATCH(ROWS($B$6:B1214),$B$6:$B$1750,0)),"")</f>
        <v/>
      </c>
      <c r="D1214">
        <f>J1214&amp;" ("&amp;E1214&amp;")"</f>
        <v/>
      </c>
      <c r="E1214" t="n">
        <v>22282</v>
      </c>
      <c r="F1214" t="inlineStr">
        <is>
          <t>Skilled Nursing and Interm. Care Facility</t>
        </is>
      </c>
      <c r="G1214" t="inlineStr">
        <is>
          <t>1260 E Ohio St</t>
        </is>
      </c>
      <c r="H1214" t="inlineStr">
        <is>
          <t>Escondido</t>
        </is>
      </c>
      <c r="I1214" t="inlineStr">
        <is>
          <t>San Diego</t>
        </is>
      </c>
      <c r="J1214" t="inlineStr">
        <is>
          <t>Palomar Heights Post Acute Rehab</t>
        </is>
      </c>
    </row>
    <row r="1215">
      <c r="A1215">
        <f>--ISNUMBER(IFERROR(SEARCH($C$5,Inputs!$D1215,1),""))</f>
        <v/>
      </c>
      <c r="B1215">
        <f>IF(A1215=1,COUNTIF($A$6:A1215,1),"")</f>
        <v/>
      </c>
      <c r="C1215">
        <f>IFERROR(INDEX($D$6:$D$1750,MATCH(ROWS($B$6:B1215),$B$6:$B$1750,0)),"")</f>
        <v/>
      </c>
      <c r="D1215">
        <f>J1215&amp;" ("&amp;E1215&amp;")"</f>
        <v/>
      </c>
      <c r="E1215" t="n">
        <v>22283</v>
      </c>
      <c r="F1215" t="inlineStr">
        <is>
          <t>Skilled Nursing and Interm. Care Facility</t>
        </is>
      </c>
      <c r="G1215" t="inlineStr">
        <is>
          <t>8351 Broadway</t>
        </is>
      </c>
      <c r="H1215" t="inlineStr">
        <is>
          <t>Lemon Grove</t>
        </is>
      </c>
      <c r="I1215" t="inlineStr">
        <is>
          <t>San Diego</t>
        </is>
      </c>
      <c r="J1215" t="inlineStr">
        <is>
          <t>Lemon Grove Care &amp; Rehabilitation Center</t>
        </is>
      </c>
    </row>
    <row r="1216">
      <c r="A1216">
        <f>--ISNUMBER(IFERROR(SEARCH($C$5,Inputs!$D1216,1),""))</f>
        <v/>
      </c>
      <c r="B1216">
        <f>IF(A1216=1,COUNTIF($A$6:A1216,1),"")</f>
        <v/>
      </c>
      <c r="C1216">
        <f>IFERROR(INDEX($D$6:$D$1750,MATCH(ROWS($B$6:B1216),$B$6:$B$1750,0)),"")</f>
        <v/>
      </c>
      <c r="D1216">
        <f>J1216&amp;" ("&amp;E1216&amp;")"</f>
        <v/>
      </c>
      <c r="E1216" t="n">
        <v>22287</v>
      </c>
      <c r="F1216" t="inlineStr">
        <is>
          <t>Skilled Nursing and Interm. Care Facility</t>
        </is>
      </c>
      <c r="G1216" t="inlineStr">
        <is>
          <t>7160 Fay Avenue</t>
        </is>
      </c>
      <c r="H1216" t="inlineStr">
        <is>
          <t>La Jolla</t>
        </is>
      </c>
      <c r="I1216" t="inlineStr">
        <is>
          <t>San Diego</t>
        </is>
      </c>
      <c r="J1216" t="inlineStr">
        <is>
          <t>The Cove At La Jolla</t>
        </is>
      </c>
    </row>
    <row r="1217">
      <c r="A1217">
        <f>--ISNUMBER(IFERROR(SEARCH($C$5,Inputs!$D1217,1),""))</f>
        <v/>
      </c>
      <c r="B1217">
        <f>IF(A1217=1,COUNTIF($A$6:A1217,1),"")</f>
        <v/>
      </c>
      <c r="C1217">
        <f>IFERROR(INDEX($D$6:$D$1750,MATCH(ROWS($B$6:B1217),$B$6:$B$1750,0)),"")</f>
        <v/>
      </c>
      <c r="D1217">
        <f>J1217&amp;" ("&amp;E1217&amp;")"</f>
        <v/>
      </c>
      <c r="E1217" t="n">
        <v>22288</v>
      </c>
      <c r="F1217" t="inlineStr">
        <is>
          <t>Skilled Nursing and Interm. Care Facility</t>
        </is>
      </c>
      <c r="G1217" t="inlineStr">
        <is>
          <t>3680 Reynard Way</t>
        </is>
      </c>
      <c r="H1217" t="inlineStr">
        <is>
          <t>San Diego</t>
        </is>
      </c>
      <c r="I1217" t="inlineStr">
        <is>
          <t>San Diego</t>
        </is>
      </c>
      <c r="J1217" t="inlineStr">
        <is>
          <t>Mission Hills Post Acute Care</t>
        </is>
      </c>
    </row>
    <row r="1218">
      <c r="A1218">
        <f>--ISNUMBER(IFERROR(SEARCH($C$5,Inputs!$D1218,1),""))</f>
        <v/>
      </c>
      <c r="B1218">
        <f>IF(A1218=1,COUNTIF($A$6:A1218,1),"")</f>
        <v/>
      </c>
      <c r="C1218">
        <f>IFERROR(INDEX($D$6:$D$1750,MATCH(ROWS($B$6:B1218),$B$6:$B$1750,0)),"")</f>
        <v/>
      </c>
      <c r="D1218">
        <f>J1218&amp;" ("&amp;E1218&amp;")"</f>
        <v/>
      </c>
      <c r="E1218" t="n">
        <v>22291</v>
      </c>
      <c r="F1218" t="inlineStr">
        <is>
          <t>Skilled Nursing and Interm. Care Facility</t>
        </is>
      </c>
      <c r="G1218" t="inlineStr">
        <is>
          <t>8665 La Mesa Boulevard</t>
        </is>
      </c>
      <c r="H1218" t="inlineStr">
        <is>
          <t>La Mesa</t>
        </is>
      </c>
      <c r="I1218" t="inlineStr">
        <is>
          <t>San Diego</t>
        </is>
      </c>
      <c r="J1218" t="inlineStr">
        <is>
          <t>Community Care Center</t>
        </is>
      </c>
    </row>
    <row r="1219">
      <c r="A1219">
        <f>--ISNUMBER(IFERROR(SEARCH($C$5,Inputs!$D1219,1),""))</f>
        <v/>
      </c>
      <c r="B1219">
        <f>IF(A1219=1,COUNTIF($A$6:A1219,1),"")</f>
        <v/>
      </c>
      <c r="C1219">
        <f>IFERROR(INDEX($D$6:$D$1750,MATCH(ROWS($B$6:B1219),$B$6:$B$1750,0)),"")</f>
        <v/>
      </c>
      <c r="D1219">
        <f>J1219&amp;" ("&amp;E1219&amp;")"</f>
        <v/>
      </c>
      <c r="E1219" t="n">
        <v>22293</v>
      </c>
      <c r="F1219" t="inlineStr">
        <is>
          <t>Skilled Nursing and Interm. Care Facility</t>
        </is>
      </c>
      <c r="G1219" t="inlineStr">
        <is>
          <t>220 East 24th Street</t>
        </is>
      </c>
      <c r="H1219" t="inlineStr">
        <is>
          <t>National City</t>
        </is>
      </c>
      <c r="I1219" t="inlineStr">
        <is>
          <t>San Diego</t>
        </is>
      </c>
      <c r="J1219" t="inlineStr">
        <is>
          <t>Windsor Gardens Convalescent Center Of San Diego</t>
        </is>
      </c>
    </row>
    <row r="1220">
      <c r="A1220">
        <f>--ISNUMBER(IFERROR(SEARCH($C$5,Inputs!$D1220,1),""))</f>
        <v/>
      </c>
      <c r="B1220">
        <f>IF(A1220=1,COUNTIF($A$6:A1220,1),"")</f>
        <v/>
      </c>
      <c r="C1220">
        <f>IFERROR(INDEX($D$6:$D$1750,MATCH(ROWS($B$6:B1220),$B$6:$B$1750,0)),"")</f>
        <v/>
      </c>
      <c r="D1220">
        <f>J1220&amp;" ("&amp;E1220&amp;")"</f>
        <v/>
      </c>
      <c r="E1220" t="n">
        <v>22297</v>
      </c>
      <c r="F1220" t="inlineStr">
        <is>
          <t>Skilled Nursing and Interm. Care Facility</t>
        </is>
      </c>
      <c r="G1220" t="inlineStr">
        <is>
          <t>7922 Palm St</t>
        </is>
      </c>
      <c r="H1220" t="inlineStr">
        <is>
          <t>Lemon Grove</t>
        </is>
      </c>
      <c r="I1220" t="inlineStr">
        <is>
          <t>San Diego</t>
        </is>
      </c>
      <c r="J1220" t="inlineStr">
        <is>
          <t>Bella Vista Health Center</t>
        </is>
      </c>
    </row>
    <row r="1221">
      <c r="A1221">
        <f>--ISNUMBER(IFERROR(SEARCH($C$5,Inputs!$D1221,1),""))</f>
        <v/>
      </c>
      <c r="B1221">
        <f>IF(A1221=1,COUNTIF($A$6:A1221,1),"")</f>
        <v/>
      </c>
      <c r="C1221">
        <f>IFERROR(INDEX($D$6:$D$1750,MATCH(ROWS($B$6:B1221),$B$6:$B$1750,0)),"")</f>
        <v/>
      </c>
      <c r="D1221">
        <f>J1221&amp;" ("&amp;E1221&amp;")"</f>
        <v/>
      </c>
      <c r="E1221" t="n">
        <v>22299</v>
      </c>
      <c r="F1221" t="inlineStr">
        <is>
          <t>Skilled Nursing and Interm. Care Facility</t>
        </is>
      </c>
      <c r="G1221" t="inlineStr">
        <is>
          <t>5602 University Avenue</t>
        </is>
      </c>
      <c r="H1221" t="inlineStr">
        <is>
          <t>San Diego</t>
        </is>
      </c>
      <c r="I1221" t="inlineStr">
        <is>
          <t>San Diego</t>
        </is>
      </c>
      <c r="J1221" t="inlineStr">
        <is>
          <t>University Care Center</t>
        </is>
      </c>
    </row>
    <row r="1222">
      <c r="A1222">
        <f>--ISNUMBER(IFERROR(SEARCH($C$5,Inputs!$D1222,1),""))</f>
        <v/>
      </c>
      <c r="B1222">
        <f>IF(A1222=1,COUNTIF($A$6:A1222,1),"")</f>
        <v/>
      </c>
      <c r="C1222">
        <f>IFERROR(INDEX($D$6:$D$1750,MATCH(ROWS($B$6:B1222),$B$6:$B$1750,0)),"")</f>
        <v/>
      </c>
      <c r="D1222">
        <f>J1222&amp;" ("&amp;E1222&amp;")"</f>
        <v/>
      </c>
      <c r="E1222" t="n">
        <v>22303</v>
      </c>
      <c r="F1222" t="inlineStr">
        <is>
          <t>Skilled Nursing and Interm. Care Facility</t>
        </is>
      </c>
      <c r="G1222" t="inlineStr">
        <is>
          <t>151 Claydelle Avenue</t>
        </is>
      </c>
      <c r="H1222" t="inlineStr">
        <is>
          <t>El Cajon</t>
        </is>
      </c>
      <c r="I1222" t="inlineStr">
        <is>
          <t>San Diego</t>
        </is>
      </c>
      <c r="J1222" t="inlineStr">
        <is>
          <t>Somerset Subacute And Care</t>
        </is>
      </c>
    </row>
    <row r="1223">
      <c r="A1223">
        <f>--ISNUMBER(IFERROR(SEARCH($C$5,Inputs!$D1223,1),""))</f>
        <v/>
      </c>
      <c r="B1223">
        <f>IF(A1223=1,COUNTIF($A$6:A1223,1),"")</f>
        <v/>
      </c>
      <c r="C1223">
        <f>IFERROR(INDEX($D$6:$D$1750,MATCH(ROWS($B$6:B1223),$B$6:$B$1750,0)),"")</f>
        <v/>
      </c>
      <c r="D1223">
        <f>J1223&amp;" ("&amp;E1223&amp;")"</f>
        <v/>
      </c>
      <c r="E1223" t="n">
        <v>22306</v>
      </c>
      <c r="F1223" t="inlineStr">
        <is>
          <t>Skilled Nursing and Interm. Care Facility</t>
        </is>
      </c>
      <c r="G1223" t="inlineStr">
        <is>
          <t>510 E Washington Ave</t>
        </is>
      </c>
      <c r="H1223" t="inlineStr">
        <is>
          <t>El Cajon</t>
        </is>
      </c>
      <c r="I1223" t="inlineStr">
        <is>
          <t>San Diego</t>
        </is>
      </c>
      <c r="J1223" t="inlineStr">
        <is>
          <t>Avocado Post Acute</t>
        </is>
      </c>
    </row>
    <row r="1224">
      <c r="A1224">
        <f>--ISNUMBER(IFERROR(SEARCH($C$5,Inputs!$D1224,1),""))</f>
        <v/>
      </c>
      <c r="B1224">
        <f>IF(A1224=1,COUNTIF($A$6:A1224,1),"")</f>
        <v/>
      </c>
      <c r="C1224">
        <f>IFERROR(INDEX($D$6:$D$1750,MATCH(ROWS($B$6:B1224),$B$6:$B$1750,0)),"")</f>
        <v/>
      </c>
      <c r="D1224">
        <f>J1224&amp;" ("&amp;E1224&amp;")"</f>
        <v/>
      </c>
      <c r="E1224" t="n">
        <v>22311</v>
      </c>
      <c r="F1224" t="inlineStr">
        <is>
          <t>Skilled Nursing and Interm. Care Facility</t>
        </is>
      </c>
      <c r="G1224" t="inlineStr">
        <is>
          <t>1350 Euclid Avenue</t>
        </is>
      </c>
      <c r="H1224" t="inlineStr">
        <is>
          <t>San Diego</t>
        </is>
      </c>
      <c r="I1224" t="inlineStr">
        <is>
          <t>San Diego</t>
        </is>
      </c>
      <c r="J1224" t="inlineStr">
        <is>
          <t>Brighton Place San Diego</t>
        </is>
      </c>
    </row>
    <row r="1225">
      <c r="A1225">
        <f>--ISNUMBER(IFERROR(SEARCH($C$5,Inputs!$D1225,1),""))</f>
        <v/>
      </c>
      <c r="B1225">
        <f>IF(A1225=1,COUNTIF($A$6:A1225,1),"")</f>
        <v/>
      </c>
      <c r="C1225">
        <f>IFERROR(INDEX($D$6:$D$1750,MATCH(ROWS($B$6:B1225),$B$6:$B$1750,0)),"")</f>
        <v/>
      </c>
      <c r="D1225">
        <f>J1225&amp;" ("&amp;E1225&amp;")"</f>
        <v/>
      </c>
      <c r="E1225" t="n">
        <v>22312</v>
      </c>
      <c r="F1225" t="inlineStr">
        <is>
          <t>Skilled Nursing and Interm. Care Facility</t>
        </is>
      </c>
      <c r="G1225" t="inlineStr">
        <is>
          <t>325 Potter Road</t>
        </is>
      </c>
      <c r="H1225" t="inlineStr">
        <is>
          <t>Fallbrook</t>
        </is>
      </c>
      <c r="I1225" t="inlineStr">
        <is>
          <t>San Diego</t>
        </is>
      </c>
      <c r="J1225" t="inlineStr">
        <is>
          <t>Fallbrook Skilled Nursing</t>
        </is>
      </c>
    </row>
    <row r="1226">
      <c r="A1226">
        <f>--ISNUMBER(IFERROR(SEARCH($C$5,Inputs!$D1226,1),""))</f>
        <v/>
      </c>
      <c r="B1226">
        <f>IF(A1226=1,COUNTIF($A$6:A1226,1),"")</f>
        <v/>
      </c>
      <c r="C1226">
        <f>IFERROR(INDEX($D$6:$D$1750,MATCH(ROWS($B$6:B1226),$B$6:$B$1750,0)),"")</f>
        <v/>
      </c>
      <c r="D1226">
        <f>J1226&amp;" ("&amp;E1226&amp;")"</f>
        <v/>
      </c>
      <c r="E1226" t="n">
        <v>22316</v>
      </c>
      <c r="F1226" t="inlineStr">
        <is>
          <t>Skilled Nursing and Interm. Care Facility</t>
        </is>
      </c>
      <c r="G1226" t="inlineStr">
        <is>
          <t>111 3rd Ave</t>
        </is>
      </c>
      <c r="H1226" t="inlineStr">
        <is>
          <t>Chula Vista</t>
        </is>
      </c>
      <c r="I1226" t="inlineStr">
        <is>
          <t>San Diego</t>
        </is>
      </c>
      <c r="J1226" t="inlineStr">
        <is>
          <t>Fredericka Manor Care Center</t>
        </is>
      </c>
    </row>
    <row r="1227">
      <c r="A1227">
        <f>--ISNUMBER(IFERROR(SEARCH($C$5,Inputs!$D1227,1),""))</f>
        <v/>
      </c>
      <c r="B1227">
        <f>IF(A1227=1,COUNTIF($A$6:A1227,1),"")</f>
        <v/>
      </c>
      <c r="C1227">
        <f>IFERROR(INDEX($D$6:$D$1750,MATCH(ROWS($B$6:B1227),$B$6:$B$1750,0)),"")</f>
        <v/>
      </c>
      <c r="D1227">
        <f>J1227&amp;" ("&amp;E1227&amp;")"</f>
        <v/>
      </c>
      <c r="E1227" t="n">
        <v>22317</v>
      </c>
      <c r="F1227" t="inlineStr">
        <is>
          <t>Skilled Nursing and Interm. Care Facility</t>
        </is>
      </c>
      <c r="G1227" t="inlineStr">
        <is>
          <t>902 South Euclid Avenue</t>
        </is>
      </c>
      <c r="H1227" t="inlineStr">
        <is>
          <t>National City</t>
        </is>
      </c>
      <c r="I1227" t="inlineStr">
        <is>
          <t>San Diego</t>
        </is>
      </c>
      <c r="J1227" t="inlineStr">
        <is>
          <t>Friendship Manor Nursing &amp; Rehabilitation Center</t>
        </is>
      </c>
    </row>
    <row r="1228">
      <c r="A1228">
        <f>--ISNUMBER(IFERROR(SEARCH($C$5,Inputs!$D1228,1),""))</f>
        <v/>
      </c>
      <c r="B1228">
        <f>IF(A1228=1,COUNTIF($A$6:A1228,1),"")</f>
        <v/>
      </c>
      <c r="C1228">
        <f>IFERROR(INDEX($D$6:$D$1750,MATCH(ROWS($B$6:B1228),$B$6:$B$1750,0)),"")</f>
        <v/>
      </c>
      <c r="D1228">
        <f>J1228&amp;" ("&amp;E1228&amp;")"</f>
        <v/>
      </c>
      <c r="E1228" t="n">
        <v>22319</v>
      </c>
      <c r="F1228" t="inlineStr">
        <is>
          <t>Skilled Nursing and Interm. Care Facility</t>
        </is>
      </c>
      <c r="G1228" t="inlineStr">
        <is>
          <t>8060 Frost Street</t>
        </is>
      </c>
      <c r="H1228" t="inlineStr">
        <is>
          <t>San Diego</t>
        </is>
      </c>
      <c r="I1228" t="inlineStr">
        <is>
          <t>San Diego</t>
        </is>
      </c>
      <c r="J1228" t="inlineStr">
        <is>
          <t>Abby Gardens Healthcare Center</t>
        </is>
      </c>
    </row>
    <row r="1229">
      <c r="A1229">
        <f>--ISNUMBER(IFERROR(SEARCH($C$5,Inputs!$D1229,1),""))</f>
        <v/>
      </c>
      <c r="B1229">
        <f>IF(A1229=1,COUNTIF($A$6:A1229,1),"")</f>
        <v/>
      </c>
      <c r="C1229">
        <f>IFERROR(INDEX($D$6:$D$1750,MATCH(ROWS($B$6:B1229),$B$6:$B$1750,0)),"")</f>
        <v/>
      </c>
      <c r="D1229">
        <f>J1229&amp;" ("&amp;E1229&amp;")"</f>
        <v/>
      </c>
      <c r="E1229" t="n">
        <v>22324</v>
      </c>
      <c r="F1229" t="inlineStr">
        <is>
          <t>Skilled Nursing and Interm. Care Facility</t>
        </is>
      </c>
      <c r="G1229" t="inlineStr">
        <is>
          <t>7760 Parkway Drive</t>
        </is>
      </c>
      <c r="H1229" t="inlineStr">
        <is>
          <t>La Mesa</t>
        </is>
      </c>
      <c r="I1229" t="inlineStr">
        <is>
          <t>San Diego</t>
        </is>
      </c>
      <c r="J1229" t="inlineStr">
        <is>
          <t>Parkway Hills Nursing &amp; Rehabilitation</t>
        </is>
      </c>
    </row>
    <row r="1230">
      <c r="A1230">
        <f>--ISNUMBER(IFERROR(SEARCH($C$5,Inputs!$D1230,1),""))</f>
        <v/>
      </c>
      <c r="B1230">
        <f>IF(A1230=1,COUNTIF($A$6:A1230,1),"")</f>
        <v/>
      </c>
      <c r="C1230">
        <f>IFERROR(INDEX($D$6:$D$1750,MATCH(ROWS($B$6:B1230),$B$6:$B$1750,0)),"")</f>
        <v/>
      </c>
      <c r="D1230">
        <f>J1230&amp;" ("&amp;E1230&amp;")"</f>
        <v/>
      </c>
      <c r="E1230" t="n">
        <v>22326</v>
      </c>
      <c r="F1230" t="inlineStr">
        <is>
          <t>Skilled Nursing and Interm. Care Facility</t>
        </is>
      </c>
      <c r="G1230" t="inlineStr">
        <is>
          <t>1201 S Orange Ave</t>
        </is>
      </c>
      <c r="H1230" t="inlineStr">
        <is>
          <t>El Cajon</t>
        </is>
      </c>
      <c r="I1230" t="inlineStr">
        <is>
          <t>San Diego</t>
        </is>
      </c>
      <c r="J1230" t="inlineStr">
        <is>
          <t>San Diego Post-Acute Center</t>
        </is>
      </c>
    </row>
    <row r="1231">
      <c r="A1231">
        <f>--ISNUMBER(IFERROR(SEARCH($C$5,Inputs!$D1231,1),""))</f>
        <v/>
      </c>
      <c r="B1231">
        <f>IF(A1231=1,COUNTIF($A$6:A1231,1),"")</f>
        <v/>
      </c>
      <c r="C1231">
        <f>IFERROR(INDEX($D$6:$D$1750,MATCH(ROWS($B$6:B1231),$B$6:$B$1750,0)),"")</f>
        <v/>
      </c>
      <c r="D1231">
        <f>J1231&amp;" ("&amp;E1231&amp;")"</f>
        <v/>
      </c>
      <c r="E1231" t="n">
        <v>22327</v>
      </c>
      <c r="F1231" t="inlineStr">
        <is>
          <t>Skilled Nursing and Interm. Care Facility</t>
        </is>
      </c>
      <c r="G1231" t="inlineStr">
        <is>
          <t>1889 National City Boulevard</t>
        </is>
      </c>
      <c r="H1231" t="inlineStr">
        <is>
          <t>National City</t>
        </is>
      </c>
      <c r="I1231" t="inlineStr">
        <is>
          <t>San Diego</t>
        </is>
      </c>
      <c r="J1231" t="inlineStr">
        <is>
          <t>Hillcrest Manor Sanitarium</t>
        </is>
      </c>
    </row>
    <row r="1232">
      <c r="A1232">
        <f>--ISNUMBER(IFERROR(SEARCH($C$5,Inputs!$D1232,1),""))</f>
        <v/>
      </c>
      <c r="B1232">
        <f>IF(A1232=1,COUNTIF($A$6:A1232,1),"")</f>
        <v/>
      </c>
      <c r="C1232">
        <f>IFERROR(INDEX($D$6:$D$1750,MATCH(ROWS($B$6:B1232),$B$6:$B$1750,0)),"")</f>
        <v/>
      </c>
      <c r="D1232">
        <f>J1232&amp;" ("&amp;E1232&amp;")"</f>
        <v/>
      </c>
      <c r="E1232" t="n">
        <v>22332</v>
      </c>
      <c r="F1232" t="inlineStr">
        <is>
          <t>Skilled Nursing and Interm. Care Facility</t>
        </is>
      </c>
      <c r="G1232" t="inlineStr">
        <is>
          <t>7675 Family Circle Drive</t>
        </is>
      </c>
      <c r="H1232" t="inlineStr">
        <is>
          <t>San Diego</t>
        </is>
      </c>
      <c r="I1232" t="inlineStr">
        <is>
          <t>San Diego</t>
        </is>
      </c>
      <c r="J1232" t="inlineStr">
        <is>
          <t>Kearny Mesa Convalescent And Nursing Home</t>
        </is>
      </c>
    </row>
    <row r="1233">
      <c r="A1233">
        <f>--ISNUMBER(IFERROR(SEARCH($C$5,Inputs!$D1233,1),""))</f>
        <v/>
      </c>
      <c r="B1233">
        <f>IF(A1233=1,COUNTIF($A$6:A1233,1),"")</f>
        <v/>
      </c>
      <c r="C1233">
        <f>IFERROR(INDEX($D$6:$D$1750,MATCH(ROWS($B$6:B1233),$B$6:$B$1750,0)),"")</f>
        <v/>
      </c>
      <c r="D1233">
        <f>J1233&amp;" ("&amp;E1233&amp;")"</f>
        <v/>
      </c>
      <c r="E1233" t="n">
        <v>22335</v>
      </c>
      <c r="F1233" t="inlineStr">
        <is>
          <t>Skilled Nursing and Interm. Care Facility</t>
        </is>
      </c>
      <c r="G1233" t="inlineStr">
        <is>
          <t>7800 Parkway Drive</t>
        </is>
      </c>
      <c r="H1233" t="inlineStr">
        <is>
          <t>La Mesa</t>
        </is>
      </c>
      <c r="I1233" t="inlineStr">
        <is>
          <t>San Diego</t>
        </is>
      </c>
      <c r="J1233" t="inlineStr">
        <is>
          <t>Arbor Hills Nursing Center</t>
        </is>
      </c>
    </row>
    <row r="1234">
      <c r="A1234">
        <f>--ISNUMBER(IFERROR(SEARCH($C$5,Inputs!$D1234,1),""))</f>
        <v/>
      </c>
      <c r="B1234">
        <f>IF(A1234=1,COUNTIF($A$6:A1234,1),"")</f>
        <v/>
      </c>
      <c r="C1234">
        <f>IFERROR(INDEX($D$6:$D$1750,MATCH(ROWS($B$6:B1234),$B$6:$B$1750,0)),"")</f>
        <v/>
      </c>
      <c r="D1234">
        <f>J1234&amp;" ("&amp;E1234&amp;")"</f>
        <v/>
      </c>
      <c r="E1234" t="n">
        <v>22336</v>
      </c>
      <c r="F1234" t="inlineStr">
        <is>
          <t>Skilled Nursing and Interm. Care Facility</t>
        </is>
      </c>
      <c r="G1234" t="inlineStr">
        <is>
          <t>444 West Lexington Avenue</t>
        </is>
      </c>
      <c r="H1234" t="inlineStr">
        <is>
          <t>El Cajon</t>
        </is>
      </c>
      <c r="I1234" t="inlineStr">
        <is>
          <t>San Diego</t>
        </is>
      </c>
      <c r="J1234" t="inlineStr">
        <is>
          <t>Parkside Health and Wellness Center</t>
        </is>
      </c>
    </row>
    <row r="1235">
      <c r="A1235">
        <f>--ISNUMBER(IFERROR(SEARCH($C$5,Inputs!$D1235,1),""))</f>
        <v/>
      </c>
      <c r="B1235">
        <f>IF(A1235=1,COUNTIF($A$6:A1235,1),"")</f>
        <v/>
      </c>
      <c r="C1235">
        <f>IFERROR(INDEX($D$6:$D$1750,MATCH(ROWS($B$6:B1235),$B$6:$B$1750,0)),"")</f>
        <v/>
      </c>
      <c r="D1235">
        <f>J1235&amp;" ("&amp;E1235&amp;")"</f>
        <v/>
      </c>
      <c r="E1235" t="n">
        <v>22338</v>
      </c>
      <c r="F1235" t="inlineStr">
        <is>
          <t>Skilled Nursing and Interm. Care Facility</t>
        </is>
      </c>
      <c r="G1235" t="inlineStr">
        <is>
          <t>635 South Magnolia Avenue</t>
        </is>
      </c>
      <c r="H1235" t="inlineStr">
        <is>
          <t>El Cajon</t>
        </is>
      </c>
      <c r="I1235" t="inlineStr">
        <is>
          <t>San Diego</t>
        </is>
      </c>
      <c r="J1235" t="inlineStr">
        <is>
          <t>Magnolia Post Acute Care</t>
        </is>
      </c>
    </row>
    <row r="1236">
      <c r="A1236">
        <f>--ISNUMBER(IFERROR(SEARCH($C$5,Inputs!$D1236,1),""))</f>
        <v/>
      </c>
      <c r="B1236">
        <f>IF(A1236=1,COUNTIF($A$6:A1236,1),"")</f>
        <v/>
      </c>
      <c r="C1236">
        <f>IFERROR(INDEX($D$6:$D$1750,MATCH(ROWS($B$6:B1236),$B$6:$B$1750,0)),"")</f>
        <v/>
      </c>
      <c r="D1236">
        <f>J1236&amp;" ("&amp;E1236&amp;")"</f>
        <v/>
      </c>
      <c r="E1236" t="n">
        <v>22341</v>
      </c>
      <c r="F1236" t="inlineStr">
        <is>
          <t>Skilled Nursing and Interm. Care Facility</t>
        </is>
      </c>
      <c r="G1236" t="inlineStr">
        <is>
          <t>4033 Sixth Ave</t>
        </is>
      </c>
      <c r="H1236" t="inlineStr">
        <is>
          <t>San Diego</t>
        </is>
      </c>
      <c r="I1236" t="inlineStr">
        <is>
          <t>San Diego</t>
        </is>
      </c>
      <c r="J1236" t="inlineStr">
        <is>
          <t>Hillcrest Heights Healthcare Center</t>
        </is>
      </c>
    </row>
    <row r="1237">
      <c r="A1237">
        <f>--ISNUMBER(IFERROR(SEARCH($C$5,Inputs!$D1237,1),""))</f>
        <v/>
      </c>
      <c r="B1237">
        <f>IF(A1237=1,COUNTIF($A$6:A1237,1),"")</f>
        <v/>
      </c>
      <c r="C1237">
        <f>IFERROR(INDEX($D$6:$D$1750,MATCH(ROWS($B$6:B1237),$B$6:$B$1750,0)),"")</f>
        <v/>
      </c>
      <c r="D1237">
        <f>J1237&amp;" ("&amp;E1237&amp;")"</f>
        <v/>
      </c>
      <c r="E1237" t="n">
        <v>22343</v>
      </c>
      <c r="F1237" t="inlineStr">
        <is>
          <t>Skilled Nursing and Interm. Care Facility</t>
        </is>
      </c>
      <c r="G1237" t="inlineStr">
        <is>
          <t>2211 Massachusetts Avenue</t>
        </is>
      </c>
      <c r="H1237" t="inlineStr">
        <is>
          <t>Lemon Grove</t>
        </is>
      </c>
      <c r="I1237" t="inlineStr">
        <is>
          <t>San Diego</t>
        </is>
      </c>
      <c r="J1237" t="inlineStr">
        <is>
          <t>Monte Vista Lodge</t>
        </is>
      </c>
    </row>
    <row r="1238">
      <c r="A1238">
        <f>--ISNUMBER(IFERROR(SEARCH($C$5,Inputs!$D1238,1),""))</f>
        <v/>
      </c>
      <c r="B1238">
        <f>IF(A1238=1,COUNTIF($A$6:A1238,1),"")</f>
        <v/>
      </c>
      <c r="C1238">
        <f>IFERROR(INDEX($D$6:$D$1750,MATCH(ROWS($B$6:B1238),$B$6:$B$1750,0)),"")</f>
        <v/>
      </c>
      <c r="D1238">
        <f>J1238&amp;" ("&amp;E1238&amp;")"</f>
        <v/>
      </c>
      <c r="E1238" t="n">
        <v>22346</v>
      </c>
      <c r="F1238" t="inlineStr">
        <is>
          <t>Skilled Nursing and Interm. Care Facility</t>
        </is>
      </c>
      <c r="G1238" t="inlineStr">
        <is>
          <t>900 Santa Fe Drive</t>
        </is>
      </c>
      <c r="H1238" t="inlineStr">
        <is>
          <t>Encinitas</t>
        </is>
      </c>
      <c r="I1238" t="inlineStr">
        <is>
          <t>San Diego</t>
        </is>
      </c>
      <c r="J1238" t="inlineStr">
        <is>
          <t>Encinitas Nursing And Rehabilitation Center</t>
        </is>
      </c>
    </row>
    <row r="1239">
      <c r="A1239">
        <f>--ISNUMBER(IFERROR(SEARCH($C$5,Inputs!$D1239,1),""))</f>
        <v/>
      </c>
      <c r="B1239">
        <f>IF(A1239=1,COUNTIF($A$6:A1239,1),"")</f>
        <v/>
      </c>
      <c r="C1239">
        <f>IFERROR(INDEX($D$6:$D$1750,MATCH(ROWS($B$6:B1239),$B$6:$B$1750,0)),"")</f>
        <v/>
      </c>
      <c r="D1239">
        <f>J1239&amp;" ("&amp;E1239&amp;")"</f>
        <v/>
      </c>
      <c r="E1239" t="n">
        <v>22351</v>
      </c>
      <c r="F1239" t="inlineStr">
        <is>
          <t>Skilled Nursing and Interm. Care Facility</t>
        </is>
      </c>
      <c r="G1239" t="inlineStr">
        <is>
          <t>3202 Duke Street</t>
        </is>
      </c>
      <c r="H1239" t="inlineStr">
        <is>
          <t>San Diego</t>
        </is>
      </c>
      <c r="I1239" t="inlineStr">
        <is>
          <t>San Diego</t>
        </is>
      </c>
      <c r="J1239" t="inlineStr">
        <is>
          <t>The Pavilion At Ocean Point</t>
        </is>
      </c>
    </row>
    <row r="1240">
      <c r="A1240">
        <f>--ISNUMBER(IFERROR(SEARCH($C$5,Inputs!$D1240,1),""))</f>
        <v/>
      </c>
      <c r="B1240">
        <f>IF(A1240=1,COUNTIF($A$6:A1240,1),"")</f>
        <v/>
      </c>
      <c r="C1240">
        <f>IFERROR(INDEX($D$6:$D$1750,MATCH(ROWS($B$6:B1240),$B$6:$B$1750,0)),"")</f>
        <v/>
      </c>
      <c r="D1240">
        <f>J1240&amp;" ("&amp;E1240&amp;")"</f>
        <v/>
      </c>
      <c r="E1240" t="n">
        <v>22354</v>
      </c>
      <c r="F1240" t="inlineStr">
        <is>
          <t>Skilled Nursing and Interm. Care Facility</t>
        </is>
      </c>
      <c r="G1240" t="inlineStr">
        <is>
          <t>12436 Royal Road</t>
        </is>
      </c>
      <c r="H1240" t="inlineStr">
        <is>
          <t>El Cajon</t>
        </is>
      </c>
      <c r="I1240" t="inlineStr">
        <is>
          <t>San Diego</t>
        </is>
      </c>
      <c r="J1240" t="inlineStr">
        <is>
          <t>The Royal Home</t>
        </is>
      </c>
    </row>
    <row r="1241">
      <c r="A1241">
        <f>--ISNUMBER(IFERROR(SEARCH($C$5,Inputs!$D1241,1),""))</f>
        <v/>
      </c>
      <c r="B1241">
        <f>IF(A1241=1,COUNTIF($A$6:A1241,1),"")</f>
        <v/>
      </c>
      <c r="C1241">
        <f>IFERROR(INDEX($D$6:$D$1750,MATCH(ROWS($B$6:B1241),$B$6:$B$1750,0)),"")</f>
        <v/>
      </c>
      <c r="D1241">
        <f>J1241&amp;" ("&amp;E1241&amp;")"</f>
        <v/>
      </c>
      <c r="E1241" t="n">
        <v>22356</v>
      </c>
      <c r="F1241" t="inlineStr">
        <is>
          <t>Skilled Nursing and Interm. Care Facility</t>
        </is>
      </c>
      <c r="G1241" t="inlineStr">
        <is>
          <t>3780 Massachusetts Avenue</t>
        </is>
      </c>
      <c r="H1241" t="inlineStr">
        <is>
          <t>La Mesa</t>
        </is>
      </c>
      <c r="I1241" t="inlineStr">
        <is>
          <t>San Diego</t>
        </is>
      </c>
      <c r="J1241" t="inlineStr">
        <is>
          <t>La Mesa Healthcare Center</t>
        </is>
      </c>
    </row>
    <row r="1242">
      <c r="A1242">
        <f>--ISNUMBER(IFERROR(SEARCH($C$5,Inputs!$D1242,1),""))</f>
        <v/>
      </c>
      <c r="B1242">
        <f>IF(A1242=1,COUNTIF($A$6:A1242,1),"")</f>
        <v/>
      </c>
      <c r="C1242">
        <f>IFERROR(INDEX($D$6:$D$1750,MATCH(ROWS($B$6:B1242),$B$6:$B$1750,0)),"")</f>
        <v/>
      </c>
      <c r="D1242">
        <f>J1242&amp;" ("&amp;E1242&amp;")"</f>
        <v/>
      </c>
      <c r="E1242" t="n">
        <v>22360</v>
      </c>
      <c r="F1242" t="inlineStr">
        <is>
          <t>Skilled Nursing and Interm. Care Facility</t>
        </is>
      </c>
      <c r="G1242" t="inlineStr">
        <is>
          <t>4075 54th Street</t>
        </is>
      </c>
      <c r="H1242" t="inlineStr">
        <is>
          <t>San Diego</t>
        </is>
      </c>
      <c r="I1242" t="inlineStr">
        <is>
          <t>San Diego</t>
        </is>
      </c>
      <c r="J1242" t="inlineStr">
        <is>
          <t>Jacob Health Care Center, LP</t>
        </is>
      </c>
    </row>
    <row r="1243">
      <c r="A1243">
        <f>--ISNUMBER(IFERROR(SEARCH($C$5,Inputs!$D1243,1),""))</f>
        <v/>
      </c>
      <c r="B1243">
        <f>IF(A1243=1,COUNTIF($A$6:A1243,1),"")</f>
        <v/>
      </c>
      <c r="C1243">
        <f>IFERROR(INDEX($D$6:$D$1750,MATCH(ROWS($B$6:B1243),$B$6:$B$1750,0)),"")</f>
        <v/>
      </c>
      <c r="D1243">
        <f>J1243&amp;" ("&amp;E1243&amp;")"</f>
        <v/>
      </c>
      <c r="E1243" t="n">
        <v>22367</v>
      </c>
      <c r="F1243" t="inlineStr">
        <is>
          <t>Skilled Nursing and Interm. Care Facility</t>
        </is>
      </c>
      <c r="G1243" t="inlineStr">
        <is>
          <t>9009 Campo Road</t>
        </is>
      </c>
      <c r="H1243" t="inlineStr">
        <is>
          <t>Spring Valley</t>
        </is>
      </c>
      <c r="I1243" t="inlineStr">
        <is>
          <t>San Diego</t>
        </is>
      </c>
      <c r="J1243" t="inlineStr">
        <is>
          <t>Brighton Place Spring Valley</t>
        </is>
      </c>
    </row>
    <row r="1244">
      <c r="A1244">
        <f>--ISNUMBER(IFERROR(SEARCH($C$5,Inputs!$D1244,1),""))</f>
        <v/>
      </c>
      <c r="B1244">
        <f>IF(A1244=1,COUNTIF($A$6:A1244,1),"")</f>
        <v/>
      </c>
      <c r="C1244">
        <f>IFERROR(INDEX($D$6:$D$1750,MATCH(ROWS($B$6:B1244),$B$6:$B$1750,0)),"")</f>
        <v/>
      </c>
      <c r="D1244">
        <f>J1244&amp;" ("&amp;E1244&amp;")"</f>
        <v/>
      </c>
      <c r="E1244" t="n">
        <v>22370</v>
      </c>
      <c r="F1244" t="inlineStr">
        <is>
          <t>Skilled Nursing and Interm. Care Facility</t>
        </is>
      </c>
      <c r="G1244" t="inlineStr">
        <is>
          <t>1340 East Madison Avenue</t>
        </is>
      </c>
      <c r="H1244" t="inlineStr">
        <is>
          <t>El Cajon</t>
        </is>
      </c>
      <c r="I1244" t="inlineStr">
        <is>
          <t>San Diego</t>
        </is>
      </c>
      <c r="J1244" t="inlineStr">
        <is>
          <t>Granite Hills Healthcare &amp; Wellness Centre, LLC</t>
        </is>
      </c>
    </row>
    <row r="1245">
      <c r="A1245">
        <f>--ISNUMBER(IFERROR(SEARCH($C$5,Inputs!$D1245,1),""))</f>
        <v/>
      </c>
      <c r="B1245">
        <f>IF(A1245=1,COUNTIF($A$6:A1245,1),"")</f>
        <v/>
      </c>
      <c r="C1245">
        <f>IFERROR(INDEX($D$6:$D$1750,MATCH(ROWS($B$6:B1245),$B$6:$B$1750,0)),"")</f>
        <v/>
      </c>
      <c r="D1245">
        <f>J1245&amp;" ("&amp;E1245&amp;")"</f>
        <v/>
      </c>
      <c r="E1245" t="n">
        <v>22371</v>
      </c>
      <c r="F1245" t="inlineStr">
        <is>
          <t>Skilled Nursing and Interm. Care Facility</t>
        </is>
      </c>
      <c r="G1245" t="inlineStr">
        <is>
          <t>2552 Torrey Pines Road</t>
        </is>
      </c>
      <c r="H1245" t="inlineStr">
        <is>
          <t>La Jolla</t>
        </is>
      </c>
      <c r="I1245" t="inlineStr">
        <is>
          <t>San Diego</t>
        </is>
      </c>
      <c r="J1245" t="inlineStr">
        <is>
          <t>La Jolla Nursing And Rehabilitation Center</t>
        </is>
      </c>
    </row>
    <row r="1246">
      <c r="A1246">
        <f>--ISNUMBER(IFERROR(SEARCH($C$5,Inputs!$D1246,1),""))</f>
        <v/>
      </c>
      <c r="B1246">
        <f>IF(A1246=1,COUNTIF($A$6:A1246,1),"")</f>
        <v/>
      </c>
      <c r="C1246">
        <f>IFERROR(INDEX($D$6:$D$1750,MATCH(ROWS($B$6:B1246),$B$6:$B$1750,0)),"")</f>
        <v/>
      </c>
      <c r="D1246">
        <f>J1246&amp;" ("&amp;E1246&amp;")"</f>
        <v/>
      </c>
      <c r="E1246" t="n">
        <v>22374</v>
      </c>
      <c r="F1246" t="inlineStr">
        <is>
          <t>Skilled Nursing and Interm. Care Facility</t>
        </is>
      </c>
      <c r="G1246" t="inlineStr">
        <is>
          <t>1025 West Second Ave</t>
        </is>
      </c>
      <c r="H1246" t="inlineStr">
        <is>
          <t>Escondido</t>
        </is>
      </c>
      <c r="I1246" t="inlineStr">
        <is>
          <t>San Diego</t>
        </is>
      </c>
      <c r="J1246" t="inlineStr">
        <is>
          <t>Valle Vista Convalescent Hospital</t>
        </is>
      </c>
    </row>
    <row r="1247">
      <c r="A1247">
        <f>--ISNUMBER(IFERROR(SEARCH($C$5,Inputs!$D1247,1),""))</f>
        <v/>
      </c>
      <c r="B1247">
        <f>IF(A1247=1,COUNTIF($A$6:A1247,1),"")</f>
        <v/>
      </c>
      <c r="C1247">
        <f>IFERROR(INDEX($D$6:$D$1750,MATCH(ROWS($B$6:B1247),$B$6:$B$1750,0)),"")</f>
        <v/>
      </c>
      <c r="D1247">
        <f>J1247&amp;" ("&amp;E1247&amp;")"</f>
        <v/>
      </c>
      <c r="E1247" t="n">
        <v>22378</v>
      </c>
      <c r="F1247" t="inlineStr">
        <is>
          <t>Skilled Nursing and Interm. Care Facility</t>
        </is>
      </c>
      <c r="G1247" t="inlineStr">
        <is>
          <t>304 North Melrose Drive</t>
        </is>
      </c>
      <c r="H1247" t="inlineStr">
        <is>
          <t>Vista</t>
        </is>
      </c>
      <c r="I1247" t="inlineStr">
        <is>
          <t>San Diego</t>
        </is>
      </c>
      <c r="J1247" t="inlineStr">
        <is>
          <t>Life Care Center of Vista</t>
        </is>
      </c>
    </row>
    <row r="1248">
      <c r="A1248">
        <f>--ISNUMBER(IFERROR(SEARCH($C$5,Inputs!$D1248,1),""))</f>
        <v/>
      </c>
      <c r="B1248">
        <f>IF(A1248=1,COUNTIF($A$6:A1248,1),"")</f>
        <v/>
      </c>
      <c r="C1248">
        <f>IFERROR(INDEX($D$6:$D$1750,MATCH(ROWS($B$6:B1248),$B$6:$B$1750,0)),"")</f>
        <v/>
      </c>
      <c r="D1248">
        <f>J1248&amp;" ("&amp;E1248&amp;")"</f>
        <v/>
      </c>
      <c r="E1248" t="n">
        <v>22380</v>
      </c>
      <c r="F1248" t="inlineStr">
        <is>
          <t>Skilled Nursing and Interm. Care Facility</t>
        </is>
      </c>
      <c r="G1248" t="inlineStr">
        <is>
          <t>7450 Olivetas Avenue</t>
        </is>
      </c>
      <c r="H1248" t="inlineStr">
        <is>
          <t>La Jolla</t>
        </is>
      </c>
      <c r="I1248" t="inlineStr">
        <is>
          <t>San Diego</t>
        </is>
      </c>
      <c r="J1248" t="inlineStr">
        <is>
          <t>White Sands Of La Jolla</t>
        </is>
      </c>
    </row>
    <row r="1249">
      <c r="A1249">
        <f>--ISNUMBER(IFERROR(SEARCH($C$5,Inputs!$D1249,1),""))</f>
        <v/>
      </c>
      <c r="B1249">
        <f>IF(A1249=1,COUNTIF($A$6:A1249,1),"")</f>
        <v/>
      </c>
      <c r="C1249">
        <f>IFERROR(INDEX($D$6:$D$1750,MATCH(ROWS($B$6:B1249),$B$6:$B$1750,0)),"")</f>
        <v/>
      </c>
      <c r="D1249">
        <f>J1249&amp;" ("&amp;E1249&amp;")"</f>
        <v/>
      </c>
      <c r="E1249" t="n">
        <v>22382</v>
      </c>
      <c r="F1249" t="inlineStr">
        <is>
          <t>Skilled Nursing and Interm. Care Facility</t>
        </is>
      </c>
      <c r="G1249" t="inlineStr">
        <is>
          <t>8625 Lamar St.</t>
        </is>
      </c>
      <c r="H1249" t="inlineStr">
        <is>
          <t>Spring Valley</t>
        </is>
      </c>
      <c r="I1249" t="inlineStr">
        <is>
          <t>San Diego</t>
        </is>
      </c>
      <c r="J1249" t="inlineStr">
        <is>
          <t>Amaya Springs Health Care Center</t>
        </is>
      </c>
    </row>
    <row r="1250">
      <c r="A1250">
        <f>--ISNUMBER(IFERROR(SEARCH($C$5,Inputs!$D1250,1),""))</f>
        <v/>
      </c>
      <c r="B1250">
        <f>IF(A1250=1,COUNTIF($A$6:A1250,1),"")</f>
        <v/>
      </c>
      <c r="C1250">
        <f>IFERROR(INDEX($D$6:$D$1750,MATCH(ROWS($B$6:B1250),$B$6:$B$1750,0)),"")</f>
        <v/>
      </c>
      <c r="D1250">
        <f>J1250&amp;" ("&amp;E1250&amp;")"</f>
        <v/>
      </c>
      <c r="E1250" t="n">
        <v>22383</v>
      </c>
      <c r="F1250" t="inlineStr">
        <is>
          <t>Skilled Nursing and Interm. Care Facility</t>
        </is>
      </c>
      <c r="G1250" t="inlineStr">
        <is>
          <t>11962 Woodside Avenue</t>
        </is>
      </c>
      <c r="H1250" t="inlineStr">
        <is>
          <t>Lakeside</t>
        </is>
      </c>
      <c r="I1250" t="inlineStr">
        <is>
          <t>San Diego</t>
        </is>
      </c>
      <c r="J1250" t="inlineStr">
        <is>
          <t>Lakeside Special Care Center</t>
        </is>
      </c>
    </row>
    <row r="1251">
      <c r="A1251">
        <f>--ISNUMBER(IFERROR(SEARCH($C$5,Inputs!$D1251,1),""))</f>
        <v/>
      </c>
      <c r="B1251">
        <f>IF(A1251=1,COUNTIF($A$6:A1251,1),"")</f>
        <v/>
      </c>
      <c r="C1251">
        <f>IFERROR(INDEX($D$6:$D$1750,MATCH(ROWS($B$6:B1251),$B$6:$B$1750,0)),"")</f>
        <v/>
      </c>
      <c r="D1251">
        <f>J1251&amp;" ("&amp;E1251&amp;")"</f>
        <v/>
      </c>
      <c r="E1251" t="n">
        <v>22386</v>
      </c>
      <c r="F1251" t="inlineStr">
        <is>
          <t>Skilled Nursing and Interm. Care Facility</t>
        </is>
      </c>
      <c r="G1251" t="inlineStr">
        <is>
          <t>3520 4th Avenue</t>
        </is>
      </c>
      <c r="H1251" t="inlineStr">
        <is>
          <t>San Diego</t>
        </is>
      </c>
      <c r="I1251" t="inlineStr">
        <is>
          <t>San Diego</t>
        </is>
      </c>
      <c r="J1251" t="inlineStr">
        <is>
          <t>Balboa Nursing &amp; Rehabilitation Center</t>
        </is>
      </c>
    </row>
    <row r="1252">
      <c r="A1252">
        <f>--ISNUMBER(IFERROR(SEARCH($C$5,Inputs!$D1252,1),""))</f>
        <v/>
      </c>
      <c r="B1252">
        <f>IF(A1252=1,COUNTIF($A$6:A1252,1),"")</f>
        <v/>
      </c>
      <c r="C1252">
        <f>IFERROR(INDEX($D$6:$D$1750,MATCH(ROWS($B$6:B1252),$B$6:$B$1750,0)),"")</f>
        <v/>
      </c>
      <c r="D1252">
        <f>J1252&amp;" ("&amp;E1252&amp;")"</f>
        <v/>
      </c>
      <c r="E1252" t="n">
        <v>22401</v>
      </c>
      <c r="F1252" t="inlineStr">
        <is>
          <t>Skilled Nursing and Interm. Care Facility</t>
        </is>
      </c>
      <c r="G1252" t="inlineStr">
        <is>
          <t>1355 Ellis Street</t>
        </is>
      </c>
      <c r="H1252" t="inlineStr">
        <is>
          <t>San Francisco</t>
        </is>
      </c>
      <c r="I1252" t="inlineStr">
        <is>
          <t>San Francisco</t>
        </is>
      </c>
      <c r="J1252" t="inlineStr">
        <is>
          <t>Central Gardens Post Acute</t>
        </is>
      </c>
    </row>
    <row r="1253">
      <c r="A1253">
        <f>--ISNUMBER(IFERROR(SEARCH($C$5,Inputs!$D1253,1),""))</f>
        <v/>
      </c>
      <c r="B1253">
        <f>IF(A1253=1,COUNTIF($A$6:A1253,1),"")</f>
        <v/>
      </c>
      <c r="C1253">
        <f>IFERROR(INDEX($D$6:$D$1750,MATCH(ROWS($B$6:B1253),$B$6:$B$1750,0)),"")</f>
        <v/>
      </c>
      <c r="D1253">
        <f>J1253&amp;" ("&amp;E1253&amp;")"</f>
        <v/>
      </c>
      <c r="E1253" t="n">
        <v>22408</v>
      </c>
      <c r="F1253" t="inlineStr">
        <is>
          <t>Skilled Nursing and Interm. Care Facility</t>
        </is>
      </c>
      <c r="G1253" t="inlineStr">
        <is>
          <t>5767 Mission Street</t>
        </is>
      </c>
      <c r="H1253" t="inlineStr">
        <is>
          <t>San Francisco</t>
        </is>
      </c>
      <c r="I1253" t="inlineStr">
        <is>
          <t>San Francisco</t>
        </is>
      </c>
      <c r="J1253" t="inlineStr">
        <is>
          <t>San Francisco Post Acute</t>
        </is>
      </c>
    </row>
    <row r="1254">
      <c r="A1254">
        <f>--ISNUMBER(IFERROR(SEARCH($C$5,Inputs!$D1254,1),""))</f>
        <v/>
      </c>
      <c r="B1254">
        <f>IF(A1254=1,COUNTIF($A$6:A1254,1),"")</f>
        <v/>
      </c>
      <c r="C1254">
        <f>IFERROR(INDEX($D$6:$D$1750,MATCH(ROWS($B$6:B1254),$B$6:$B$1750,0)),"")</f>
        <v/>
      </c>
      <c r="D1254">
        <f>J1254&amp;" ("&amp;E1254&amp;")"</f>
        <v/>
      </c>
      <c r="E1254" t="n">
        <v>22413</v>
      </c>
      <c r="F1254" t="inlineStr">
        <is>
          <t>Skilled Nursing and Interm. Care Facility</t>
        </is>
      </c>
      <c r="G1254" t="inlineStr">
        <is>
          <t>15099 Mission Hills Road</t>
        </is>
      </c>
      <c r="H1254" t="inlineStr">
        <is>
          <t>Mission Hills</t>
        </is>
      </c>
      <c r="I1254" t="inlineStr">
        <is>
          <t>Los Angeles</t>
        </is>
      </c>
      <c r="J1254" t="inlineStr">
        <is>
          <t>Ararat Nursing Facility</t>
        </is>
      </c>
    </row>
    <row r="1255">
      <c r="A1255">
        <f>--ISNUMBER(IFERROR(SEARCH($C$5,Inputs!$D1255,1),""))</f>
        <v/>
      </c>
      <c r="B1255">
        <f>IF(A1255=1,COUNTIF($A$6:A1255,1),"")</f>
        <v/>
      </c>
      <c r="C1255">
        <f>IFERROR(INDEX($D$6:$D$1750,MATCH(ROWS($B$6:B1255),$B$6:$B$1750,0)),"")</f>
        <v/>
      </c>
      <c r="D1255">
        <f>J1255&amp;" ("&amp;E1255&amp;")"</f>
        <v/>
      </c>
      <c r="E1255" t="n">
        <v>22415</v>
      </c>
      <c r="F1255" t="inlineStr">
        <is>
          <t>Skilled Nursing and Interm. Care Facility</t>
        </is>
      </c>
      <c r="G1255" t="inlineStr">
        <is>
          <t>2043 19th Avenue</t>
        </is>
      </c>
      <c r="H1255" t="inlineStr">
        <is>
          <t>San Francisco</t>
        </is>
      </c>
      <c r="I1255" t="inlineStr">
        <is>
          <t>San Francisco</t>
        </is>
      </c>
      <c r="J1255" t="inlineStr">
        <is>
          <t>The Avenues Transitional Care Center</t>
        </is>
      </c>
    </row>
    <row r="1256">
      <c r="A1256">
        <f>--ISNUMBER(IFERROR(SEARCH($C$5,Inputs!$D1256,1),""))</f>
        <v/>
      </c>
      <c r="B1256">
        <f>IF(A1256=1,COUNTIF($A$6:A1256,1),"")</f>
        <v/>
      </c>
      <c r="C1256">
        <f>IFERROR(INDEX($D$6:$D$1750,MATCH(ROWS($B$6:B1256),$B$6:$B$1750,0)),"")</f>
        <v/>
      </c>
      <c r="D1256">
        <f>J1256&amp;" ("&amp;E1256&amp;")"</f>
        <v/>
      </c>
      <c r="E1256" t="n">
        <v>22424</v>
      </c>
      <c r="F1256" t="inlineStr">
        <is>
          <t>Skilled Nursing and Interm. Care Facility</t>
        </is>
      </c>
      <c r="G1256" t="inlineStr">
        <is>
          <t>1250 Hayes Street</t>
        </is>
      </c>
      <c r="H1256" t="inlineStr">
        <is>
          <t>San Francisco</t>
        </is>
      </c>
      <c r="I1256" t="inlineStr">
        <is>
          <t>San Francisco</t>
        </is>
      </c>
      <c r="J1256" t="inlineStr">
        <is>
          <t>Hayes Convalescent Hospital</t>
        </is>
      </c>
    </row>
    <row r="1257">
      <c r="A1257">
        <f>--ISNUMBER(IFERROR(SEARCH($C$5,Inputs!$D1257,1),""))</f>
        <v/>
      </c>
      <c r="B1257">
        <f>IF(A1257=1,COUNTIF($A$6:A1257,1),"")</f>
        <v/>
      </c>
      <c r="C1257">
        <f>IFERROR(INDEX($D$6:$D$1750,MATCH(ROWS($B$6:B1257),$B$6:$B$1750,0)),"")</f>
        <v/>
      </c>
      <c r="D1257">
        <f>J1257&amp;" ("&amp;E1257&amp;")"</f>
        <v/>
      </c>
      <c r="E1257" t="n">
        <v>22427</v>
      </c>
      <c r="F1257" t="inlineStr">
        <is>
          <t>Skilled Nursing and Interm. Care Facility</t>
        </is>
      </c>
      <c r="G1257" t="inlineStr">
        <is>
          <t>3400 Laguna Street</t>
        </is>
      </c>
      <c r="H1257" t="inlineStr">
        <is>
          <t>San Francisco</t>
        </is>
      </c>
      <c r="I1257" t="inlineStr">
        <is>
          <t>San Francisco</t>
        </is>
      </c>
      <c r="J1257" t="inlineStr">
        <is>
          <t>Heritage On The Marina</t>
        </is>
      </c>
    </row>
    <row r="1258">
      <c r="A1258">
        <f>--ISNUMBER(IFERROR(SEARCH($C$5,Inputs!$D1258,1),""))</f>
        <v/>
      </c>
      <c r="B1258">
        <f>IF(A1258=1,COUNTIF($A$6:A1258,1),"")</f>
        <v/>
      </c>
      <c r="C1258">
        <f>IFERROR(INDEX($D$6:$D$1750,MATCH(ROWS($B$6:B1258),$B$6:$B$1750,0)),"")</f>
        <v/>
      </c>
      <c r="D1258">
        <f>J1258&amp;" ("&amp;E1258&amp;")"</f>
        <v/>
      </c>
      <c r="E1258" t="n">
        <v>22431</v>
      </c>
      <c r="F1258" t="inlineStr">
        <is>
          <t>Skilled Nursing and Interm. Care Facility</t>
        </is>
      </c>
      <c r="G1258" t="inlineStr">
        <is>
          <t>12220 Foothill Blvd</t>
        </is>
      </c>
      <c r="H1258" t="inlineStr">
        <is>
          <t>Sylmar</t>
        </is>
      </c>
      <c r="I1258" t="inlineStr">
        <is>
          <t>Los Angeles</t>
        </is>
      </c>
      <c r="J1258" t="inlineStr">
        <is>
          <t>Sylmar Health And Rehabilitation Center</t>
        </is>
      </c>
    </row>
    <row r="1259">
      <c r="A1259">
        <f>--ISNUMBER(IFERROR(SEARCH($C$5,Inputs!$D1259,1),""))</f>
        <v/>
      </c>
      <c r="B1259">
        <f>IF(A1259=1,COUNTIF($A$6:A1259,1),"")</f>
        <v/>
      </c>
      <c r="C1259">
        <f>IFERROR(INDEX($D$6:$D$1750,MATCH(ROWS($B$6:B1259),$B$6:$B$1750,0)),"")</f>
        <v/>
      </c>
      <c r="D1259">
        <f>J1259&amp;" ("&amp;E1259&amp;")"</f>
        <v/>
      </c>
      <c r="E1259" t="n">
        <v>22434</v>
      </c>
      <c r="F1259" t="inlineStr">
        <is>
          <t>Skilled Nursing and Interm. Care Facility</t>
        </is>
      </c>
      <c r="G1259" t="inlineStr">
        <is>
          <t>2740 California Street</t>
        </is>
      </c>
      <c r="H1259" t="inlineStr">
        <is>
          <t>San Francisco</t>
        </is>
      </c>
      <c r="I1259" t="inlineStr">
        <is>
          <t>San Francisco</t>
        </is>
      </c>
      <c r="J1259" t="inlineStr">
        <is>
          <t>Laurel Heights Community Care</t>
        </is>
      </c>
    </row>
    <row r="1260">
      <c r="A1260">
        <f>--ISNUMBER(IFERROR(SEARCH($C$5,Inputs!$D1260,1),""))</f>
        <v/>
      </c>
      <c r="B1260">
        <f>IF(A1260=1,COUNTIF($A$6:A1260,1),"")</f>
        <v/>
      </c>
      <c r="C1260">
        <f>IFERROR(INDEX($D$6:$D$1750,MATCH(ROWS($B$6:B1260),$B$6:$B$1750,0)),"")</f>
        <v/>
      </c>
      <c r="D1260">
        <f>J1260&amp;" ("&amp;E1260&amp;")"</f>
        <v/>
      </c>
      <c r="E1260" t="n">
        <v>22435</v>
      </c>
      <c r="F1260" t="inlineStr">
        <is>
          <t>Skilled Nursing and Interm. Care Facility</t>
        </is>
      </c>
      <c r="G1260" t="inlineStr">
        <is>
          <t>1575 Seventh Avenue</t>
        </is>
      </c>
      <c r="H1260" t="inlineStr">
        <is>
          <t>San Francisco</t>
        </is>
      </c>
      <c r="I1260" t="inlineStr">
        <is>
          <t>San Francisco</t>
        </is>
      </c>
      <c r="J1260" t="inlineStr">
        <is>
          <t>Lawton Skilled Nursing &amp; Rehabilitation Center</t>
        </is>
      </c>
    </row>
    <row r="1261">
      <c r="A1261">
        <f>--ISNUMBER(IFERROR(SEARCH($C$5,Inputs!$D1261,1),""))</f>
        <v/>
      </c>
      <c r="B1261">
        <f>IF(A1261=1,COUNTIF($A$6:A1261,1),"")</f>
        <v/>
      </c>
      <c r="C1261">
        <f>IFERROR(INDEX($D$6:$D$1750,MATCH(ROWS($B$6:B1261),$B$6:$B$1750,0)),"")</f>
        <v/>
      </c>
      <c r="D1261">
        <f>J1261&amp;" ("&amp;E1261&amp;")"</f>
        <v/>
      </c>
      <c r="E1261" t="n">
        <v>22477</v>
      </c>
      <c r="F1261" t="inlineStr">
        <is>
          <t>Skilled Nursing and Interm. Care Facility</t>
        </is>
      </c>
      <c r="G1261" t="inlineStr">
        <is>
          <t>2121 Pine Street</t>
        </is>
      </c>
      <c r="H1261" t="inlineStr">
        <is>
          <t>San Francisco</t>
        </is>
      </c>
      <c r="I1261" t="inlineStr">
        <is>
          <t>San Francisco</t>
        </is>
      </c>
      <c r="J1261" t="inlineStr">
        <is>
          <t>Victorian Post Acute</t>
        </is>
      </c>
    </row>
    <row r="1262">
      <c r="A1262">
        <f>--ISNUMBER(IFERROR(SEARCH($C$5,Inputs!$D1262,1),""))</f>
        <v/>
      </c>
      <c r="B1262">
        <f>IF(A1262=1,COUNTIF($A$6:A1262,1),"")</f>
        <v/>
      </c>
      <c r="C1262">
        <f>IFERROR(INDEX($D$6:$D$1750,MATCH(ROWS($B$6:B1262),$B$6:$B$1750,0)),"")</f>
        <v/>
      </c>
      <c r="D1262">
        <f>J1262&amp;" ("&amp;E1262&amp;")"</f>
        <v/>
      </c>
      <c r="E1262" t="n">
        <v>22481</v>
      </c>
      <c r="F1262" t="inlineStr">
        <is>
          <t>Skilled Nursing and Interm. Care Facility</t>
        </is>
      </c>
      <c r="G1262" t="inlineStr">
        <is>
          <t>2707 Pine Street</t>
        </is>
      </c>
      <c r="H1262" t="inlineStr">
        <is>
          <t>San Francisco</t>
        </is>
      </c>
      <c r="I1262" t="inlineStr">
        <is>
          <t>San Francisco</t>
        </is>
      </c>
      <c r="J1262" t="inlineStr">
        <is>
          <t>Pacific Heights Transitional Care Center</t>
        </is>
      </c>
    </row>
    <row r="1263">
      <c r="A1263">
        <f>--ISNUMBER(IFERROR(SEARCH($C$5,Inputs!$D1263,1),""))</f>
        <v/>
      </c>
      <c r="B1263">
        <f>IF(A1263=1,COUNTIF($A$6:A1263,1),"")</f>
        <v/>
      </c>
      <c r="C1263">
        <f>IFERROR(INDEX($D$6:$D$1750,MATCH(ROWS($B$6:B1263),$B$6:$B$1750,0)),"")</f>
        <v/>
      </c>
      <c r="D1263">
        <f>J1263&amp;" ("&amp;E1263&amp;")"</f>
        <v/>
      </c>
      <c r="E1263" t="n">
        <v>22483</v>
      </c>
      <c r="F1263" t="inlineStr">
        <is>
          <t>Skilled Nursing and Interm. Care Facility</t>
        </is>
      </c>
      <c r="G1263" t="inlineStr">
        <is>
          <t>1359 Pine Street</t>
        </is>
      </c>
      <c r="H1263" t="inlineStr">
        <is>
          <t>San Francisco</t>
        </is>
      </c>
      <c r="I1263" t="inlineStr">
        <is>
          <t>San Francisco</t>
        </is>
      </c>
      <c r="J1263" t="inlineStr">
        <is>
          <t>City View Post Acute</t>
        </is>
      </c>
    </row>
    <row r="1264">
      <c r="A1264">
        <f>--ISNUMBER(IFERROR(SEARCH($C$5,Inputs!$D1264,1),""))</f>
        <v/>
      </c>
      <c r="B1264">
        <f>IF(A1264=1,COUNTIF($A$6:A1264,1),"")</f>
        <v/>
      </c>
      <c r="C1264">
        <f>IFERROR(INDEX($D$6:$D$1750,MATCH(ROWS($B$6:B1264),$B$6:$B$1750,0)),"")</f>
        <v/>
      </c>
      <c r="D1264">
        <f>J1264&amp;" ("&amp;E1264&amp;")"</f>
        <v/>
      </c>
      <c r="E1264" t="n">
        <v>22490</v>
      </c>
      <c r="F1264" t="inlineStr">
        <is>
          <t>Skilled Nursing and Interm. Care Facility</t>
        </is>
      </c>
      <c r="G1264" t="inlineStr">
        <is>
          <t>508 Westline Dr</t>
        </is>
      </c>
      <c r="H1264" t="inlineStr">
        <is>
          <t>Alameda</t>
        </is>
      </c>
      <c r="I1264" t="inlineStr">
        <is>
          <t>Alameda</t>
        </is>
      </c>
      <c r="J1264" t="inlineStr">
        <is>
          <t>Crown Bay Nursing &amp; Rehabilitation Center</t>
        </is>
      </c>
    </row>
    <row r="1265">
      <c r="A1265">
        <f>--ISNUMBER(IFERROR(SEARCH($C$5,Inputs!$D1265,1),""))</f>
        <v/>
      </c>
      <c r="B1265">
        <f>IF(A1265=1,COUNTIF($A$6:A1265,1),"")</f>
        <v/>
      </c>
      <c r="C1265">
        <f>IFERROR(INDEX($D$6:$D$1750,MATCH(ROWS($B$6:B1265),$B$6:$B$1750,0)),"")</f>
        <v/>
      </c>
      <c r="D1265">
        <f>J1265&amp;" ("&amp;E1265&amp;")"</f>
        <v/>
      </c>
      <c r="E1265" t="n">
        <v>22491</v>
      </c>
      <c r="F1265" t="inlineStr">
        <is>
          <t>Skilled Nursing and Interm. Care Facility</t>
        </is>
      </c>
      <c r="G1265" t="inlineStr">
        <is>
          <t>8171 Magnolia Avenue</t>
        </is>
      </c>
      <c r="H1265" t="inlineStr">
        <is>
          <t>Riverside</t>
        </is>
      </c>
      <c r="I1265" t="inlineStr">
        <is>
          <t>Riverside</t>
        </is>
      </c>
      <c r="J1265" t="inlineStr">
        <is>
          <t>Extended Care Hospital Of Riverside</t>
        </is>
      </c>
    </row>
    <row r="1266">
      <c r="A1266">
        <f>--ISNUMBER(IFERROR(SEARCH($C$5,Inputs!$D1266,1),""))</f>
        <v/>
      </c>
      <c r="B1266">
        <f>IF(A1266=1,COUNTIF($A$6:A1266,1),"")</f>
        <v/>
      </c>
      <c r="C1266">
        <f>IFERROR(INDEX($D$6:$D$1750,MATCH(ROWS($B$6:B1266),$B$6:$B$1750,0)),"")</f>
        <v/>
      </c>
      <c r="D1266">
        <f>J1266&amp;" ("&amp;E1266&amp;")"</f>
        <v/>
      </c>
      <c r="E1266" t="n">
        <v>22492</v>
      </c>
      <c r="F1266" t="inlineStr">
        <is>
          <t>Skilled Nursing and Interm. Care Facility</t>
        </is>
      </c>
      <c r="G1266" t="inlineStr">
        <is>
          <t>900 Mountain Ranch Road</t>
        </is>
      </c>
      <c r="H1266" t="inlineStr">
        <is>
          <t>San Andreas</t>
        </is>
      </c>
      <c r="I1266" t="inlineStr">
        <is>
          <t>Calaveras</t>
        </is>
      </c>
      <c r="J1266" t="inlineStr">
        <is>
          <t>Avalon Health Care - San Andreas</t>
        </is>
      </c>
    </row>
    <row r="1267">
      <c r="A1267">
        <f>--ISNUMBER(IFERROR(SEARCH($C$5,Inputs!$D1267,1),""))</f>
        <v/>
      </c>
      <c r="B1267">
        <f>IF(A1267=1,COUNTIF($A$6:A1267,1),"")</f>
        <v/>
      </c>
      <c r="C1267">
        <f>IFERROR(INDEX($D$6:$D$1750,MATCH(ROWS($B$6:B1267),$B$6:$B$1750,0)),"")</f>
        <v/>
      </c>
      <c r="D1267">
        <f>J1267&amp;" ("&amp;E1267&amp;")"</f>
        <v/>
      </c>
      <c r="E1267" t="n">
        <v>22493</v>
      </c>
      <c r="F1267" t="inlineStr">
        <is>
          <t>Skilled Nursing and Interm. Care Facility</t>
        </is>
      </c>
      <c r="G1267" t="inlineStr">
        <is>
          <t>5650 Reseda Blvd</t>
        </is>
      </c>
      <c r="H1267" t="inlineStr">
        <is>
          <t>Tarzana</t>
        </is>
      </c>
      <c r="I1267" t="inlineStr">
        <is>
          <t>Los Angeles</t>
        </is>
      </c>
      <c r="J1267" t="inlineStr">
        <is>
          <t>Tarzana Health And Rehabilitation Center</t>
        </is>
      </c>
    </row>
    <row r="1268">
      <c r="A1268">
        <f>--ISNUMBER(IFERROR(SEARCH($C$5,Inputs!$D1268,1),""))</f>
        <v/>
      </c>
      <c r="B1268">
        <f>IF(A1268=1,COUNTIF($A$6:A1268,1),"")</f>
        <v/>
      </c>
      <c r="C1268">
        <f>IFERROR(INDEX($D$6:$D$1750,MATCH(ROWS($B$6:B1268),$B$6:$B$1750,0)),"")</f>
        <v/>
      </c>
      <c r="D1268">
        <f>J1268&amp;" ("&amp;E1268&amp;")"</f>
        <v/>
      </c>
      <c r="E1268" t="n">
        <v>22495</v>
      </c>
      <c r="F1268" t="inlineStr">
        <is>
          <t>Skilled Nursing and Interm. Care Facility</t>
        </is>
      </c>
      <c r="G1268" t="inlineStr">
        <is>
          <t>442 Sunset Boulevard</t>
        </is>
      </c>
      <c r="H1268" t="inlineStr">
        <is>
          <t>Hayward</t>
        </is>
      </c>
      <c r="I1268" t="inlineStr">
        <is>
          <t>Alameda</t>
        </is>
      </c>
      <c r="J1268" t="inlineStr">
        <is>
          <t>Baypoint Healthcare Center</t>
        </is>
      </c>
    </row>
    <row r="1269">
      <c r="A1269">
        <f>--ISNUMBER(IFERROR(SEARCH($C$5,Inputs!$D1269,1),""))</f>
        <v/>
      </c>
      <c r="B1269">
        <f>IF(A1269=1,COUNTIF($A$6:A1269,1),"")</f>
        <v/>
      </c>
      <c r="C1269">
        <f>IFERROR(INDEX($D$6:$D$1750,MATCH(ROWS($B$6:B1269),$B$6:$B$1750,0)),"")</f>
        <v/>
      </c>
      <c r="D1269">
        <f>J1269&amp;" ("&amp;E1269&amp;")"</f>
        <v/>
      </c>
      <c r="E1269" t="n">
        <v>22503</v>
      </c>
      <c r="F1269" t="inlineStr">
        <is>
          <t>Skilled Nursing and Interm. Care Facility</t>
        </is>
      </c>
      <c r="G1269" t="inlineStr">
        <is>
          <t>1800 Adobe Street</t>
        </is>
      </c>
      <c r="H1269" t="inlineStr">
        <is>
          <t>Concord</t>
        </is>
      </c>
      <c r="I1269" t="inlineStr">
        <is>
          <t>Contra Costa</t>
        </is>
      </c>
      <c r="J1269" t="inlineStr">
        <is>
          <t>Bayberry Skilled Nursing &amp; Healthcare Center</t>
        </is>
      </c>
    </row>
    <row r="1270">
      <c r="A1270">
        <f>--ISNUMBER(IFERROR(SEARCH($C$5,Inputs!$D1270,1),""))</f>
        <v/>
      </c>
      <c r="B1270">
        <f>IF(A1270=1,COUNTIF($A$6:A1270,1),"")</f>
        <v/>
      </c>
      <c r="C1270">
        <f>IFERROR(INDEX($D$6:$D$1750,MATCH(ROWS($B$6:B1270),$B$6:$B$1750,0)),"")</f>
        <v/>
      </c>
      <c r="D1270">
        <f>J1270&amp;" ("&amp;E1270&amp;")"</f>
        <v/>
      </c>
      <c r="E1270" t="n">
        <v>22506</v>
      </c>
      <c r="F1270" t="inlineStr">
        <is>
          <t>Skilled Nursing and Interm. Care Facility</t>
        </is>
      </c>
      <c r="G1270" t="inlineStr">
        <is>
          <t>730 34th St</t>
        </is>
      </c>
      <c r="H1270" t="inlineStr">
        <is>
          <t>Bakersfield</t>
        </is>
      </c>
      <c r="I1270" t="inlineStr">
        <is>
          <t>Kern</t>
        </is>
      </c>
      <c r="J1270" t="inlineStr">
        <is>
          <t>The Orchards Post-Acute</t>
        </is>
      </c>
    </row>
    <row r="1271">
      <c r="A1271">
        <f>--ISNUMBER(IFERROR(SEARCH($C$5,Inputs!$D1271,1),""))</f>
        <v/>
      </c>
      <c r="B1271">
        <f>IF(A1271=1,COUNTIF($A$6:A1271,1),"")</f>
        <v/>
      </c>
      <c r="C1271">
        <f>IFERROR(INDEX($D$6:$D$1750,MATCH(ROWS($B$6:B1271),$B$6:$B$1750,0)),"")</f>
        <v/>
      </c>
      <c r="D1271">
        <f>J1271&amp;" ("&amp;E1271&amp;")"</f>
        <v/>
      </c>
      <c r="E1271" t="n">
        <v>22507</v>
      </c>
      <c r="F1271" t="inlineStr">
        <is>
          <t>Skilled Nursing and Interm. Care Facility</t>
        </is>
      </c>
      <c r="G1271" t="inlineStr">
        <is>
          <t>1154 S Alvarado St</t>
        </is>
      </c>
      <c r="H1271" t="inlineStr">
        <is>
          <t>Los Angeles</t>
        </is>
      </c>
      <c r="I1271" t="inlineStr">
        <is>
          <t>Los Angeles</t>
        </is>
      </c>
      <c r="J1271" t="inlineStr">
        <is>
          <t>Alvarado Care Center</t>
        </is>
      </c>
    </row>
    <row r="1272">
      <c r="A1272">
        <f>--ISNUMBER(IFERROR(SEARCH($C$5,Inputs!$D1272,1),""))</f>
        <v/>
      </c>
      <c r="B1272">
        <f>IF(A1272=1,COUNTIF($A$6:A1272,1),"")</f>
        <v/>
      </c>
      <c r="C1272">
        <f>IFERROR(INDEX($D$6:$D$1750,MATCH(ROWS($B$6:B1272),$B$6:$B$1750,0)),"")</f>
        <v/>
      </c>
      <c r="D1272">
        <f>J1272&amp;" ("&amp;E1272&amp;")"</f>
        <v/>
      </c>
      <c r="E1272" t="n">
        <v>22508</v>
      </c>
      <c r="F1272" t="inlineStr">
        <is>
          <t>Skilled Nursing and Interm. Care Facility</t>
        </is>
      </c>
      <c r="G1272" t="inlineStr">
        <is>
          <t>6600 Sepulveda Blvd</t>
        </is>
      </c>
      <c r="H1272" t="inlineStr">
        <is>
          <t>Van Nuys</t>
        </is>
      </c>
      <c r="I1272" t="inlineStr">
        <is>
          <t>Los Angeles</t>
        </is>
      </c>
      <c r="J1272" t="inlineStr">
        <is>
          <t>Berkley Post-Acute</t>
        </is>
      </c>
    </row>
    <row r="1273">
      <c r="A1273">
        <f>--ISNUMBER(IFERROR(SEARCH($C$5,Inputs!$D1273,1),""))</f>
        <v/>
      </c>
      <c r="B1273">
        <f>IF(A1273=1,COUNTIF($A$6:A1273,1),"")</f>
        <v/>
      </c>
      <c r="C1273">
        <f>IFERROR(INDEX($D$6:$D$1750,MATCH(ROWS($B$6:B1273),$B$6:$B$1750,0)),"")</f>
        <v/>
      </c>
      <c r="D1273">
        <f>J1273&amp;" ("&amp;E1273&amp;")"</f>
        <v/>
      </c>
      <c r="E1273" t="n">
        <v>22513</v>
      </c>
      <c r="F1273" t="inlineStr">
        <is>
          <t>Skilled Nursing and Interm. Care Facility</t>
        </is>
      </c>
      <c r="G1273" t="inlineStr">
        <is>
          <t>6425 Miles Avenue</t>
        </is>
      </c>
      <c r="H1273" t="inlineStr">
        <is>
          <t>Huntington Park</t>
        </is>
      </c>
      <c r="I1273" t="inlineStr">
        <is>
          <t>Los Angeles</t>
        </is>
      </c>
      <c r="J1273" t="inlineStr">
        <is>
          <t>Huntington Park Nursing Center</t>
        </is>
      </c>
    </row>
    <row r="1274">
      <c r="A1274">
        <f>--ISNUMBER(IFERROR(SEARCH($C$5,Inputs!$D1274,1),""))</f>
        <v/>
      </c>
      <c r="B1274">
        <f>IF(A1274=1,COUNTIF($A$6:A1274,1),"")</f>
        <v/>
      </c>
      <c r="C1274">
        <f>IFERROR(INDEX($D$6:$D$1750,MATCH(ROWS($B$6:B1274),$B$6:$B$1750,0)),"")</f>
        <v/>
      </c>
      <c r="D1274">
        <f>J1274&amp;" ("&amp;E1274&amp;")"</f>
        <v/>
      </c>
      <c r="E1274" t="n">
        <v>22514</v>
      </c>
      <c r="F1274" t="inlineStr">
        <is>
          <t>Skilled Nursing and Interm. Care Facility</t>
        </is>
      </c>
      <c r="G1274" t="inlineStr">
        <is>
          <t>6025 Pine Ave</t>
        </is>
      </c>
      <c r="H1274" t="inlineStr">
        <is>
          <t>Maywood</t>
        </is>
      </c>
      <c r="I1274" t="inlineStr">
        <is>
          <t>Los Angeles</t>
        </is>
      </c>
      <c r="J1274" t="inlineStr">
        <is>
          <t>Maywood Skilled Nursing &amp; Wellness Centre</t>
        </is>
      </c>
    </row>
    <row r="1275">
      <c r="A1275">
        <f>--ISNUMBER(IFERROR(SEARCH($C$5,Inputs!$D1275,1),""))</f>
        <v/>
      </c>
      <c r="B1275">
        <f>IF(A1275=1,COUNTIF($A$6:A1275,1),"")</f>
        <v/>
      </c>
      <c r="C1275">
        <f>IFERROR(INDEX($D$6:$D$1750,MATCH(ROWS($B$6:B1275),$B$6:$B$1750,0)),"")</f>
        <v/>
      </c>
      <c r="D1275">
        <f>J1275&amp;" ("&amp;E1275&amp;")"</f>
        <v/>
      </c>
      <c r="E1275" t="n">
        <v>22517</v>
      </c>
      <c r="F1275" t="inlineStr">
        <is>
          <t>Skilled Nursing and Interm. Care Facility</t>
        </is>
      </c>
      <c r="G1275" t="inlineStr">
        <is>
          <t>23795 W. R. Holman Highway</t>
        </is>
      </c>
      <c r="H1275" t="inlineStr">
        <is>
          <t>Monterey</t>
        </is>
      </c>
      <c r="I1275" t="inlineStr">
        <is>
          <t>Monterey</t>
        </is>
      </c>
      <c r="J1275" t="inlineStr">
        <is>
          <t>Carmel Hills Care Center</t>
        </is>
      </c>
    </row>
    <row r="1276">
      <c r="A1276">
        <f>--ISNUMBER(IFERROR(SEARCH($C$5,Inputs!$D1276,1),""))</f>
        <v/>
      </c>
      <c r="B1276">
        <f>IF(A1276=1,COUNTIF($A$6:A1276,1),"")</f>
        <v/>
      </c>
      <c r="C1276">
        <f>IFERROR(INDEX($D$6:$D$1750,MATCH(ROWS($B$6:B1276),$B$6:$B$1750,0)),"")</f>
        <v/>
      </c>
      <c r="D1276">
        <f>J1276&amp;" ("&amp;E1276&amp;")"</f>
        <v/>
      </c>
      <c r="E1276" t="n">
        <v>22518</v>
      </c>
      <c r="F1276" t="inlineStr">
        <is>
          <t>Skilled Nursing and Interm. Care Facility</t>
        </is>
      </c>
      <c r="G1276" t="inlineStr">
        <is>
          <t>12332 Garden Grove Boulevard</t>
        </is>
      </c>
      <c r="H1276" t="inlineStr">
        <is>
          <t>Garden Grove</t>
        </is>
      </c>
      <c r="I1276" t="inlineStr">
        <is>
          <t>Orange</t>
        </is>
      </c>
      <c r="J1276" t="inlineStr">
        <is>
          <t>Orangegrove Rehabilitation Hospital</t>
        </is>
      </c>
    </row>
    <row r="1277">
      <c r="A1277">
        <f>--ISNUMBER(IFERROR(SEARCH($C$5,Inputs!$D1277,1),""))</f>
        <v/>
      </c>
      <c r="B1277">
        <f>IF(A1277=1,COUNTIF($A$6:A1277,1),"")</f>
        <v/>
      </c>
      <c r="C1277">
        <f>IFERROR(INDEX($D$6:$D$1750,MATCH(ROWS($B$6:B1277),$B$6:$B$1750,0)),"")</f>
        <v/>
      </c>
      <c r="D1277">
        <f>J1277&amp;" ("&amp;E1277&amp;")"</f>
        <v/>
      </c>
      <c r="E1277" t="n">
        <v>22522</v>
      </c>
      <c r="F1277" t="inlineStr">
        <is>
          <t>Skilled Nursing and Interm. Care Facility</t>
        </is>
      </c>
      <c r="G1277" t="inlineStr">
        <is>
          <t>1676 Medical Center Dr</t>
        </is>
      </c>
      <c r="H1277" t="inlineStr">
        <is>
          <t>San Bernardino</t>
        </is>
      </c>
      <c r="I1277" t="inlineStr">
        <is>
          <t>San Bernardino</t>
        </is>
      </c>
      <c r="J1277" t="inlineStr">
        <is>
          <t>Community Convalescent Center of San Bernardino</t>
        </is>
      </c>
    </row>
    <row r="1278">
      <c r="A1278">
        <f>--ISNUMBER(IFERROR(SEARCH($C$5,Inputs!$D1278,1),""))</f>
        <v/>
      </c>
      <c r="B1278">
        <f>IF(A1278=1,COUNTIF($A$6:A1278,1),"")</f>
        <v/>
      </c>
      <c r="C1278">
        <f>IFERROR(INDEX($D$6:$D$1750,MATCH(ROWS($B$6:B1278),$B$6:$B$1750,0)),"")</f>
        <v/>
      </c>
      <c r="D1278">
        <f>J1278&amp;" ("&amp;E1278&amp;")"</f>
        <v/>
      </c>
      <c r="E1278" t="n">
        <v>22524</v>
      </c>
      <c r="F1278" t="inlineStr">
        <is>
          <t>Skilled Nursing and Interm. Care Facility</t>
        </is>
      </c>
      <c r="G1278" t="inlineStr">
        <is>
          <t>1201 34th St</t>
        </is>
      </c>
      <c r="H1278" t="inlineStr">
        <is>
          <t>San Diego</t>
        </is>
      </c>
      <c r="I1278" t="inlineStr">
        <is>
          <t>San Diego</t>
        </is>
      </c>
      <c r="J1278" t="inlineStr">
        <is>
          <t>Golden Hill Post Acute</t>
        </is>
      </c>
    </row>
    <row r="1279">
      <c r="A1279">
        <f>--ISNUMBER(IFERROR(SEARCH($C$5,Inputs!$D1279,1),""))</f>
        <v/>
      </c>
      <c r="B1279">
        <f>IF(A1279=1,COUNTIF($A$6:A1279,1),"")</f>
        <v/>
      </c>
      <c r="C1279">
        <f>IFERROR(INDEX($D$6:$D$1750,MATCH(ROWS($B$6:B1279),$B$6:$B$1750,0)),"")</f>
        <v/>
      </c>
      <c r="D1279">
        <f>J1279&amp;" ("&amp;E1279&amp;")"</f>
        <v/>
      </c>
      <c r="E1279" t="n">
        <v>22526</v>
      </c>
      <c r="F1279" t="inlineStr">
        <is>
          <t>Skilled Nursing and Interm. Care Facility</t>
        </is>
      </c>
      <c r="G1279" t="inlineStr">
        <is>
          <t>2401 Blanding Avenue</t>
        </is>
      </c>
      <c r="H1279" t="inlineStr">
        <is>
          <t>Alameda</t>
        </is>
      </c>
      <c r="I1279" t="inlineStr">
        <is>
          <t>Alameda</t>
        </is>
      </c>
      <c r="J1279" t="inlineStr">
        <is>
          <t>Park Bridge Rehabilitation And Wellness Center</t>
        </is>
      </c>
    </row>
    <row r="1280">
      <c r="A1280">
        <f>--ISNUMBER(IFERROR(SEARCH($C$5,Inputs!$D1280,1),""))</f>
        <v/>
      </c>
      <c r="B1280">
        <f>IF(A1280=1,COUNTIF($A$6:A1280,1),"")</f>
        <v/>
      </c>
      <c r="C1280">
        <f>IFERROR(INDEX($D$6:$D$1750,MATCH(ROWS($B$6:B1280),$B$6:$B$1750,0)),"")</f>
        <v/>
      </c>
      <c r="D1280">
        <f>J1280&amp;" ("&amp;E1280&amp;")"</f>
        <v/>
      </c>
      <c r="E1280" t="n">
        <v>22528</v>
      </c>
      <c r="F1280" t="inlineStr">
        <is>
          <t>Skilled Nursing and Interm. Care Facility</t>
        </is>
      </c>
      <c r="G1280" t="inlineStr">
        <is>
          <t>3025 High Street</t>
        </is>
      </c>
      <c r="H1280" t="inlineStr">
        <is>
          <t>Oakland</t>
        </is>
      </c>
      <c r="I1280" t="inlineStr">
        <is>
          <t>Alameda</t>
        </is>
      </c>
      <c r="J1280" t="inlineStr">
        <is>
          <t>Excell Health Care Center</t>
        </is>
      </c>
    </row>
    <row r="1281">
      <c r="A1281">
        <f>--ISNUMBER(IFERROR(SEARCH($C$5,Inputs!$D1281,1),""))</f>
        <v/>
      </c>
      <c r="B1281">
        <f>IF(A1281=1,COUNTIF($A$6:A1281,1),"")</f>
        <v/>
      </c>
      <c r="C1281">
        <f>IFERROR(INDEX($D$6:$D$1750,MATCH(ROWS($B$6:B1281),$B$6:$B$1750,0)),"")</f>
        <v/>
      </c>
      <c r="D1281">
        <f>J1281&amp;" ("&amp;E1281&amp;")"</f>
        <v/>
      </c>
      <c r="E1281" t="n">
        <v>22530</v>
      </c>
      <c r="F1281" t="inlineStr">
        <is>
          <t>Skilled Nursing and Interm. Care Facility</t>
        </is>
      </c>
      <c r="G1281" t="inlineStr">
        <is>
          <t>1565 Hill Road</t>
        </is>
      </c>
      <c r="H1281" t="inlineStr">
        <is>
          <t>Novato</t>
        </is>
      </c>
      <c r="I1281" t="inlineStr">
        <is>
          <t>Marin</t>
        </is>
      </c>
      <c r="J1281" t="inlineStr">
        <is>
          <t>Novato Healthcare Center</t>
        </is>
      </c>
    </row>
    <row r="1282">
      <c r="A1282">
        <f>--ISNUMBER(IFERROR(SEARCH($C$5,Inputs!$D1282,1),""))</f>
        <v/>
      </c>
      <c r="B1282">
        <f>IF(A1282=1,COUNTIF($A$6:A1282,1),"")</f>
        <v/>
      </c>
      <c r="C1282">
        <f>IFERROR(INDEX($D$6:$D$1750,MATCH(ROWS($B$6:B1282),$B$6:$B$1750,0)),"")</f>
        <v/>
      </c>
      <c r="D1282">
        <f>J1282&amp;" ("&amp;E1282&amp;")"</f>
        <v/>
      </c>
      <c r="E1282" t="n">
        <v>22532</v>
      </c>
      <c r="F1282" t="inlineStr">
        <is>
          <t>Skilled Nursing and Interm. Care Facility</t>
        </is>
      </c>
      <c r="G1282" t="inlineStr">
        <is>
          <t>600 Sunrise Avenue</t>
        </is>
      </c>
      <c r="H1282" t="inlineStr">
        <is>
          <t>Roseville</t>
        </is>
      </c>
      <c r="I1282" t="inlineStr">
        <is>
          <t>Placer</t>
        </is>
      </c>
      <c r="J1282" t="inlineStr">
        <is>
          <t>Roseville Point Health &amp; Wellness Center</t>
        </is>
      </c>
    </row>
    <row r="1283">
      <c r="A1283">
        <f>--ISNUMBER(IFERROR(SEARCH($C$5,Inputs!$D1283,1),""))</f>
        <v/>
      </c>
      <c r="B1283">
        <f>IF(A1283=1,COUNTIF($A$6:A1283,1),"")</f>
        <v/>
      </c>
      <c r="C1283">
        <f>IFERROR(INDEX($D$6:$D$1750,MATCH(ROWS($B$6:B1283),$B$6:$B$1750,0)),"")</f>
        <v/>
      </c>
      <c r="D1283">
        <f>J1283&amp;" ("&amp;E1283&amp;")"</f>
        <v/>
      </c>
      <c r="E1283" t="n">
        <v>22533</v>
      </c>
      <c r="F1283" t="inlineStr">
        <is>
          <t>Skilled Nursing and Interm. Care Facility</t>
        </is>
      </c>
      <c r="G1283" t="inlineStr">
        <is>
          <t>7400 24th Street</t>
        </is>
      </c>
      <c r="H1283" t="inlineStr">
        <is>
          <t>Sacramento</t>
        </is>
      </c>
      <c r="I1283" t="inlineStr">
        <is>
          <t>Sacramento</t>
        </is>
      </c>
      <c r="J1283" t="inlineStr">
        <is>
          <t>Double Tree Post-Acute Care Center</t>
        </is>
      </c>
    </row>
    <row r="1284">
      <c r="A1284">
        <f>--ISNUMBER(IFERROR(SEARCH($C$5,Inputs!$D1284,1),""))</f>
        <v/>
      </c>
      <c r="B1284">
        <f>IF(A1284=1,COUNTIF($A$6:A1284,1),"")</f>
        <v/>
      </c>
      <c r="C1284">
        <f>IFERROR(INDEX($D$6:$D$1750,MATCH(ROWS($B$6:B1284),$B$6:$B$1750,0)),"")</f>
        <v/>
      </c>
      <c r="D1284">
        <f>J1284&amp;" ("&amp;E1284&amp;")"</f>
        <v/>
      </c>
      <c r="E1284" t="n">
        <v>22534</v>
      </c>
      <c r="F1284" t="inlineStr">
        <is>
          <t>Skilled Nursing and Interm. Care Facility</t>
        </is>
      </c>
      <c r="G1284" t="inlineStr">
        <is>
          <t>521 Lorel Way</t>
        </is>
      </c>
      <c r="H1284" t="inlineStr">
        <is>
          <t>Yuba City</t>
        </is>
      </c>
      <c r="I1284" t="inlineStr">
        <is>
          <t>Sutter</t>
        </is>
      </c>
      <c r="J1284" t="inlineStr">
        <is>
          <t>Bridgeview Post Acute</t>
        </is>
      </c>
    </row>
    <row r="1285">
      <c r="A1285">
        <f>--ISNUMBER(IFERROR(SEARCH($C$5,Inputs!$D1285,1),""))</f>
        <v/>
      </c>
      <c r="B1285">
        <f>IF(A1285=1,COUNTIF($A$6:A1285,1),"")</f>
        <v/>
      </c>
      <c r="C1285">
        <f>IFERROR(INDEX($D$6:$D$1750,MATCH(ROWS($B$6:B1285),$B$6:$B$1750,0)),"")</f>
        <v/>
      </c>
      <c r="D1285">
        <f>J1285&amp;" ("&amp;E1285&amp;")"</f>
        <v/>
      </c>
      <c r="E1285" t="n">
        <v>22535</v>
      </c>
      <c r="F1285" t="inlineStr">
        <is>
          <t>Skilled Nursing and Interm. Care Facility</t>
        </is>
      </c>
      <c r="G1285" t="inlineStr">
        <is>
          <t>525 S Central Ave</t>
        </is>
      </c>
      <c r="H1285" t="inlineStr">
        <is>
          <t>Glendale</t>
        </is>
      </c>
      <c r="I1285" t="inlineStr">
        <is>
          <t>Los Angeles</t>
        </is>
      </c>
      <c r="J1285" t="inlineStr">
        <is>
          <t>Chandler Convalescent Hospital</t>
        </is>
      </c>
    </row>
    <row r="1286">
      <c r="A1286">
        <f>--ISNUMBER(IFERROR(SEARCH($C$5,Inputs!$D1286,1),""))</f>
        <v/>
      </c>
      <c r="B1286">
        <f>IF(A1286=1,COUNTIF($A$6:A1286,1),"")</f>
        <v/>
      </c>
      <c r="C1286">
        <f>IFERROR(INDEX($D$6:$D$1750,MATCH(ROWS($B$6:B1286),$B$6:$B$1750,0)),"")</f>
        <v/>
      </c>
      <c r="D1286">
        <f>J1286&amp;" ("&amp;E1286&amp;")"</f>
        <v/>
      </c>
      <c r="E1286" t="n">
        <v>22536</v>
      </c>
      <c r="F1286" t="inlineStr">
        <is>
          <t>Skilled Nursing and Interm. Care Facility</t>
        </is>
      </c>
      <c r="G1286" t="inlineStr">
        <is>
          <t>10626 Balboa Blvd</t>
        </is>
      </c>
      <c r="H1286" t="inlineStr">
        <is>
          <t>Granada Hills</t>
        </is>
      </c>
      <c r="I1286" t="inlineStr">
        <is>
          <t>Los Angeles</t>
        </is>
      </c>
      <c r="J1286" t="inlineStr">
        <is>
          <t>Casitas Care Center</t>
        </is>
      </c>
    </row>
    <row r="1287">
      <c r="A1287">
        <f>--ISNUMBER(IFERROR(SEARCH($C$5,Inputs!$D1287,1),""))</f>
        <v/>
      </c>
      <c r="B1287">
        <f>IF(A1287=1,COUNTIF($A$6:A1287,1),"")</f>
        <v/>
      </c>
      <c r="C1287">
        <f>IFERROR(INDEX($D$6:$D$1750,MATCH(ROWS($B$6:B1287),$B$6:$B$1750,0)),"")</f>
        <v/>
      </c>
      <c r="D1287">
        <f>J1287&amp;" ("&amp;E1287&amp;")"</f>
        <v/>
      </c>
      <c r="E1287" t="n">
        <v>22540</v>
      </c>
      <c r="F1287" t="inlineStr">
        <is>
          <t>Skilled Nursing and Interm. Care Facility</t>
        </is>
      </c>
      <c r="G1287" t="inlineStr">
        <is>
          <t>2005 River St</t>
        </is>
      </c>
      <c r="H1287" t="inlineStr">
        <is>
          <t>Susanville</t>
        </is>
      </c>
      <c r="I1287" t="inlineStr">
        <is>
          <t>Lassen</t>
        </is>
      </c>
      <c r="J1287" t="inlineStr">
        <is>
          <t>Lassen Nursing &amp; Rehabilitation Center</t>
        </is>
      </c>
    </row>
    <row r="1288">
      <c r="A1288">
        <f>--ISNUMBER(IFERROR(SEARCH($C$5,Inputs!$D1288,1),""))</f>
        <v/>
      </c>
      <c r="B1288">
        <f>IF(A1288=1,COUNTIF($A$6:A1288,1),"")</f>
        <v/>
      </c>
      <c r="C1288">
        <f>IFERROR(INDEX($D$6:$D$1750,MATCH(ROWS($B$6:B1288),$B$6:$B$1750,0)),"")</f>
        <v/>
      </c>
      <c r="D1288">
        <f>J1288&amp;" ("&amp;E1288&amp;")"</f>
        <v/>
      </c>
      <c r="E1288" t="n">
        <v>22541</v>
      </c>
      <c r="F1288" t="inlineStr">
        <is>
          <t>Skilled Nursing and Interm. Care Facility</t>
        </is>
      </c>
      <c r="G1288" t="inlineStr">
        <is>
          <t>18811 Florida Street</t>
        </is>
      </c>
      <c r="H1288" t="inlineStr">
        <is>
          <t>Huntington Beach</t>
        </is>
      </c>
      <c r="I1288" t="inlineStr">
        <is>
          <t>Orange</t>
        </is>
      </c>
      <c r="J1288" t="inlineStr">
        <is>
          <t>Sea Cliff Healthcare Center</t>
        </is>
      </c>
    </row>
    <row r="1289">
      <c r="A1289">
        <f>--ISNUMBER(IFERROR(SEARCH($C$5,Inputs!$D1289,1),""))</f>
        <v/>
      </c>
      <c r="B1289">
        <f>IF(A1289=1,COUNTIF($A$6:A1289,1),"")</f>
        <v/>
      </c>
      <c r="C1289">
        <f>IFERROR(INDEX($D$6:$D$1750,MATCH(ROWS($B$6:B1289),$B$6:$B$1750,0)),"")</f>
        <v/>
      </c>
      <c r="D1289">
        <f>J1289&amp;" ("&amp;E1289&amp;")"</f>
        <v/>
      </c>
      <c r="E1289" t="n">
        <v>22542</v>
      </c>
      <c r="F1289" t="inlineStr">
        <is>
          <t>Skilled Nursing and Interm. Care Facility</t>
        </is>
      </c>
      <c r="G1289" t="inlineStr">
        <is>
          <t>2570 Newport Blvd</t>
        </is>
      </c>
      <c r="H1289" t="inlineStr">
        <is>
          <t>Costa Mesa</t>
        </is>
      </c>
      <c r="I1289" t="inlineStr">
        <is>
          <t>Orange</t>
        </is>
      </c>
      <c r="J1289" t="inlineStr">
        <is>
          <t>Newport Subacute Healthcare Center</t>
        </is>
      </c>
    </row>
    <row r="1290">
      <c r="A1290">
        <f>--ISNUMBER(IFERROR(SEARCH($C$5,Inputs!$D1290,1),""))</f>
        <v/>
      </c>
      <c r="B1290">
        <f>IF(A1290=1,COUNTIF($A$6:A1290,1),"")</f>
        <v/>
      </c>
      <c r="C1290">
        <f>IFERROR(INDEX($D$6:$D$1750,MATCH(ROWS($B$6:B1290),$B$6:$B$1750,0)),"")</f>
        <v/>
      </c>
      <c r="D1290">
        <f>J1290&amp;" ("&amp;E1290&amp;")"</f>
        <v/>
      </c>
      <c r="E1290" t="n">
        <v>22544</v>
      </c>
      <c r="F1290" t="inlineStr">
        <is>
          <t>Skilled Nursing and Interm. Care Facility</t>
        </is>
      </c>
      <c r="G1290" t="inlineStr">
        <is>
          <t>485 W Johnston Ave</t>
        </is>
      </c>
      <c r="H1290" t="inlineStr">
        <is>
          <t>Hemet</t>
        </is>
      </c>
      <c r="I1290" t="inlineStr">
        <is>
          <t>Riverside</t>
        </is>
      </c>
      <c r="J1290" t="inlineStr">
        <is>
          <t>Ramona Rehabilitation And Post Acute Care Center</t>
        </is>
      </c>
    </row>
    <row r="1291">
      <c r="A1291">
        <f>--ISNUMBER(IFERROR(SEARCH($C$5,Inputs!$D1291,1),""))</f>
        <v/>
      </c>
      <c r="B1291">
        <f>IF(A1291=1,COUNTIF($A$6:A1291,1),"")</f>
        <v/>
      </c>
      <c r="C1291">
        <f>IFERROR(INDEX($D$6:$D$1750,MATCH(ROWS($B$6:B1291),$B$6:$B$1750,0)),"")</f>
        <v/>
      </c>
      <c r="D1291">
        <f>J1291&amp;" ("&amp;E1291&amp;")"</f>
        <v/>
      </c>
      <c r="E1291" t="n">
        <v>22547</v>
      </c>
      <c r="F1291" t="inlineStr">
        <is>
          <t>Skilled Nursing and Interm. Care Facility</t>
        </is>
      </c>
      <c r="G1291" t="inlineStr">
        <is>
          <t>991 Clyde Avenue</t>
        </is>
      </c>
      <c r="H1291" t="inlineStr">
        <is>
          <t>Santa Clara</t>
        </is>
      </c>
      <c r="I1291" t="inlineStr">
        <is>
          <t>Santa Clara</t>
        </is>
      </c>
      <c r="J1291" t="inlineStr">
        <is>
          <t>Valley House Rehabilitation Center</t>
        </is>
      </c>
    </row>
    <row r="1292">
      <c r="A1292">
        <f>--ISNUMBER(IFERROR(SEARCH($C$5,Inputs!$D1292,1),""))</f>
        <v/>
      </c>
      <c r="B1292">
        <f>IF(A1292=1,COUNTIF($A$6:A1292,1),"")</f>
        <v/>
      </c>
      <c r="C1292">
        <f>IFERROR(INDEX($D$6:$D$1750,MATCH(ROWS($B$6:B1292),$B$6:$B$1750,0)),"")</f>
        <v/>
      </c>
      <c r="D1292">
        <f>J1292&amp;" ("&amp;E1292&amp;")"</f>
        <v/>
      </c>
      <c r="E1292" t="n">
        <v>22549</v>
      </c>
      <c r="F1292" t="inlineStr">
        <is>
          <t>Skilled Nursing and Interm. Care Facility</t>
        </is>
      </c>
      <c r="G1292" t="inlineStr">
        <is>
          <t>604 E Merritt Ave</t>
        </is>
      </c>
      <c r="H1292" t="inlineStr">
        <is>
          <t>Tulare</t>
        </is>
      </c>
      <c r="I1292" t="inlineStr">
        <is>
          <t>Tulare</t>
        </is>
      </c>
      <c r="J1292" t="inlineStr">
        <is>
          <t>Merritt Manor Convalescent Hospital</t>
        </is>
      </c>
    </row>
    <row r="1293">
      <c r="A1293">
        <f>--ISNUMBER(IFERROR(SEARCH($C$5,Inputs!$D1293,1),""))</f>
        <v/>
      </c>
      <c r="B1293">
        <f>IF(A1293=1,COUNTIF($A$6:A1293,1),"")</f>
        <v/>
      </c>
      <c r="C1293">
        <f>IFERROR(INDEX($D$6:$D$1750,MATCH(ROWS($B$6:B1293),$B$6:$B$1750,0)),"")</f>
        <v/>
      </c>
      <c r="D1293">
        <f>J1293&amp;" ("&amp;E1293&amp;")"</f>
        <v/>
      </c>
      <c r="E1293" t="n">
        <v>22552</v>
      </c>
      <c r="F1293" t="inlineStr">
        <is>
          <t>Skilled Nursing and Interm. Care Facility</t>
        </is>
      </c>
      <c r="G1293" t="inlineStr">
        <is>
          <t>7039 Alondra Blvd</t>
        </is>
      </c>
      <c r="H1293" t="inlineStr">
        <is>
          <t>Paramount</t>
        </is>
      </c>
      <c r="I1293" t="inlineStr">
        <is>
          <t>Los Angeles</t>
        </is>
      </c>
      <c r="J1293" t="inlineStr">
        <is>
          <t>Affinity Healthcare Center</t>
        </is>
      </c>
    </row>
    <row r="1294">
      <c r="A1294">
        <f>--ISNUMBER(IFERROR(SEARCH($C$5,Inputs!$D1294,1),""))</f>
        <v/>
      </c>
      <c r="B1294">
        <f>IF(A1294=1,COUNTIF($A$6:A1294,1),"")</f>
        <v/>
      </c>
      <c r="C1294">
        <f>IFERROR(INDEX($D$6:$D$1750,MATCH(ROWS($B$6:B1294),$B$6:$B$1750,0)),"")</f>
        <v/>
      </c>
      <c r="D1294">
        <f>J1294&amp;" ("&amp;E1294&amp;")"</f>
        <v/>
      </c>
      <c r="E1294" t="n">
        <v>22560</v>
      </c>
      <c r="F1294" t="inlineStr">
        <is>
          <t>Skilled Nursing and Interm. Care Facility</t>
        </is>
      </c>
      <c r="G1294" t="inlineStr">
        <is>
          <t>11510 Imperial Hwy</t>
        </is>
      </c>
      <c r="H1294" t="inlineStr">
        <is>
          <t>Norwalk</t>
        </is>
      </c>
      <c r="I1294" t="inlineStr">
        <is>
          <t>Los Angeles</t>
        </is>
      </c>
      <c r="J1294" t="inlineStr">
        <is>
          <t>Norwalk Skilled Nursing &amp; Wellness Centre</t>
        </is>
      </c>
    </row>
    <row r="1295">
      <c r="A1295">
        <f>--ISNUMBER(IFERROR(SEARCH($C$5,Inputs!$D1295,1),""))</f>
        <v/>
      </c>
      <c r="B1295">
        <f>IF(A1295=1,COUNTIF($A$6:A1295,1),"")</f>
        <v/>
      </c>
      <c r="C1295">
        <f>IFERROR(INDEX($D$6:$D$1750,MATCH(ROWS($B$6:B1295),$B$6:$B$1750,0)),"")</f>
        <v/>
      </c>
      <c r="D1295">
        <f>J1295&amp;" ("&amp;E1295&amp;")"</f>
        <v/>
      </c>
      <c r="E1295" t="n">
        <v>22566</v>
      </c>
      <c r="F1295" t="inlineStr">
        <is>
          <t>Skilled Nursing and Interm. Care Facility</t>
        </is>
      </c>
      <c r="G1295" t="inlineStr">
        <is>
          <t>1267 Meridian Ave</t>
        </is>
      </c>
      <c r="H1295" t="inlineStr">
        <is>
          <t>San Jose</t>
        </is>
      </c>
      <c r="I1295" t="inlineStr">
        <is>
          <t>Santa Clara</t>
        </is>
      </c>
      <c r="J1295" t="inlineStr">
        <is>
          <t>The Redwoods Post-Acute</t>
        </is>
      </c>
    </row>
    <row r="1296">
      <c r="A1296">
        <f>--ISNUMBER(IFERROR(SEARCH($C$5,Inputs!$D1296,1),""))</f>
        <v/>
      </c>
      <c r="B1296">
        <f>IF(A1296=1,COUNTIF($A$6:A1296,1),"")</f>
        <v/>
      </c>
      <c r="C1296">
        <f>IFERROR(INDEX($D$6:$D$1750,MATCH(ROWS($B$6:B1296),$B$6:$B$1750,0)),"")</f>
        <v/>
      </c>
      <c r="D1296">
        <f>J1296&amp;" ("&amp;E1296&amp;")"</f>
        <v/>
      </c>
      <c r="E1296" t="n">
        <v>22570</v>
      </c>
      <c r="F1296" t="inlineStr">
        <is>
          <t>Skilled Nursing and Interm. Care Facility</t>
        </is>
      </c>
      <c r="G1296" t="inlineStr">
        <is>
          <t>3415 W Ball Rd</t>
        </is>
      </c>
      <c r="H1296" t="inlineStr">
        <is>
          <t>Anaheim</t>
        </is>
      </c>
      <c r="I1296" t="inlineStr">
        <is>
          <t>Orange</t>
        </is>
      </c>
      <c r="J1296" t="inlineStr">
        <is>
          <t>Windsor Gardens Convalescent Center Of Anaheim</t>
        </is>
      </c>
    </row>
    <row r="1297">
      <c r="A1297">
        <f>--ISNUMBER(IFERROR(SEARCH($C$5,Inputs!$D1297,1),""))</f>
        <v/>
      </c>
      <c r="B1297">
        <f>IF(A1297=1,COUNTIF($A$6:A1297,1),"")</f>
        <v/>
      </c>
      <c r="C1297">
        <f>IFERROR(INDEX($D$6:$D$1750,MATCH(ROWS($B$6:B1297),$B$6:$B$1750,0)),"")</f>
        <v/>
      </c>
      <c r="D1297">
        <f>J1297&amp;" ("&amp;E1297&amp;")"</f>
        <v/>
      </c>
      <c r="E1297" t="n">
        <v>22574</v>
      </c>
      <c r="F1297" t="inlineStr">
        <is>
          <t>Skilled Nursing and Interm. Care Facility</t>
        </is>
      </c>
      <c r="G1297" t="inlineStr">
        <is>
          <t>240 Hospital Cir</t>
        </is>
      </c>
      <c r="H1297" t="inlineStr">
        <is>
          <t>Westminster</t>
        </is>
      </c>
      <c r="I1297" t="inlineStr">
        <is>
          <t>Orange</t>
        </is>
      </c>
      <c r="J1297" t="inlineStr">
        <is>
          <t>Mission Palms Healthcare Center</t>
        </is>
      </c>
    </row>
    <row r="1298">
      <c r="A1298">
        <f>--ISNUMBER(IFERROR(SEARCH($C$5,Inputs!$D1298,1),""))</f>
        <v/>
      </c>
      <c r="B1298">
        <f>IF(A1298=1,COUNTIF($A$6:A1298,1),"")</f>
        <v/>
      </c>
      <c r="C1298">
        <f>IFERROR(INDEX($D$6:$D$1750,MATCH(ROWS($B$6:B1298),$B$6:$B$1750,0)),"")</f>
        <v/>
      </c>
      <c r="D1298">
        <f>J1298&amp;" ("&amp;E1298&amp;")"</f>
        <v/>
      </c>
      <c r="E1298" t="n">
        <v>22576</v>
      </c>
      <c r="F1298" t="inlineStr">
        <is>
          <t>Skilled Nursing and Interm. Care Facility</t>
        </is>
      </c>
      <c r="G1298" t="inlineStr">
        <is>
          <t>230 E Adams Ave</t>
        </is>
      </c>
      <c r="H1298" t="inlineStr">
        <is>
          <t>Los Angeles</t>
        </is>
      </c>
      <c r="I1298" t="inlineStr">
        <is>
          <t>Los Angeles</t>
        </is>
      </c>
      <c r="J1298" t="inlineStr">
        <is>
          <t>University Park Healthcare Center</t>
        </is>
      </c>
    </row>
    <row r="1299">
      <c r="A1299">
        <f>--ISNUMBER(IFERROR(SEARCH($C$5,Inputs!$D1299,1),""))</f>
        <v/>
      </c>
      <c r="B1299">
        <f>IF(A1299=1,COUNTIF($A$6:A1299,1),"")</f>
        <v/>
      </c>
      <c r="C1299">
        <f>IFERROR(INDEX($D$6:$D$1750,MATCH(ROWS($B$6:B1299),$B$6:$B$1750,0)),"")</f>
        <v/>
      </c>
      <c r="D1299">
        <f>J1299&amp;" ("&amp;E1299&amp;")"</f>
        <v/>
      </c>
      <c r="E1299" t="n">
        <v>22577</v>
      </c>
      <c r="F1299" t="inlineStr">
        <is>
          <t>Skilled Nursing and Interm. Care Facility</t>
        </is>
      </c>
      <c r="G1299" t="inlineStr">
        <is>
          <t>505 N. La Brea Ave.</t>
        </is>
      </c>
      <c r="H1299" t="inlineStr">
        <is>
          <t>Los Angeles</t>
        </is>
      </c>
      <c r="I1299" t="inlineStr">
        <is>
          <t>Los Angeles</t>
        </is>
      </c>
      <c r="J1299" t="inlineStr">
        <is>
          <t>La Brea Rehabilitation Center</t>
        </is>
      </c>
    </row>
    <row r="1300">
      <c r="A1300">
        <f>--ISNUMBER(IFERROR(SEARCH($C$5,Inputs!$D1300,1),""))</f>
        <v/>
      </c>
      <c r="B1300">
        <f>IF(A1300=1,COUNTIF($A$6:A1300,1),"")</f>
        <v/>
      </c>
      <c r="C1300">
        <f>IFERROR(INDEX($D$6:$D$1750,MATCH(ROWS($B$6:B1300),$B$6:$B$1750,0)),"")</f>
        <v/>
      </c>
      <c r="D1300">
        <f>J1300&amp;" ("&amp;E1300&amp;")"</f>
        <v/>
      </c>
      <c r="E1300" t="n">
        <v>22578</v>
      </c>
      <c r="F1300" t="inlineStr">
        <is>
          <t>Skilled Nursing and Interm. Care Facility</t>
        </is>
      </c>
      <c r="G1300" t="inlineStr">
        <is>
          <t>2312 W 8th St</t>
        </is>
      </c>
      <c r="H1300" t="inlineStr">
        <is>
          <t>Los Angeles</t>
        </is>
      </c>
      <c r="I1300" t="inlineStr">
        <is>
          <t>Los Angeles</t>
        </is>
      </c>
      <c r="J1300" t="inlineStr">
        <is>
          <t>Grand Park Convalescent Hospital</t>
        </is>
      </c>
    </row>
    <row r="1301">
      <c r="A1301">
        <f>--ISNUMBER(IFERROR(SEARCH($C$5,Inputs!$D1301,1),""))</f>
        <v/>
      </c>
      <c r="B1301">
        <f>IF(A1301=1,COUNTIF($A$6:A1301,1),"")</f>
        <v/>
      </c>
      <c r="C1301">
        <f>IFERROR(INDEX($D$6:$D$1750,MATCH(ROWS($B$6:B1301),$B$6:$B$1750,0)),"")</f>
        <v/>
      </c>
      <c r="D1301">
        <f>J1301&amp;" ("&amp;E1301&amp;")"</f>
        <v/>
      </c>
      <c r="E1301" t="n">
        <v>22580</v>
      </c>
      <c r="F1301" t="inlineStr">
        <is>
          <t>Skilled Nursing and Interm. Care Facility</t>
        </is>
      </c>
      <c r="G1301" t="inlineStr">
        <is>
          <t>2190 West Adams Boulevard</t>
        </is>
      </c>
      <c r="H1301" t="inlineStr">
        <is>
          <t>Los Angeles</t>
        </is>
      </c>
      <c r="I1301" t="inlineStr">
        <is>
          <t>Los Angeles</t>
        </is>
      </c>
      <c r="J1301" t="inlineStr">
        <is>
          <t>Western Convalescent Hospital</t>
        </is>
      </c>
    </row>
    <row r="1302">
      <c r="A1302">
        <f>--ISNUMBER(IFERROR(SEARCH($C$5,Inputs!$D1302,1),""))</f>
        <v/>
      </c>
      <c r="B1302">
        <f>IF(A1302=1,COUNTIF($A$6:A1302,1),"")</f>
        <v/>
      </c>
      <c r="C1302">
        <f>IFERROR(INDEX($D$6:$D$1750,MATCH(ROWS($B$6:B1302),$B$6:$B$1750,0)),"")</f>
        <v/>
      </c>
      <c r="D1302">
        <f>J1302&amp;" ("&amp;E1302&amp;")"</f>
        <v/>
      </c>
      <c r="E1302" t="n">
        <v>22581</v>
      </c>
      <c r="F1302" t="inlineStr">
        <is>
          <t>Skilled Nursing and Interm. Care Facility</t>
        </is>
      </c>
      <c r="G1302" t="inlineStr">
        <is>
          <t>915 Crenshaw Blvd</t>
        </is>
      </c>
      <c r="H1302" t="inlineStr">
        <is>
          <t>Los Angeles</t>
        </is>
      </c>
      <c r="I1302" t="inlineStr">
        <is>
          <t>Los Angeles</t>
        </is>
      </c>
      <c r="J1302" t="inlineStr">
        <is>
          <t>Windsor Gardens Convalescent Hospital</t>
        </is>
      </c>
    </row>
    <row r="1303">
      <c r="A1303">
        <f>--ISNUMBER(IFERROR(SEARCH($C$5,Inputs!$D1303,1),""))</f>
        <v/>
      </c>
      <c r="B1303">
        <f>IF(A1303=1,COUNTIF($A$6:A1303,1),"")</f>
        <v/>
      </c>
      <c r="C1303">
        <f>IFERROR(INDEX($D$6:$D$1750,MATCH(ROWS($B$6:B1303),$B$6:$B$1750,0)),"")</f>
        <v/>
      </c>
      <c r="D1303">
        <f>J1303&amp;" ("&amp;E1303&amp;")"</f>
        <v/>
      </c>
      <c r="E1303" t="n">
        <v>22587</v>
      </c>
      <c r="F1303" t="inlineStr">
        <is>
          <t>Skilled Nursing and Interm. Care Facility</t>
        </is>
      </c>
      <c r="G1303" t="inlineStr">
        <is>
          <t>587 Rio Lindo Avenue</t>
        </is>
      </c>
      <c r="H1303" t="inlineStr">
        <is>
          <t>Chico</t>
        </is>
      </c>
      <c r="I1303" t="inlineStr">
        <is>
          <t>Butte</t>
        </is>
      </c>
      <c r="J1303" t="inlineStr">
        <is>
          <t>Windsor Chico Creek Care And Rehabilitation Center</t>
        </is>
      </c>
    </row>
    <row r="1304">
      <c r="A1304">
        <f>--ISNUMBER(IFERROR(SEARCH($C$5,Inputs!$D1304,1),""))</f>
        <v/>
      </c>
      <c r="B1304">
        <f>IF(A1304=1,COUNTIF($A$6:A1304,1),"")</f>
        <v/>
      </c>
      <c r="C1304">
        <f>IFERROR(INDEX($D$6:$D$1750,MATCH(ROWS($B$6:B1304),$B$6:$B$1750,0)),"")</f>
        <v/>
      </c>
      <c r="D1304">
        <f>J1304&amp;" ("&amp;E1304&amp;")"</f>
        <v/>
      </c>
      <c r="E1304" t="n">
        <v>22589</v>
      </c>
      <c r="F1304" t="inlineStr">
        <is>
          <t>Skilled Nursing and Interm. Care Facility</t>
        </is>
      </c>
      <c r="G1304" t="inlineStr">
        <is>
          <t>14040 Astoria St</t>
        </is>
      </c>
      <c r="H1304" t="inlineStr">
        <is>
          <t>Symar</t>
        </is>
      </c>
      <c r="I1304" t="inlineStr">
        <is>
          <t>Los Angeles</t>
        </is>
      </c>
      <c r="J1304" t="inlineStr">
        <is>
          <t>Astoria Nursing And Rehab Center</t>
        </is>
      </c>
    </row>
    <row r="1305">
      <c r="A1305">
        <f>--ISNUMBER(IFERROR(SEARCH($C$5,Inputs!$D1305,1),""))</f>
        <v/>
      </c>
      <c r="B1305">
        <f>IF(A1305=1,COUNTIF($A$6:A1305,1),"")</f>
        <v/>
      </c>
      <c r="C1305">
        <f>IFERROR(INDEX($D$6:$D$1750,MATCH(ROWS($B$6:B1305),$B$6:$B$1750,0)),"")</f>
        <v/>
      </c>
      <c r="D1305">
        <f>J1305&amp;" ("&amp;E1305&amp;")"</f>
        <v/>
      </c>
      <c r="E1305" t="n">
        <v>22591</v>
      </c>
      <c r="F1305" t="inlineStr">
        <is>
          <t>Skilled Nursing and Interm. Care Facility</t>
        </is>
      </c>
      <c r="G1305" t="inlineStr">
        <is>
          <t>1400 Geary Boulevard</t>
        </is>
      </c>
      <c r="H1305" t="inlineStr">
        <is>
          <t>San Francisco</t>
        </is>
      </c>
      <c r="I1305" t="inlineStr">
        <is>
          <t>San Francisco</t>
        </is>
      </c>
      <c r="J1305" t="inlineStr">
        <is>
          <t>Sequoias San Francisco Convalescent Hospital</t>
        </is>
      </c>
    </row>
    <row r="1306">
      <c r="A1306">
        <f>--ISNUMBER(IFERROR(SEARCH($C$5,Inputs!$D1306,1),""))</f>
        <v/>
      </c>
      <c r="B1306">
        <f>IF(A1306=1,COUNTIF($A$6:A1306,1),"")</f>
        <v/>
      </c>
      <c r="C1306">
        <f>IFERROR(INDEX($D$6:$D$1750,MATCH(ROWS($B$6:B1306),$B$6:$B$1750,0)),"")</f>
        <v/>
      </c>
      <c r="D1306">
        <f>J1306&amp;" ("&amp;E1306&amp;")"</f>
        <v/>
      </c>
      <c r="E1306" t="n">
        <v>22594</v>
      </c>
      <c r="F1306" t="inlineStr">
        <is>
          <t>Skilled Nursing and Interm. Care Facility</t>
        </is>
      </c>
      <c r="G1306" t="inlineStr">
        <is>
          <t>501 Via Casitas</t>
        </is>
      </c>
      <c r="H1306" t="inlineStr">
        <is>
          <t>Greenbrae</t>
        </is>
      </c>
      <c r="I1306" t="inlineStr">
        <is>
          <t>Marin</t>
        </is>
      </c>
      <c r="J1306" t="inlineStr">
        <is>
          <t>The Tamalpais</t>
        </is>
      </c>
    </row>
    <row r="1307">
      <c r="A1307">
        <f>--ISNUMBER(IFERROR(SEARCH($C$5,Inputs!$D1307,1),""))</f>
        <v/>
      </c>
      <c r="B1307">
        <f>IF(A1307=1,COUNTIF($A$6:A1307,1),"")</f>
        <v/>
      </c>
      <c r="C1307">
        <f>IFERROR(INDEX($D$6:$D$1750,MATCH(ROWS($B$6:B1307),$B$6:$B$1750,0)),"")</f>
        <v/>
      </c>
      <c r="D1307">
        <f>J1307&amp;" ("&amp;E1307&amp;")"</f>
        <v/>
      </c>
      <c r="E1307" t="n">
        <v>22598</v>
      </c>
      <c r="F1307" t="inlineStr">
        <is>
          <t>Skilled Nursing and Interm. Care Facility</t>
        </is>
      </c>
      <c r="G1307" t="inlineStr">
        <is>
          <t>300 Lake Street</t>
        </is>
      </c>
      <c r="H1307" t="inlineStr">
        <is>
          <t>San Francisco</t>
        </is>
      </c>
      <c r="I1307" t="inlineStr">
        <is>
          <t>San Francisco</t>
        </is>
      </c>
      <c r="J1307" t="inlineStr">
        <is>
          <t>St. Anne's Home</t>
        </is>
      </c>
    </row>
    <row r="1308">
      <c r="A1308">
        <f>--ISNUMBER(IFERROR(SEARCH($C$5,Inputs!$D1308,1),""))</f>
        <v/>
      </c>
      <c r="B1308">
        <f>IF(A1308=1,COUNTIF($A$6:A1308,1),"")</f>
        <v/>
      </c>
      <c r="C1308">
        <f>IFERROR(INDEX($D$6:$D$1750,MATCH(ROWS($B$6:B1308),$B$6:$B$1750,0)),"")</f>
        <v/>
      </c>
      <c r="D1308">
        <f>J1308&amp;" ("&amp;E1308&amp;")"</f>
        <v/>
      </c>
      <c r="E1308" t="n">
        <v>22608</v>
      </c>
      <c r="F1308" t="inlineStr">
        <is>
          <t>Skilled Nursing and Interm. Care Facility</t>
        </is>
      </c>
      <c r="G1308" t="inlineStr">
        <is>
          <t>15115 S Vermont Ave</t>
        </is>
      </c>
      <c r="H1308" t="inlineStr">
        <is>
          <t>Gardena</t>
        </is>
      </c>
      <c r="I1308" t="inlineStr">
        <is>
          <t>Los Angeles</t>
        </is>
      </c>
      <c r="J1308" t="inlineStr">
        <is>
          <t>Kei-Ai South Bay Healthcare Center</t>
        </is>
      </c>
    </row>
    <row r="1309">
      <c r="A1309">
        <f>--ISNUMBER(IFERROR(SEARCH($C$5,Inputs!$D1309,1),""))</f>
        <v/>
      </c>
      <c r="B1309">
        <f>IF(A1309=1,COUNTIF($A$6:A1309,1),"")</f>
        <v/>
      </c>
      <c r="C1309">
        <f>IFERROR(INDEX($D$6:$D$1750,MATCH(ROWS($B$6:B1309),$B$6:$B$1750,0)),"")</f>
        <v/>
      </c>
      <c r="D1309">
        <f>J1309&amp;" ("&amp;E1309&amp;")"</f>
        <v/>
      </c>
      <c r="E1309" t="n">
        <v>22611</v>
      </c>
      <c r="F1309" t="inlineStr">
        <is>
          <t>Skilled Nursing and Interm. Care Facility</t>
        </is>
      </c>
      <c r="G1309" t="inlineStr">
        <is>
          <t>21521 S Vermont Ave</t>
        </is>
      </c>
      <c r="H1309" t="inlineStr">
        <is>
          <t>Torrance</t>
        </is>
      </c>
      <c r="I1309" t="inlineStr">
        <is>
          <t>Los Angeles</t>
        </is>
      </c>
      <c r="J1309" t="inlineStr">
        <is>
          <t>Harbor Post Acute Care Center</t>
        </is>
      </c>
    </row>
    <row r="1310">
      <c r="A1310">
        <f>--ISNUMBER(IFERROR(SEARCH($C$5,Inputs!$D1310,1),""))</f>
        <v/>
      </c>
      <c r="B1310">
        <f>IF(A1310=1,COUNTIF($A$6:A1310,1),"")</f>
        <v/>
      </c>
      <c r="C1310">
        <f>IFERROR(INDEX($D$6:$D$1750,MATCH(ROWS($B$6:B1310),$B$6:$B$1750,0)),"")</f>
        <v/>
      </c>
      <c r="D1310">
        <f>J1310&amp;" ("&amp;E1310&amp;")"</f>
        <v/>
      </c>
      <c r="E1310" t="n">
        <v>22612</v>
      </c>
      <c r="F1310" t="inlineStr">
        <is>
          <t>Skilled Nursing and Interm. Care Facility</t>
        </is>
      </c>
      <c r="G1310" t="inlineStr">
        <is>
          <t>2615 Grand Ave</t>
        </is>
      </c>
      <c r="H1310" t="inlineStr">
        <is>
          <t>Long Beach</t>
        </is>
      </c>
      <c r="I1310" t="inlineStr">
        <is>
          <t>Los Angeles</t>
        </is>
      </c>
      <c r="J1310" t="inlineStr">
        <is>
          <t>Long Beach Care Center</t>
        </is>
      </c>
    </row>
    <row r="1311">
      <c r="A1311">
        <f>--ISNUMBER(IFERROR(SEARCH($C$5,Inputs!$D1311,1),""))</f>
        <v/>
      </c>
      <c r="B1311">
        <f>IF(A1311=1,COUNTIF($A$6:A1311,1),"")</f>
        <v/>
      </c>
      <c r="C1311">
        <f>IFERROR(INDEX($D$6:$D$1750,MATCH(ROWS($B$6:B1311),$B$6:$B$1750,0)),"")</f>
        <v/>
      </c>
      <c r="D1311">
        <f>J1311&amp;" ("&amp;E1311&amp;")"</f>
        <v/>
      </c>
      <c r="E1311" t="n">
        <v>22613</v>
      </c>
      <c r="F1311" t="inlineStr">
        <is>
          <t>Skilled Nursing and Interm. Care Facility</t>
        </is>
      </c>
      <c r="G1311" t="inlineStr">
        <is>
          <t>64 Northbrook Way</t>
        </is>
      </c>
      <c r="H1311" t="inlineStr">
        <is>
          <t>Willits</t>
        </is>
      </c>
      <c r="I1311" t="inlineStr">
        <is>
          <t>Mendocino</t>
        </is>
      </c>
      <c r="J1311" t="inlineStr">
        <is>
          <t>Northbrook Healthcare Center</t>
        </is>
      </c>
    </row>
    <row r="1312">
      <c r="A1312">
        <f>--ISNUMBER(IFERROR(SEARCH($C$5,Inputs!$D1312,1),""))</f>
        <v/>
      </c>
      <c r="B1312">
        <f>IF(A1312=1,COUNTIF($A$6:A1312,1),"")</f>
        <v/>
      </c>
      <c r="C1312">
        <f>IFERROR(INDEX($D$6:$D$1750,MATCH(ROWS($B$6:B1312),$B$6:$B$1750,0)),"")</f>
        <v/>
      </c>
      <c r="D1312">
        <f>J1312&amp;" ("&amp;E1312&amp;")"</f>
        <v/>
      </c>
      <c r="E1312" t="n">
        <v>22616</v>
      </c>
      <c r="F1312" t="inlineStr">
        <is>
          <t>Skilled Nursing and Interm. Care Facility</t>
        </is>
      </c>
      <c r="G1312" t="inlineStr">
        <is>
          <t>130 Tampico St</t>
        </is>
      </c>
      <c r="H1312" t="inlineStr">
        <is>
          <t>Walnut Creek</t>
        </is>
      </c>
      <c r="I1312" t="inlineStr">
        <is>
          <t>Contra Costa</t>
        </is>
      </c>
      <c r="J1312" t="inlineStr">
        <is>
          <t>Tampico Terrace Care Center</t>
        </is>
      </c>
    </row>
    <row r="1313">
      <c r="A1313">
        <f>--ISNUMBER(IFERROR(SEARCH($C$5,Inputs!$D1313,1),""))</f>
        <v/>
      </c>
      <c r="B1313">
        <f>IF(A1313=1,COUNTIF($A$6:A1313,1),"")</f>
        <v/>
      </c>
      <c r="C1313">
        <f>IFERROR(INDEX($D$6:$D$1750,MATCH(ROWS($B$6:B1313),$B$6:$B$1750,0)),"")</f>
        <v/>
      </c>
      <c r="D1313">
        <f>J1313&amp;" ("&amp;E1313&amp;")"</f>
        <v/>
      </c>
      <c r="E1313" t="n">
        <v>22617</v>
      </c>
      <c r="F1313" t="inlineStr">
        <is>
          <t>Skilled Nursing and Interm. Care Facility</t>
        </is>
      </c>
      <c r="G1313" t="inlineStr">
        <is>
          <t>4900 Florence Ave.</t>
        </is>
      </c>
      <c r="H1313" t="inlineStr">
        <is>
          <t>Bell</t>
        </is>
      </c>
      <c r="I1313" t="inlineStr">
        <is>
          <t>Los Angeles</t>
        </is>
      </c>
      <c r="J1313" t="inlineStr">
        <is>
          <t>Bell Convalescent Hospital</t>
        </is>
      </c>
    </row>
    <row r="1314">
      <c r="A1314">
        <f>--ISNUMBER(IFERROR(SEARCH($C$5,Inputs!$D1314,1),""))</f>
        <v/>
      </c>
      <c r="B1314">
        <f>IF(A1314=1,COUNTIF($A$6:A1314,1),"")</f>
        <v/>
      </c>
      <c r="C1314">
        <f>IFERROR(INDEX($D$6:$D$1750,MATCH(ROWS($B$6:B1314),$B$6:$B$1750,0)),"")</f>
        <v/>
      </c>
      <c r="D1314">
        <f>J1314&amp;" ("&amp;E1314&amp;")"</f>
        <v/>
      </c>
      <c r="E1314" t="n">
        <v>22618</v>
      </c>
      <c r="F1314" t="inlineStr">
        <is>
          <t>Skilled Nursing and Interm. Care Facility</t>
        </is>
      </c>
      <c r="G1314" t="inlineStr">
        <is>
          <t>6705 Columbia Way</t>
        </is>
      </c>
      <c r="H1314" t="inlineStr">
        <is>
          <t>Lancaster</t>
        </is>
      </c>
      <c r="I1314" t="inlineStr">
        <is>
          <t>Los Angeles</t>
        </is>
      </c>
      <c r="J1314" t="inlineStr">
        <is>
          <t>Mayflower Gardens Convalescent Hospital</t>
        </is>
      </c>
    </row>
    <row r="1315">
      <c r="A1315">
        <f>--ISNUMBER(IFERROR(SEARCH($C$5,Inputs!$D1315,1),""))</f>
        <v/>
      </c>
      <c r="B1315">
        <f>IF(A1315=1,COUNTIF($A$6:A1315,1),"")</f>
        <v/>
      </c>
      <c r="C1315">
        <f>IFERROR(INDEX($D$6:$D$1750,MATCH(ROWS($B$6:B1315),$B$6:$B$1750,0)),"")</f>
        <v/>
      </c>
      <c r="D1315">
        <f>J1315&amp;" ("&amp;E1315&amp;")"</f>
        <v/>
      </c>
      <c r="E1315" t="n">
        <v>22619</v>
      </c>
      <c r="F1315" t="inlineStr">
        <is>
          <t>Skilled Nursing and Interm. Care Facility</t>
        </is>
      </c>
      <c r="G1315" t="inlineStr">
        <is>
          <t>1550 N Park Ave</t>
        </is>
      </c>
      <c r="H1315" t="inlineStr">
        <is>
          <t>Pomona</t>
        </is>
      </c>
      <c r="I1315" t="inlineStr">
        <is>
          <t>Los Angeles</t>
        </is>
      </c>
      <c r="J1315" t="inlineStr">
        <is>
          <t>Park Avenue Healthcare &amp; Wellness Center</t>
        </is>
      </c>
    </row>
    <row r="1316">
      <c r="A1316">
        <f>--ISNUMBER(IFERROR(SEARCH($C$5,Inputs!$D1316,1),""))</f>
        <v/>
      </c>
      <c r="B1316">
        <f>IF(A1316=1,COUNTIF($A$6:A1316,1),"")</f>
        <v/>
      </c>
      <c r="C1316">
        <f>IFERROR(INDEX($D$6:$D$1750,MATCH(ROWS($B$6:B1316),$B$6:$B$1750,0)),"")</f>
        <v/>
      </c>
      <c r="D1316">
        <f>J1316&amp;" ("&amp;E1316&amp;")"</f>
        <v/>
      </c>
      <c r="E1316" t="n">
        <v>22620</v>
      </c>
      <c r="F1316" t="inlineStr">
        <is>
          <t>Skilled Nursing and Interm. Care Facility</t>
        </is>
      </c>
      <c r="G1316" t="inlineStr">
        <is>
          <t>2030 N Garey Ave</t>
        </is>
      </c>
      <c r="H1316" t="inlineStr">
        <is>
          <t>Pomona</t>
        </is>
      </c>
      <c r="I1316" t="inlineStr">
        <is>
          <t>Los Angeles</t>
        </is>
      </c>
      <c r="J1316" t="inlineStr">
        <is>
          <t>Landmark Medical Center</t>
        </is>
      </c>
    </row>
    <row r="1317">
      <c r="A1317">
        <f>--ISNUMBER(IFERROR(SEARCH($C$5,Inputs!$D1317,1),""))</f>
        <v/>
      </c>
      <c r="B1317">
        <f>IF(A1317=1,COUNTIF($A$6:A1317,1),"")</f>
        <v/>
      </c>
      <c r="C1317">
        <f>IFERROR(INDEX($D$6:$D$1750,MATCH(ROWS($B$6:B1317),$B$6:$B$1750,0)),"")</f>
        <v/>
      </c>
      <c r="D1317">
        <f>J1317&amp;" ("&amp;E1317&amp;")"</f>
        <v/>
      </c>
      <c r="E1317" t="n">
        <v>22624</v>
      </c>
      <c r="F1317" t="inlineStr">
        <is>
          <t>Skilled Nursing and Interm. Care Facility</t>
        </is>
      </c>
      <c r="G1317" t="inlineStr">
        <is>
          <t>2225 North Perris Boulevard</t>
        </is>
      </c>
      <c r="H1317" t="inlineStr">
        <is>
          <t>Perris</t>
        </is>
      </c>
      <c r="I1317" t="inlineStr">
        <is>
          <t>Riverside</t>
        </is>
      </c>
      <c r="J1317" t="inlineStr">
        <is>
          <t>Centinela Grand, Inc.</t>
        </is>
      </c>
    </row>
    <row r="1318">
      <c r="A1318">
        <f>--ISNUMBER(IFERROR(SEARCH($C$5,Inputs!$D1318,1),""))</f>
        <v/>
      </c>
      <c r="B1318">
        <f>IF(A1318=1,COUNTIF($A$6:A1318,1),"")</f>
        <v/>
      </c>
      <c r="C1318">
        <f>IFERROR(INDEX($D$6:$D$1750,MATCH(ROWS($B$6:B1318),$B$6:$B$1750,0)),"")</f>
        <v/>
      </c>
      <c r="D1318">
        <f>J1318&amp;" ("&amp;E1318&amp;")"</f>
        <v/>
      </c>
      <c r="E1318" t="n">
        <v>22626</v>
      </c>
      <c r="F1318" t="inlineStr">
        <is>
          <t>Skilled Nursing and Interm. Care Facility</t>
        </is>
      </c>
      <c r="G1318" t="inlineStr">
        <is>
          <t>105 Terracina Boulevard</t>
        </is>
      </c>
      <c r="H1318" t="inlineStr">
        <is>
          <t>Redlands</t>
        </is>
      </c>
      <c r="I1318" t="inlineStr">
        <is>
          <t>San Bernardino</t>
        </is>
      </c>
      <c r="J1318" t="inlineStr">
        <is>
          <t>Brookside Healthcare Center</t>
        </is>
      </c>
    </row>
    <row r="1319">
      <c r="A1319">
        <f>--ISNUMBER(IFERROR(SEARCH($C$5,Inputs!$D1319,1),""))</f>
        <v/>
      </c>
      <c r="B1319">
        <f>IF(A1319=1,COUNTIF($A$6:A1319,1),"")</f>
        <v/>
      </c>
      <c r="C1319">
        <f>IFERROR(INDEX($D$6:$D$1750,MATCH(ROWS($B$6:B1319),$B$6:$B$1750,0)),"")</f>
        <v/>
      </c>
      <c r="D1319">
        <f>J1319&amp;" ("&amp;E1319&amp;")"</f>
        <v/>
      </c>
      <c r="E1319" t="n">
        <v>22627</v>
      </c>
      <c r="F1319" t="inlineStr">
        <is>
          <t>Skilled Nursing and Interm. Care Facility</t>
        </is>
      </c>
      <c r="G1319" t="inlineStr">
        <is>
          <t>1130 Monaco Court</t>
        </is>
      </c>
      <c r="H1319" t="inlineStr">
        <is>
          <t>Stockton</t>
        </is>
      </c>
      <c r="I1319" t="inlineStr">
        <is>
          <t>San Joaquin</t>
        </is>
      </c>
      <c r="J1319" t="inlineStr">
        <is>
          <t>Crestwood Manor</t>
        </is>
      </c>
    </row>
    <row r="1320">
      <c r="A1320">
        <f>--ISNUMBER(IFERROR(SEARCH($C$5,Inputs!$D1320,1),""))</f>
        <v/>
      </c>
      <c r="B1320">
        <f>IF(A1320=1,COUNTIF($A$6:A1320,1),"")</f>
        <v/>
      </c>
      <c r="C1320">
        <f>IFERROR(INDEX($D$6:$D$1750,MATCH(ROWS($B$6:B1320),$B$6:$B$1750,0)),"")</f>
        <v/>
      </c>
      <c r="D1320">
        <f>J1320&amp;" ("&amp;E1320&amp;")"</f>
        <v/>
      </c>
      <c r="E1320" t="n">
        <v>22628</v>
      </c>
      <c r="F1320" t="inlineStr">
        <is>
          <t>Skilled Nursing and Interm. Care Facility</t>
        </is>
      </c>
      <c r="G1320" t="inlineStr">
        <is>
          <t>1319 North Madison Street</t>
        </is>
      </c>
      <c r="H1320" t="inlineStr">
        <is>
          <t>Stockton</t>
        </is>
      </c>
      <c r="I1320" t="inlineStr">
        <is>
          <t>San Joaquin</t>
        </is>
      </c>
      <c r="J1320" t="inlineStr">
        <is>
          <t>Plymouth Square</t>
        </is>
      </c>
    </row>
    <row r="1321">
      <c r="A1321">
        <f>--ISNUMBER(IFERROR(SEARCH($C$5,Inputs!$D1321,1),""))</f>
        <v/>
      </c>
      <c r="B1321">
        <f>IF(A1321=1,COUNTIF($A$6:A1321,1),"")</f>
        <v/>
      </c>
      <c r="C1321">
        <f>IFERROR(INDEX($D$6:$D$1750,MATCH(ROWS($B$6:B1321),$B$6:$B$1750,0)),"")</f>
        <v/>
      </c>
      <c r="D1321">
        <f>J1321&amp;" ("&amp;E1321&amp;")"</f>
        <v/>
      </c>
      <c r="E1321" t="n">
        <v>22629</v>
      </c>
      <c r="F1321" t="inlineStr">
        <is>
          <t>Skilled Nursing and Interm. Care Facility</t>
        </is>
      </c>
      <c r="G1321" t="inlineStr">
        <is>
          <t>2101 Augusta Street</t>
        </is>
      </c>
      <c r="H1321" t="inlineStr">
        <is>
          <t>San Luis Obispo</t>
        </is>
      </c>
      <c r="I1321" t="inlineStr">
        <is>
          <t>San Luis Obispo</t>
        </is>
      </c>
      <c r="J1321" t="inlineStr">
        <is>
          <t>San Luis Post Acute Center</t>
        </is>
      </c>
    </row>
    <row r="1322">
      <c r="A1322">
        <f>--ISNUMBER(IFERROR(SEARCH($C$5,Inputs!$D1322,1),""))</f>
        <v/>
      </c>
      <c r="B1322">
        <f>IF(A1322=1,COUNTIF($A$6:A1322,1),"")</f>
        <v/>
      </c>
      <c r="C1322">
        <f>IFERROR(INDEX($D$6:$D$1750,MATCH(ROWS($B$6:B1322),$B$6:$B$1750,0)),"")</f>
        <v/>
      </c>
      <c r="D1322">
        <f>J1322&amp;" ("&amp;E1322&amp;")"</f>
        <v/>
      </c>
      <c r="E1322" t="n">
        <v>22630</v>
      </c>
      <c r="F1322" t="inlineStr">
        <is>
          <t>Skilled Nursing and Interm. Care Facility</t>
        </is>
      </c>
      <c r="G1322" t="inlineStr">
        <is>
          <t>385 Esplanade Street</t>
        </is>
      </c>
      <c r="H1322" t="inlineStr">
        <is>
          <t>Pacifica</t>
        </is>
      </c>
      <c r="I1322" t="inlineStr">
        <is>
          <t>San Mateo</t>
        </is>
      </c>
      <c r="J1322" t="inlineStr">
        <is>
          <t>Pacifica Nursing And Rehab Center</t>
        </is>
      </c>
    </row>
    <row r="1323">
      <c r="A1323">
        <f>--ISNUMBER(IFERROR(SEARCH($C$5,Inputs!$D1323,1),""))</f>
        <v/>
      </c>
      <c r="B1323">
        <f>IF(A1323=1,COUNTIF($A$6:A1323,1),"")</f>
        <v/>
      </c>
      <c r="C1323">
        <f>IFERROR(INDEX($D$6:$D$1750,MATCH(ROWS($B$6:B1323),$B$6:$B$1750,0)),"")</f>
        <v/>
      </c>
      <c r="D1323">
        <f>J1323&amp;" ("&amp;E1323&amp;")"</f>
        <v/>
      </c>
      <c r="E1323" t="n">
        <v>22631</v>
      </c>
      <c r="F1323" t="inlineStr">
        <is>
          <t>Skilled Nursing and Interm. Care Facility</t>
        </is>
      </c>
      <c r="G1323" t="inlineStr">
        <is>
          <t>1291 South Bernardo Avenue</t>
        </is>
      </c>
      <c r="H1323" t="inlineStr">
        <is>
          <t>Sunnyvale</t>
        </is>
      </c>
      <c r="I1323" t="inlineStr">
        <is>
          <t>Santa Clara</t>
        </is>
      </c>
      <c r="J1323" t="inlineStr">
        <is>
          <t>Sunnyvale Post-Acute Center</t>
        </is>
      </c>
    </row>
    <row r="1324">
      <c r="A1324">
        <f>--ISNUMBER(IFERROR(SEARCH($C$5,Inputs!$D1324,1),""))</f>
        <v/>
      </c>
      <c r="B1324">
        <f>IF(A1324=1,COUNTIF($A$6:A1324,1),"")</f>
        <v/>
      </c>
      <c r="C1324">
        <f>IFERROR(INDEX($D$6:$D$1750,MATCH(ROWS($B$6:B1324),$B$6:$B$1750,0)),"")</f>
        <v/>
      </c>
      <c r="D1324">
        <f>J1324&amp;" ("&amp;E1324&amp;")"</f>
        <v/>
      </c>
      <c r="E1324" t="n">
        <v>22632</v>
      </c>
      <c r="F1324" t="inlineStr">
        <is>
          <t>Skilled Nursing and Interm. Care Facility</t>
        </is>
      </c>
      <c r="G1324" t="inlineStr">
        <is>
          <t>2490 Court St</t>
        </is>
      </c>
      <c r="H1324" t="inlineStr">
        <is>
          <t>Redding</t>
        </is>
      </c>
      <c r="I1324" t="inlineStr">
        <is>
          <t>Shasta</t>
        </is>
      </c>
      <c r="J1324" t="inlineStr">
        <is>
          <t>Windsor Redding Care Center</t>
        </is>
      </c>
    </row>
    <row r="1325">
      <c r="A1325">
        <f>--ISNUMBER(IFERROR(SEARCH($C$5,Inputs!$D1325,1),""))</f>
        <v/>
      </c>
      <c r="B1325">
        <f>IF(A1325=1,COUNTIF($A$6:A1325,1),"")</f>
        <v/>
      </c>
      <c r="C1325">
        <f>IFERROR(INDEX($D$6:$D$1750,MATCH(ROWS($B$6:B1325),$B$6:$B$1750,0)),"")</f>
        <v/>
      </c>
      <c r="D1325">
        <f>J1325&amp;" ("&amp;E1325&amp;")"</f>
        <v/>
      </c>
      <c r="E1325" t="n">
        <v>22633</v>
      </c>
      <c r="F1325" t="inlineStr">
        <is>
          <t>Skilled Nursing and Interm. Care Facility</t>
        </is>
      </c>
      <c r="G1325" t="inlineStr">
        <is>
          <t>4320 Maricopa Street</t>
        </is>
      </c>
      <c r="H1325" t="inlineStr">
        <is>
          <t>Torrance</t>
        </is>
      </c>
      <c r="I1325" t="inlineStr">
        <is>
          <t>Los Angeles</t>
        </is>
      </c>
      <c r="J1325" t="inlineStr">
        <is>
          <t>Providence Little Company Of Mary Transitional Care Center</t>
        </is>
      </c>
    </row>
    <row r="1326">
      <c r="A1326">
        <f>--ISNUMBER(IFERROR(SEARCH($C$5,Inputs!$D1326,1),""))</f>
        <v/>
      </c>
      <c r="B1326">
        <f>IF(A1326=1,COUNTIF($A$6:A1326,1),"")</f>
        <v/>
      </c>
      <c r="C1326">
        <f>IFERROR(INDEX($D$6:$D$1750,MATCH(ROWS($B$6:B1326),$B$6:$B$1750,0)),"")</f>
        <v/>
      </c>
      <c r="D1326">
        <f>J1326&amp;" ("&amp;E1326&amp;")"</f>
        <v/>
      </c>
      <c r="E1326" t="n">
        <v>22642</v>
      </c>
      <c r="F1326" t="inlineStr">
        <is>
          <t>Skilled Nursing and Interm. Care Facility</t>
        </is>
      </c>
      <c r="G1326" t="inlineStr">
        <is>
          <t>21414 S Vermont Ave</t>
        </is>
      </c>
      <c r="H1326" t="inlineStr">
        <is>
          <t>Torrance</t>
        </is>
      </c>
      <c r="I1326" t="inlineStr">
        <is>
          <t>Los Angeles</t>
        </is>
      </c>
      <c r="J1326" t="inlineStr">
        <is>
          <t>Heritage Rehabilitation Center</t>
        </is>
      </c>
    </row>
    <row r="1327">
      <c r="A1327">
        <f>--ISNUMBER(IFERROR(SEARCH($C$5,Inputs!$D1327,1),""))</f>
        <v/>
      </c>
      <c r="B1327">
        <f>IF(A1327=1,COUNTIF($A$6:A1327,1),"")</f>
        <v/>
      </c>
      <c r="C1327">
        <f>IFERROR(INDEX($D$6:$D$1750,MATCH(ROWS($B$6:B1327),$B$6:$B$1750,0)),"")</f>
        <v/>
      </c>
      <c r="D1327">
        <f>J1327&amp;" ("&amp;E1327&amp;")"</f>
        <v/>
      </c>
      <c r="E1327" t="n">
        <v>22644</v>
      </c>
      <c r="F1327" t="inlineStr">
        <is>
          <t>Skilled Nursing and Interm. Care Facility</t>
        </is>
      </c>
      <c r="G1327" t="inlineStr">
        <is>
          <t>7836 Reseda Blvd</t>
        </is>
      </c>
      <c r="H1327" t="inlineStr">
        <is>
          <t>Reseda</t>
        </is>
      </c>
      <c r="I1327" t="inlineStr">
        <is>
          <t>Los Angeles</t>
        </is>
      </c>
      <c r="J1327" t="inlineStr">
        <is>
          <t>Northridge Care Center</t>
        </is>
      </c>
    </row>
    <row r="1328">
      <c r="A1328">
        <f>--ISNUMBER(IFERROR(SEARCH($C$5,Inputs!$D1328,1),""))</f>
        <v/>
      </c>
      <c r="B1328">
        <f>IF(A1328=1,COUNTIF($A$6:A1328,1),"")</f>
        <v/>
      </c>
      <c r="C1328">
        <f>IFERROR(INDEX($D$6:$D$1750,MATCH(ROWS($B$6:B1328),$B$6:$B$1750,0)),"")</f>
        <v/>
      </c>
      <c r="D1328">
        <f>J1328&amp;" ("&amp;E1328&amp;")"</f>
        <v/>
      </c>
      <c r="E1328" t="n">
        <v>22648</v>
      </c>
      <c r="F1328" t="inlineStr">
        <is>
          <t>Skilled Nursing and Interm. Care Facility</t>
        </is>
      </c>
      <c r="G1328" t="inlineStr">
        <is>
          <t>277 South Sunrise Way</t>
        </is>
      </c>
      <c r="H1328" t="inlineStr">
        <is>
          <t>Palm Springs</t>
        </is>
      </c>
      <c r="I1328" t="inlineStr">
        <is>
          <t>Riverside</t>
        </is>
      </c>
      <c r="J1328" t="inlineStr">
        <is>
          <t>Palm Springs Healthcare &amp; Rehabilitation Center</t>
        </is>
      </c>
    </row>
    <row r="1329">
      <c r="A1329">
        <f>--ISNUMBER(IFERROR(SEARCH($C$5,Inputs!$D1329,1),""))</f>
        <v/>
      </c>
      <c r="B1329">
        <f>IF(A1329=1,COUNTIF($A$6:A1329,1),"")</f>
        <v/>
      </c>
      <c r="C1329">
        <f>IFERROR(INDEX($D$6:$D$1750,MATCH(ROWS($B$6:B1329),$B$6:$B$1750,0)),"")</f>
        <v/>
      </c>
      <c r="D1329">
        <f>J1329&amp;" ("&amp;E1329&amp;")"</f>
        <v/>
      </c>
      <c r="E1329" t="n">
        <v>22649</v>
      </c>
      <c r="F1329" t="inlineStr">
        <is>
          <t>Skilled Nursing and Interm. Care Facility</t>
        </is>
      </c>
      <c r="G1329" t="inlineStr">
        <is>
          <t>3455 Highland Ave.</t>
        </is>
      </c>
      <c r="H1329" t="inlineStr">
        <is>
          <t>Highland</t>
        </is>
      </c>
      <c r="I1329" t="inlineStr">
        <is>
          <t>San Bernardino</t>
        </is>
      </c>
      <c r="J1329" t="inlineStr">
        <is>
          <t>Sierra Vista</t>
        </is>
      </c>
    </row>
    <row r="1330">
      <c r="A1330">
        <f>--ISNUMBER(IFERROR(SEARCH($C$5,Inputs!$D1330,1),""))</f>
        <v/>
      </c>
      <c r="B1330">
        <f>IF(A1330=1,COUNTIF($A$6:A1330,1),"")</f>
        <v/>
      </c>
      <c r="C1330">
        <f>IFERROR(INDEX($D$6:$D$1750,MATCH(ROWS($B$6:B1330),$B$6:$B$1750,0)),"")</f>
        <v/>
      </c>
      <c r="D1330">
        <f>J1330&amp;" ("&amp;E1330&amp;")"</f>
        <v/>
      </c>
      <c r="E1330" t="n">
        <v>22652</v>
      </c>
      <c r="F1330" t="inlineStr">
        <is>
          <t>Skilled Nursing and Interm. Care Facility</t>
        </is>
      </c>
      <c r="G1330" t="inlineStr">
        <is>
          <t>1100 Trousdale Drive</t>
        </is>
      </c>
      <c r="H1330" t="inlineStr">
        <is>
          <t>Burlingame</t>
        </is>
      </c>
      <c r="I1330" t="inlineStr">
        <is>
          <t>San Mateo</t>
        </is>
      </c>
      <c r="J1330" t="inlineStr">
        <is>
          <t>Burlingame Health Care Center D/P SNF</t>
        </is>
      </c>
    </row>
    <row r="1331">
      <c r="A1331">
        <f>--ISNUMBER(IFERROR(SEARCH($C$5,Inputs!$D1331,1),""))</f>
        <v/>
      </c>
      <c r="B1331">
        <f>IF(A1331=1,COUNTIF($A$6:A1331,1),"")</f>
        <v/>
      </c>
      <c r="C1331">
        <f>IFERROR(INDEX($D$6:$D$1750,MATCH(ROWS($B$6:B1331),$B$6:$B$1750,0)),"")</f>
        <v/>
      </c>
      <c r="D1331">
        <f>J1331&amp;" ("&amp;E1331&amp;")"</f>
        <v/>
      </c>
      <c r="E1331" t="n">
        <v>22653</v>
      </c>
      <c r="F1331" t="inlineStr">
        <is>
          <t>Skilled Nursing and Interm. Care Facility</t>
        </is>
      </c>
      <c r="G1331" t="inlineStr">
        <is>
          <t>3550 Churn Creek Rd</t>
        </is>
      </c>
      <c r="H1331" t="inlineStr">
        <is>
          <t>Redding</t>
        </is>
      </c>
      <c r="I1331" t="inlineStr">
        <is>
          <t>Shasta</t>
        </is>
      </c>
      <c r="J1331" t="inlineStr">
        <is>
          <t>Marquis Care At Shasta</t>
        </is>
      </c>
    </row>
    <row r="1332">
      <c r="A1332">
        <f>--ISNUMBER(IFERROR(SEARCH($C$5,Inputs!$D1332,1),""))</f>
        <v/>
      </c>
      <c r="B1332">
        <f>IF(A1332=1,COUNTIF($A$6:A1332,1),"")</f>
        <v/>
      </c>
      <c r="C1332">
        <f>IFERROR(INDEX($D$6:$D$1750,MATCH(ROWS($B$6:B1332),$B$6:$B$1750,0)),"")</f>
        <v/>
      </c>
      <c r="D1332">
        <f>J1332&amp;" ("&amp;E1332&amp;")"</f>
        <v/>
      </c>
      <c r="E1332" t="n">
        <v>22655</v>
      </c>
      <c r="F1332" t="inlineStr">
        <is>
          <t>Skilled Nursing and Interm. Care Facility</t>
        </is>
      </c>
      <c r="G1332" t="inlineStr">
        <is>
          <t>275 S Oak Street</t>
        </is>
      </c>
      <c r="H1332" t="inlineStr">
        <is>
          <t>Oakdale</t>
        </is>
      </c>
      <c r="I1332" t="inlineStr">
        <is>
          <t>Stanislaus</t>
        </is>
      </c>
      <c r="J1332" t="inlineStr">
        <is>
          <t>Oakdale Nursing And Rehabilitation Center</t>
        </is>
      </c>
    </row>
    <row r="1333">
      <c r="A1333">
        <f>--ISNUMBER(IFERROR(SEARCH($C$5,Inputs!$D1333,1),""))</f>
        <v/>
      </c>
      <c r="B1333">
        <f>IF(A1333=1,COUNTIF($A$6:A1333,1),"")</f>
        <v/>
      </c>
      <c r="C1333">
        <f>IFERROR(INDEX($D$6:$D$1750,MATCH(ROWS($B$6:B1333),$B$6:$B$1750,0)),"")</f>
        <v/>
      </c>
      <c r="D1333">
        <f>J1333&amp;" ("&amp;E1333&amp;")"</f>
        <v/>
      </c>
      <c r="E1333" t="n">
        <v>22657</v>
      </c>
      <c r="F1333" t="inlineStr">
        <is>
          <t>Skilled Nursing and Interm. Care Facility</t>
        </is>
      </c>
      <c r="G1333" t="inlineStr">
        <is>
          <t>1495 W Cameron Ave</t>
        </is>
      </c>
      <c r="H1333" t="inlineStr">
        <is>
          <t>West Covina</t>
        </is>
      </c>
      <c r="I1333" t="inlineStr">
        <is>
          <t>Los Angeles</t>
        </is>
      </c>
      <c r="J1333" t="inlineStr">
        <is>
          <t>West Haven Healthcare</t>
        </is>
      </c>
    </row>
    <row r="1334">
      <c r="A1334">
        <f>--ISNUMBER(IFERROR(SEARCH($C$5,Inputs!$D1334,1),""))</f>
        <v/>
      </c>
      <c r="B1334">
        <f>IF(A1334=1,COUNTIF($A$6:A1334,1),"")</f>
        <v/>
      </c>
      <c r="C1334">
        <f>IFERROR(INDEX($D$6:$D$1750,MATCH(ROWS($B$6:B1334),$B$6:$B$1750,0)),"")</f>
        <v/>
      </c>
      <c r="D1334">
        <f>J1334&amp;" ("&amp;E1334&amp;")"</f>
        <v/>
      </c>
      <c r="E1334" t="n">
        <v>22658</v>
      </c>
      <c r="F1334" t="inlineStr">
        <is>
          <t>Skilled Nursing and Interm. Care Facility</t>
        </is>
      </c>
      <c r="G1334" t="inlineStr">
        <is>
          <t>6700 Sepulveda Blvd</t>
        </is>
      </c>
      <c r="H1334" t="inlineStr">
        <is>
          <t>Van Nuys</t>
        </is>
      </c>
      <c r="I1334" t="inlineStr">
        <is>
          <t>Los Angeles</t>
        </is>
      </c>
      <c r="J1334" t="inlineStr">
        <is>
          <t>California Healthcare And Rehabilitation Center</t>
        </is>
      </c>
    </row>
    <row r="1335">
      <c r="A1335">
        <f>--ISNUMBER(IFERROR(SEARCH($C$5,Inputs!$D1335,1),""))</f>
        <v/>
      </c>
      <c r="B1335">
        <f>IF(A1335=1,COUNTIF($A$6:A1335,1),"")</f>
        <v/>
      </c>
      <c r="C1335">
        <f>IFERROR(INDEX($D$6:$D$1750,MATCH(ROWS($B$6:B1335),$B$6:$B$1750,0)),"")</f>
        <v/>
      </c>
      <c r="D1335">
        <f>J1335&amp;" ("&amp;E1335&amp;")"</f>
        <v/>
      </c>
      <c r="E1335" t="n">
        <v>22659</v>
      </c>
      <c r="F1335" t="inlineStr">
        <is>
          <t>Skilled Nursing and Interm. Care Facility</t>
        </is>
      </c>
      <c r="G1335" t="inlineStr">
        <is>
          <t>4010 Virginia Rd</t>
        </is>
      </c>
      <c r="H1335" t="inlineStr">
        <is>
          <t>Long Beach</t>
        </is>
      </c>
      <c r="I1335" t="inlineStr">
        <is>
          <t>Los Angeles</t>
        </is>
      </c>
      <c r="J1335" t="inlineStr">
        <is>
          <t>Catered Manor Nursing Center</t>
        </is>
      </c>
    </row>
    <row r="1336">
      <c r="A1336">
        <f>--ISNUMBER(IFERROR(SEARCH($C$5,Inputs!$D1336,1),""))</f>
        <v/>
      </c>
      <c r="B1336">
        <f>IF(A1336=1,COUNTIF($A$6:A1336,1),"")</f>
        <v/>
      </c>
      <c r="C1336">
        <f>IFERROR(INDEX($D$6:$D$1750,MATCH(ROWS($B$6:B1336),$B$6:$B$1750,0)),"")</f>
        <v/>
      </c>
      <c r="D1336">
        <f>J1336&amp;" ("&amp;E1336&amp;")"</f>
        <v/>
      </c>
      <c r="E1336" t="n">
        <v>22665</v>
      </c>
      <c r="F1336" t="inlineStr">
        <is>
          <t>Skilled Nursing and Interm. Care Facility</t>
        </is>
      </c>
      <c r="G1336" t="inlineStr">
        <is>
          <t>5400 Fountain Ave</t>
        </is>
      </c>
      <c r="H1336" t="inlineStr">
        <is>
          <t>Los Angeles</t>
        </is>
      </c>
      <c r="I1336" t="inlineStr">
        <is>
          <t>Los Angeles</t>
        </is>
      </c>
      <c r="J1336" t="inlineStr">
        <is>
          <t>Palazzo Post Acute</t>
        </is>
      </c>
    </row>
    <row r="1337">
      <c r="A1337">
        <f>--ISNUMBER(IFERROR(SEARCH($C$5,Inputs!$D1337,1),""))</f>
        <v/>
      </c>
      <c r="B1337">
        <f>IF(A1337=1,COUNTIF($A$6:A1337,1),"")</f>
        <v/>
      </c>
      <c r="C1337">
        <f>IFERROR(INDEX($D$6:$D$1750,MATCH(ROWS($B$6:B1337),$B$6:$B$1750,0)),"")</f>
        <v/>
      </c>
      <c r="D1337">
        <f>J1337&amp;" ("&amp;E1337&amp;")"</f>
        <v/>
      </c>
      <c r="E1337" t="n">
        <v>22667</v>
      </c>
      <c r="F1337" t="inlineStr">
        <is>
          <t>Skilled Nursing and Interm. Care Facility</t>
        </is>
      </c>
      <c r="G1337" t="inlineStr">
        <is>
          <t>3333 E Imperial Hwy</t>
        </is>
      </c>
      <c r="H1337" t="inlineStr">
        <is>
          <t>Lynwood</t>
        </is>
      </c>
      <c r="I1337" t="inlineStr">
        <is>
          <t>Los Angeles</t>
        </is>
      </c>
      <c r="J1337" t="inlineStr">
        <is>
          <t>Bloomfield West, Inc</t>
        </is>
      </c>
    </row>
    <row r="1338">
      <c r="A1338">
        <f>--ISNUMBER(IFERROR(SEARCH($C$5,Inputs!$D1338,1),""))</f>
        <v/>
      </c>
      <c r="B1338">
        <f>IF(A1338=1,COUNTIF($A$6:A1338,1),"")</f>
        <v/>
      </c>
      <c r="C1338">
        <f>IFERROR(INDEX($D$6:$D$1750,MATCH(ROWS($B$6:B1338),$B$6:$B$1750,0)),"")</f>
        <v/>
      </c>
      <c r="D1338">
        <f>J1338&amp;" ("&amp;E1338&amp;")"</f>
        <v/>
      </c>
      <c r="E1338" t="n">
        <v>22668</v>
      </c>
      <c r="F1338" t="inlineStr">
        <is>
          <t>Skilled Nursing and Interm. Care Facility</t>
        </is>
      </c>
      <c r="G1338" t="inlineStr">
        <is>
          <t>3280 Washington Street</t>
        </is>
      </c>
      <c r="H1338" t="inlineStr">
        <is>
          <t>Placerville</t>
        </is>
      </c>
      <c r="I1338" t="inlineStr">
        <is>
          <t>El Dorado</t>
        </is>
      </c>
      <c r="J1338" t="inlineStr">
        <is>
          <t>Western Slope Health Center</t>
        </is>
      </c>
    </row>
    <row r="1339">
      <c r="A1339">
        <f>--ISNUMBER(IFERROR(SEARCH($C$5,Inputs!$D1339,1),""))</f>
        <v/>
      </c>
      <c r="B1339">
        <f>IF(A1339=1,COUNTIF($A$6:A1339,1),"")</f>
        <v/>
      </c>
      <c r="C1339">
        <f>IFERROR(INDEX($D$6:$D$1750,MATCH(ROWS($B$6:B1339),$B$6:$B$1750,0)),"")</f>
        <v/>
      </c>
      <c r="D1339">
        <f>J1339&amp;" ("&amp;E1339&amp;")"</f>
        <v/>
      </c>
      <c r="E1339" t="n">
        <v>22669</v>
      </c>
      <c r="F1339" t="inlineStr">
        <is>
          <t>Skilled Nursing and Interm. Care Facility</t>
        </is>
      </c>
      <c r="G1339" t="inlineStr">
        <is>
          <t>14401 Huston St</t>
        </is>
      </c>
      <c r="H1339" t="inlineStr">
        <is>
          <t>Sherman Oaks</t>
        </is>
      </c>
      <c r="I1339" t="inlineStr">
        <is>
          <t>Los Angeles</t>
        </is>
      </c>
      <c r="J1339" t="inlineStr">
        <is>
          <t>Sherman Oaks Health &amp; Rehabilitation Center</t>
        </is>
      </c>
    </row>
    <row r="1340">
      <c r="A1340">
        <f>--ISNUMBER(IFERROR(SEARCH($C$5,Inputs!$D1340,1),""))</f>
        <v/>
      </c>
      <c r="B1340">
        <f>IF(A1340=1,COUNTIF($A$6:A1340,1),"")</f>
        <v/>
      </c>
      <c r="C1340">
        <f>IFERROR(INDEX($D$6:$D$1750,MATCH(ROWS($B$6:B1340),$B$6:$B$1750,0)),"")</f>
        <v/>
      </c>
      <c r="D1340">
        <f>J1340&amp;" ("&amp;E1340&amp;")"</f>
        <v/>
      </c>
      <c r="E1340" t="n">
        <v>22674</v>
      </c>
      <c r="F1340" t="inlineStr">
        <is>
          <t>Skilled Nursing and Interm. Care Facility</t>
        </is>
      </c>
      <c r="G1340" t="inlineStr">
        <is>
          <t>3232 E Artesia Blvd</t>
        </is>
      </c>
      <c r="H1340" t="inlineStr">
        <is>
          <t>Long Beach</t>
        </is>
      </c>
      <c r="I1340" t="inlineStr">
        <is>
          <t>Los Angeles</t>
        </is>
      </c>
      <c r="J1340" t="inlineStr">
        <is>
          <t>Windsor Gardens Convalescent Center Of Long Beach</t>
        </is>
      </c>
    </row>
    <row r="1341">
      <c r="A1341">
        <f>--ISNUMBER(IFERROR(SEARCH($C$5,Inputs!$D1341,1),""))</f>
        <v/>
      </c>
      <c r="B1341">
        <f>IF(A1341=1,COUNTIF($A$6:A1341,1),"")</f>
        <v/>
      </c>
      <c r="C1341">
        <f>IFERROR(INDEX($D$6:$D$1750,MATCH(ROWS($B$6:B1341),$B$6:$B$1750,0)),"")</f>
        <v/>
      </c>
      <c r="D1341">
        <f>J1341&amp;" ("&amp;E1341&amp;")"</f>
        <v/>
      </c>
      <c r="E1341" t="n">
        <v>22681</v>
      </c>
      <c r="F1341" t="inlineStr">
        <is>
          <t>Skilled Nursing and Interm. Care Facility</t>
        </is>
      </c>
      <c r="G1341" t="inlineStr">
        <is>
          <t>577 S Peach Ave</t>
        </is>
      </c>
      <c r="H1341" t="inlineStr">
        <is>
          <t>Fresno</t>
        </is>
      </c>
      <c r="I1341" t="inlineStr">
        <is>
          <t>Fresno</t>
        </is>
      </c>
      <c r="J1341" t="inlineStr">
        <is>
          <t>Pacific Gardens Nursing and Rehabilitation Center</t>
        </is>
      </c>
    </row>
    <row r="1342">
      <c r="A1342">
        <f>--ISNUMBER(IFERROR(SEARCH($C$5,Inputs!$D1342,1),""))</f>
        <v/>
      </c>
      <c r="B1342">
        <f>IF(A1342=1,COUNTIF($A$6:A1342,1),"")</f>
        <v/>
      </c>
      <c r="C1342">
        <f>IFERROR(INDEX($D$6:$D$1750,MATCH(ROWS($B$6:B1342),$B$6:$B$1750,0)),"")</f>
        <v/>
      </c>
      <c r="D1342">
        <f>J1342&amp;" ("&amp;E1342&amp;")"</f>
        <v/>
      </c>
      <c r="E1342" t="n">
        <v>22682</v>
      </c>
      <c r="F1342" t="inlineStr">
        <is>
          <t>Skilled Nursing and Interm. Care Facility</t>
        </is>
      </c>
      <c r="G1342" t="inlineStr">
        <is>
          <t>316 S Westlake Ave</t>
        </is>
      </c>
      <c r="H1342" t="inlineStr">
        <is>
          <t>Los Angeles</t>
        </is>
      </c>
      <c r="I1342" t="inlineStr">
        <is>
          <t>Los Angeles</t>
        </is>
      </c>
      <c r="J1342" t="inlineStr">
        <is>
          <t>Westlake Convalescent Hospital</t>
        </is>
      </c>
    </row>
    <row r="1343">
      <c r="A1343">
        <f>--ISNUMBER(IFERROR(SEARCH($C$5,Inputs!$D1343,1),""))</f>
        <v/>
      </c>
      <c r="B1343">
        <f>IF(A1343=1,COUNTIF($A$6:A1343,1),"")</f>
        <v/>
      </c>
      <c r="C1343">
        <f>IFERROR(INDEX($D$6:$D$1750,MATCH(ROWS($B$6:B1343),$B$6:$B$1750,0)),"")</f>
        <v/>
      </c>
      <c r="D1343">
        <f>J1343&amp;" ("&amp;E1343&amp;")"</f>
        <v/>
      </c>
      <c r="E1343" t="n">
        <v>22684</v>
      </c>
      <c r="F1343" t="inlineStr">
        <is>
          <t>Skilled Nursing and Interm. Care Facility</t>
        </is>
      </c>
      <c r="G1343" t="inlineStr">
        <is>
          <t>1250 So. Winchester Boulevard</t>
        </is>
      </c>
      <c r="H1343" t="inlineStr">
        <is>
          <t>San Jose</t>
        </is>
      </c>
      <c r="I1343" t="inlineStr">
        <is>
          <t>Santa Clara</t>
        </is>
      </c>
      <c r="J1343" t="inlineStr">
        <is>
          <t>A Grace Sub Acute &amp; Skilled Care</t>
        </is>
      </c>
    </row>
    <row r="1344">
      <c r="A1344">
        <f>--ISNUMBER(IFERROR(SEARCH($C$5,Inputs!$D1344,1),""))</f>
        <v/>
      </c>
      <c r="B1344">
        <f>IF(A1344=1,COUNTIF($A$6:A1344,1),"")</f>
        <v/>
      </c>
      <c r="C1344">
        <f>IFERROR(INDEX($D$6:$D$1750,MATCH(ROWS($B$6:B1344),$B$6:$B$1750,0)),"")</f>
        <v/>
      </c>
      <c r="D1344">
        <f>J1344&amp;" ("&amp;E1344&amp;")"</f>
        <v/>
      </c>
      <c r="E1344" t="n">
        <v>22686</v>
      </c>
      <c r="F1344" t="inlineStr">
        <is>
          <t>Skilled Nursing and Interm. Care Facility</t>
        </is>
      </c>
      <c r="G1344" t="inlineStr">
        <is>
          <t>919 Freedom Blvd</t>
        </is>
      </c>
      <c r="H1344" t="inlineStr">
        <is>
          <t>Watsonville</t>
        </is>
      </c>
      <c r="I1344" t="inlineStr">
        <is>
          <t>Santa Cruz</t>
        </is>
      </c>
      <c r="J1344" t="inlineStr">
        <is>
          <t>Valley Convalescent Hospital</t>
        </is>
      </c>
    </row>
    <row r="1345">
      <c r="A1345">
        <f>--ISNUMBER(IFERROR(SEARCH($C$5,Inputs!$D1345,1),""))</f>
        <v/>
      </c>
      <c r="B1345">
        <f>IF(A1345=1,COUNTIF($A$6:A1345,1),"")</f>
        <v/>
      </c>
      <c r="C1345">
        <f>IFERROR(INDEX($D$6:$D$1750,MATCH(ROWS($B$6:B1345),$B$6:$B$1750,0)),"")</f>
        <v/>
      </c>
      <c r="D1345">
        <f>J1345&amp;" ("&amp;E1345&amp;")"</f>
        <v/>
      </c>
      <c r="E1345" t="n">
        <v>22687</v>
      </c>
      <c r="F1345" t="inlineStr">
        <is>
          <t>Skilled Nursing and Interm. Care Facility</t>
        </is>
      </c>
      <c r="G1345" t="inlineStr">
        <is>
          <t>1611 Height Street</t>
        </is>
      </c>
      <c r="H1345" t="inlineStr">
        <is>
          <t>Bakersfield</t>
        </is>
      </c>
      <c r="I1345" t="inlineStr">
        <is>
          <t>Kern</t>
        </is>
      </c>
      <c r="J1345" t="inlineStr">
        <is>
          <t>Height Street Skilled Care</t>
        </is>
      </c>
    </row>
    <row r="1346">
      <c r="A1346">
        <f>--ISNUMBER(IFERROR(SEARCH($C$5,Inputs!$D1346,1),""))</f>
        <v/>
      </c>
      <c r="B1346">
        <f>IF(A1346=1,COUNTIF($A$6:A1346,1),"")</f>
        <v/>
      </c>
      <c r="C1346">
        <f>IFERROR(INDEX($D$6:$D$1750,MATCH(ROWS($B$6:B1346),$B$6:$B$1750,0)),"")</f>
        <v/>
      </c>
      <c r="D1346">
        <f>J1346&amp;" ("&amp;E1346&amp;")"</f>
        <v/>
      </c>
      <c r="E1346" t="n">
        <v>22688</v>
      </c>
      <c r="F1346" t="inlineStr">
        <is>
          <t>Skilled Nursing and Interm. Care Facility</t>
        </is>
      </c>
      <c r="G1346" t="inlineStr">
        <is>
          <t>3435 W Ball Rd</t>
        </is>
      </c>
      <c r="H1346" t="inlineStr">
        <is>
          <t>Anaheim</t>
        </is>
      </c>
      <c r="I1346" t="inlineStr">
        <is>
          <t>Orange</t>
        </is>
      </c>
      <c r="J1346" t="inlineStr">
        <is>
          <t>Park Anaheim Healthcare Center</t>
        </is>
      </c>
    </row>
    <row r="1347">
      <c r="A1347">
        <f>--ISNUMBER(IFERROR(SEARCH($C$5,Inputs!$D1347,1),""))</f>
        <v/>
      </c>
      <c r="B1347">
        <f>IF(A1347=1,COUNTIF($A$6:A1347,1),"")</f>
        <v/>
      </c>
      <c r="C1347">
        <f>IFERROR(INDEX($D$6:$D$1750,MATCH(ROWS($B$6:B1347),$B$6:$B$1750,0)),"")</f>
        <v/>
      </c>
      <c r="D1347">
        <f>J1347&amp;" ("&amp;E1347&amp;")"</f>
        <v/>
      </c>
      <c r="E1347" t="n">
        <v>22689</v>
      </c>
      <c r="F1347" t="inlineStr">
        <is>
          <t>Skilled Nursing and Interm. Care Facility</t>
        </is>
      </c>
      <c r="G1347" t="inlineStr">
        <is>
          <t>409 W Glen Oaks Blvd</t>
        </is>
      </c>
      <c r="H1347" t="inlineStr">
        <is>
          <t>Glendale</t>
        </is>
      </c>
      <c r="I1347" t="inlineStr">
        <is>
          <t>Los Angeles</t>
        </is>
      </c>
      <c r="J1347" t="inlineStr">
        <is>
          <t>Glenoaks Conv. Hospital</t>
        </is>
      </c>
    </row>
    <row r="1348">
      <c r="A1348">
        <f>--ISNUMBER(IFERROR(SEARCH($C$5,Inputs!$D1348,1),""))</f>
        <v/>
      </c>
      <c r="B1348">
        <f>IF(A1348=1,COUNTIF($A$6:A1348,1),"")</f>
        <v/>
      </c>
      <c r="C1348">
        <f>IFERROR(INDEX($D$6:$D$1750,MATCH(ROWS($B$6:B1348),$B$6:$B$1750,0)),"")</f>
        <v/>
      </c>
      <c r="D1348">
        <f>J1348&amp;" ("&amp;E1348&amp;")"</f>
        <v/>
      </c>
      <c r="E1348" t="n">
        <v>22691</v>
      </c>
      <c r="F1348" t="inlineStr">
        <is>
          <t>Skilled Nursing and Interm. Care Facility</t>
        </is>
      </c>
      <c r="G1348" t="inlineStr">
        <is>
          <t>5648 Gotham St</t>
        </is>
      </c>
      <c r="H1348" t="inlineStr">
        <is>
          <t>Bell Gardens</t>
        </is>
      </c>
      <c r="I1348" t="inlineStr">
        <is>
          <t>Los Angeles</t>
        </is>
      </c>
      <c r="J1348" t="inlineStr">
        <is>
          <t>Briarcrest Nursing Center</t>
        </is>
      </c>
    </row>
    <row r="1349">
      <c r="A1349">
        <f>--ISNUMBER(IFERROR(SEARCH($C$5,Inputs!$D1349,1),""))</f>
        <v/>
      </c>
      <c r="B1349">
        <f>IF(A1349=1,COUNTIF($A$6:A1349,1),"")</f>
        <v/>
      </c>
      <c r="C1349">
        <f>IFERROR(INDEX($D$6:$D$1750,MATCH(ROWS($B$6:B1349),$B$6:$B$1750,0)),"")</f>
        <v/>
      </c>
      <c r="D1349">
        <f>J1349&amp;" ("&amp;E1349&amp;")"</f>
        <v/>
      </c>
      <c r="E1349" t="n">
        <v>22694</v>
      </c>
      <c r="F1349" t="inlineStr">
        <is>
          <t>Skilled Nursing and Interm. Care Facility</t>
        </is>
      </c>
      <c r="G1349" t="inlineStr">
        <is>
          <t>1100 S Alvarado St</t>
        </is>
      </c>
      <c r="H1349" t="inlineStr">
        <is>
          <t>Los Angeles</t>
        </is>
      </c>
      <c r="I1349" t="inlineStr">
        <is>
          <t>Los Angeles</t>
        </is>
      </c>
      <c r="J1349" t="inlineStr">
        <is>
          <t>Olympia Convalescent Hospital</t>
        </is>
      </c>
    </row>
    <row r="1350">
      <c r="A1350">
        <f>--ISNUMBER(IFERROR(SEARCH($C$5,Inputs!$D1350,1),""))</f>
        <v/>
      </c>
      <c r="B1350">
        <f>IF(A1350=1,COUNTIF($A$6:A1350,1),"")</f>
        <v/>
      </c>
      <c r="C1350">
        <f>IFERROR(INDEX($D$6:$D$1750,MATCH(ROWS($B$6:B1350),$B$6:$B$1750,0)),"")</f>
        <v/>
      </c>
      <c r="D1350">
        <f>J1350&amp;" ("&amp;E1350&amp;")"</f>
        <v/>
      </c>
      <c r="E1350" t="n">
        <v>22696</v>
      </c>
      <c r="F1350" t="inlineStr">
        <is>
          <t>Skilled Nursing and Interm. Care Facility</t>
        </is>
      </c>
      <c r="G1350" t="inlineStr">
        <is>
          <t>1340 15th St</t>
        </is>
      </c>
      <c r="H1350" t="inlineStr">
        <is>
          <t>Santa Monica</t>
        </is>
      </c>
      <c r="I1350" t="inlineStr">
        <is>
          <t>Los Angeles</t>
        </is>
      </c>
      <c r="J1350" t="inlineStr">
        <is>
          <t>Beachwood Post - Acute &amp; Rehab</t>
        </is>
      </c>
    </row>
    <row r="1351">
      <c r="A1351">
        <f>--ISNUMBER(IFERROR(SEARCH($C$5,Inputs!$D1351,1),""))</f>
        <v/>
      </c>
      <c r="B1351">
        <f>IF(A1351=1,COUNTIF($A$6:A1351,1),"")</f>
        <v/>
      </c>
      <c r="C1351">
        <f>IFERROR(INDEX($D$6:$D$1750,MATCH(ROWS($B$6:B1351),$B$6:$B$1750,0)),"")</f>
        <v/>
      </c>
      <c r="D1351">
        <f>J1351&amp;" ("&amp;E1351&amp;")"</f>
        <v/>
      </c>
      <c r="E1351" t="n">
        <v>22699</v>
      </c>
      <c r="F1351" t="inlineStr">
        <is>
          <t>Skilled Nursing and Interm. Care Facility</t>
        </is>
      </c>
      <c r="G1351" t="inlineStr">
        <is>
          <t>1400 Celeste Dr</t>
        </is>
      </c>
      <c r="H1351" t="inlineStr">
        <is>
          <t>Modesto</t>
        </is>
      </c>
      <c r="I1351" t="inlineStr">
        <is>
          <t>Stanislaus</t>
        </is>
      </c>
      <c r="J1351" t="inlineStr">
        <is>
          <t>Crestwood Manor</t>
        </is>
      </c>
    </row>
    <row r="1352">
      <c r="A1352">
        <f>--ISNUMBER(IFERROR(SEARCH($C$5,Inputs!$D1352,1),""))</f>
        <v/>
      </c>
      <c r="B1352">
        <f>IF(A1352=1,COUNTIF($A$6:A1352,1),"")</f>
        <v/>
      </c>
      <c r="C1352">
        <f>IFERROR(INDEX($D$6:$D$1750,MATCH(ROWS($B$6:B1352),$B$6:$B$1750,0)),"")</f>
        <v/>
      </c>
      <c r="D1352">
        <f>J1352&amp;" ("&amp;E1352&amp;")"</f>
        <v/>
      </c>
      <c r="E1352" t="n">
        <v>22706</v>
      </c>
      <c r="F1352" t="inlineStr">
        <is>
          <t>Skilled Nursing and Interm. Care Facility</t>
        </is>
      </c>
      <c r="G1352" t="inlineStr">
        <is>
          <t>676 S Bonnie Brae St</t>
        </is>
      </c>
      <c r="H1352" t="inlineStr">
        <is>
          <t>Los Angeles</t>
        </is>
      </c>
      <c r="I1352" t="inlineStr">
        <is>
          <t>Los Angeles</t>
        </is>
      </c>
      <c r="J1352" t="inlineStr">
        <is>
          <t>Mid-Wilshire Health Care Center</t>
        </is>
      </c>
    </row>
    <row r="1353">
      <c r="A1353">
        <f>--ISNUMBER(IFERROR(SEARCH($C$5,Inputs!$D1353,1),""))</f>
        <v/>
      </c>
      <c r="B1353">
        <f>IF(A1353=1,COUNTIF($A$6:A1353,1),"")</f>
        <v/>
      </c>
      <c r="C1353">
        <f>IFERROR(INDEX($D$6:$D$1750,MATCH(ROWS($B$6:B1353),$B$6:$B$1750,0)),"")</f>
        <v/>
      </c>
      <c r="D1353">
        <f>J1353&amp;" ("&amp;E1353&amp;")"</f>
        <v/>
      </c>
      <c r="E1353" t="n">
        <v>22708</v>
      </c>
      <c r="F1353" t="inlineStr">
        <is>
          <t>Skilled Nursing and Interm. Care Facility</t>
        </is>
      </c>
      <c r="G1353" t="inlineStr">
        <is>
          <t>250 West  Artesia Street</t>
        </is>
      </c>
      <c r="H1353" t="inlineStr">
        <is>
          <t>Pomona</t>
        </is>
      </c>
      <c r="I1353" t="inlineStr">
        <is>
          <t>Los Angeles</t>
        </is>
      </c>
      <c r="J1353" t="inlineStr">
        <is>
          <t>Inland Valley Care and Rehabilitation Center</t>
        </is>
      </c>
    </row>
    <row r="1354">
      <c r="A1354">
        <f>--ISNUMBER(IFERROR(SEARCH($C$5,Inputs!$D1354,1),""))</f>
        <v/>
      </c>
      <c r="B1354">
        <f>IF(A1354=1,COUNTIF($A$6:A1354,1),"")</f>
        <v/>
      </c>
      <c r="C1354">
        <f>IFERROR(INDEX($D$6:$D$1750,MATCH(ROWS($B$6:B1354),$B$6:$B$1750,0)),"")</f>
        <v/>
      </c>
      <c r="D1354">
        <f>J1354&amp;" ("&amp;E1354&amp;")"</f>
        <v/>
      </c>
      <c r="E1354" t="n">
        <v>22709</v>
      </c>
      <c r="F1354" t="inlineStr">
        <is>
          <t>Skilled Nursing and Interm. Care Facility</t>
        </is>
      </c>
      <c r="G1354" t="inlineStr">
        <is>
          <t>11810 Saticoy St</t>
        </is>
      </c>
      <c r="H1354" t="inlineStr">
        <is>
          <t>North Hollywood</t>
        </is>
      </c>
      <c r="I1354" t="inlineStr">
        <is>
          <t>Los Angeles</t>
        </is>
      </c>
      <c r="J1354" t="inlineStr">
        <is>
          <t>All Saints Healthcare</t>
        </is>
      </c>
    </row>
    <row r="1355">
      <c r="A1355">
        <f>--ISNUMBER(IFERROR(SEARCH($C$5,Inputs!$D1355,1),""))</f>
        <v/>
      </c>
      <c r="B1355">
        <f>IF(A1355=1,COUNTIF($A$6:A1355,1),"")</f>
        <v/>
      </c>
      <c r="C1355">
        <f>IFERROR(INDEX($D$6:$D$1750,MATCH(ROWS($B$6:B1355),$B$6:$B$1750,0)),"")</f>
        <v/>
      </c>
      <c r="D1355">
        <f>J1355&amp;" ("&amp;E1355&amp;")"</f>
        <v/>
      </c>
      <c r="E1355" t="n">
        <v>22711</v>
      </c>
      <c r="F1355" t="inlineStr">
        <is>
          <t>Skilled Nursing and Interm. Care Facility</t>
        </is>
      </c>
      <c r="G1355" t="inlineStr">
        <is>
          <t>410 Eastwood Avenue</t>
        </is>
      </c>
      <c r="H1355" t="inlineStr">
        <is>
          <t>Manteca</t>
        </is>
      </c>
      <c r="I1355" t="inlineStr">
        <is>
          <t>San Joaquin</t>
        </is>
      </c>
      <c r="J1355" t="inlineStr">
        <is>
          <t>Manteca Care And Rehabilitation Center</t>
        </is>
      </c>
    </row>
    <row r="1356">
      <c r="A1356">
        <f>--ISNUMBER(IFERROR(SEARCH($C$5,Inputs!$D1356,1),""))</f>
        <v/>
      </c>
      <c r="B1356">
        <f>IF(A1356=1,COUNTIF($A$6:A1356,1),"")</f>
        <v/>
      </c>
      <c r="C1356">
        <f>IFERROR(INDEX($D$6:$D$1750,MATCH(ROWS($B$6:B1356),$B$6:$B$1750,0)),"")</f>
        <v/>
      </c>
      <c r="D1356">
        <f>J1356&amp;" ("&amp;E1356&amp;")"</f>
        <v/>
      </c>
      <c r="E1356" t="n">
        <v>22714</v>
      </c>
      <c r="F1356" t="inlineStr">
        <is>
          <t>Skilled Nursing and Interm. Care Facility</t>
        </is>
      </c>
      <c r="G1356" t="inlineStr">
        <is>
          <t>1212 Farroll Ave</t>
        </is>
      </c>
      <c r="H1356" t="inlineStr">
        <is>
          <t>Arroyo Grande</t>
        </is>
      </c>
      <c r="I1356" t="inlineStr">
        <is>
          <t>San Luis Obispo</t>
        </is>
      </c>
      <c r="J1356" t="inlineStr">
        <is>
          <t>Arroyo Grande Care Center</t>
        </is>
      </c>
    </row>
    <row r="1357">
      <c r="A1357">
        <f>--ISNUMBER(IFERROR(SEARCH($C$5,Inputs!$D1357,1),""))</f>
        <v/>
      </c>
      <c r="B1357">
        <f>IF(A1357=1,COUNTIF($A$6:A1357,1),"")</f>
        <v/>
      </c>
      <c r="C1357">
        <f>IFERROR(INDEX($D$6:$D$1750,MATCH(ROWS($B$6:B1357),$B$6:$B$1750,0)),"")</f>
        <v/>
      </c>
      <c r="D1357">
        <f>J1357&amp;" ("&amp;E1357&amp;")"</f>
        <v/>
      </c>
      <c r="E1357" t="n">
        <v>22715</v>
      </c>
      <c r="F1357" t="inlineStr">
        <is>
          <t>Skilled Nursing and Interm. Care Facility</t>
        </is>
      </c>
      <c r="G1357" t="inlineStr">
        <is>
          <t>2222 North Harbor Boulevard</t>
        </is>
      </c>
      <c r="H1357" t="inlineStr">
        <is>
          <t>Fullerton</t>
        </is>
      </c>
      <c r="I1357" t="inlineStr">
        <is>
          <t>Orange</t>
        </is>
      </c>
      <c r="J1357" t="inlineStr">
        <is>
          <t>The Pavilion At Sunny Hills</t>
        </is>
      </c>
    </row>
    <row r="1358">
      <c r="A1358">
        <f>--ISNUMBER(IFERROR(SEARCH($C$5,Inputs!$D1358,1),""))</f>
        <v/>
      </c>
      <c r="B1358">
        <f>IF(A1358=1,COUNTIF($A$6:A1358,1),"")</f>
        <v/>
      </c>
      <c r="C1358">
        <f>IFERROR(INDEX($D$6:$D$1750,MATCH(ROWS($B$6:B1358),$B$6:$B$1750,0)),"")</f>
        <v/>
      </c>
      <c r="D1358">
        <f>J1358&amp;" ("&amp;E1358&amp;")"</f>
        <v/>
      </c>
      <c r="E1358" t="n">
        <v>22721</v>
      </c>
      <c r="F1358" t="inlineStr">
        <is>
          <t>Skilled Nursing and Interm. Care Facility</t>
        </is>
      </c>
      <c r="G1358" t="inlineStr">
        <is>
          <t>1280 Marshall St</t>
        </is>
      </c>
      <c r="H1358" t="inlineStr">
        <is>
          <t>Crescent City</t>
        </is>
      </c>
      <c r="I1358" t="inlineStr">
        <is>
          <t>Del Norte</t>
        </is>
      </c>
      <c r="J1358" t="inlineStr">
        <is>
          <t>Crescent City Skilled Nursing</t>
        </is>
      </c>
    </row>
    <row r="1359">
      <c r="A1359">
        <f>--ISNUMBER(IFERROR(SEARCH($C$5,Inputs!$D1359,1),""))</f>
        <v/>
      </c>
      <c r="B1359">
        <f>IF(A1359=1,COUNTIF($A$6:A1359,1),"")</f>
        <v/>
      </c>
      <c r="C1359">
        <f>IFERROR(INDEX($D$6:$D$1750,MATCH(ROWS($B$6:B1359),$B$6:$B$1750,0)),"")</f>
        <v/>
      </c>
      <c r="D1359">
        <f>J1359&amp;" ("&amp;E1359&amp;")"</f>
        <v/>
      </c>
      <c r="E1359" t="n">
        <v>22726</v>
      </c>
      <c r="F1359" t="inlineStr">
        <is>
          <t>Skilled Nursing and Interm. Care Facility</t>
        </is>
      </c>
      <c r="G1359" t="inlineStr">
        <is>
          <t>4840 E Tulare St</t>
        </is>
      </c>
      <c r="H1359" t="inlineStr">
        <is>
          <t>Fresno</t>
        </is>
      </c>
      <c r="I1359" t="inlineStr">
        <is>
          <t>Fresno</t>
        </is>
      </c>
      <c r="J1359" t="inlineStr">
        <is>
          <t>Orchard Post Acute</t>
        </is>
      </c>
    </row>
    <row r="1360">
      <c r="A1360">
        <f>--ISNUMBER(IFERROR(SEARCH($C$5,Inputs!$D1360,1),""))</f>
        <v/>
      </c>
      <c r="B1360">
        <f>IF(A1360=1,COUNTIF($A$6:A1360,1),"")</f>
        <v/>
      </c>
      <c r="C1360">
        <f>IFERROR(INDEX($D$6:$D$1750,MATCH(ROWS($B$6:B1360),$B$6:$B$1750,0)),"")</f>
        <v/>
      </c>
      <c r="D1360">
        <f>J1360&amp;" ("&amp;E1360&amp;")"</f>
        <v/>
      </c>
      <c r="E1360" t="n">
        <v>22729</v>
      </c>
      <c r="F1360" t="inlineStr">
        <is>
          <t>Skilled Nursing and Interm. Care Facility</t>
        </is>
      </c>
      <c r="G1360" t="inlineStr">
        <is>
          <t>2411 W Temple St</t>
        </is>
      </c>
      <c r="H1360" t="inlineStr">
        <is>
          <t>Los Angeles</t>
        </is>
      </c>
      <c r="I1360" t="inlineStr">
        <is>
          <t>Los Angeles</t>
        </is>
      </c>
      <c r="J1360" t="inlineStr">
        <is>
          <t>Temple Park Convalescent Hospital</t>
        </is>
      </c>
    </row>
    <row r="1361">
      <c r="A1361">
        <f>--ISNUMBER(IFERROR(SEARCH($C$5,Inputs!$D1361,1),""))</f>
        <v/>
      </c>
      <c r="B1361">
        <f>IF(A1361=1,COUNTIF($A$6:A1361,1),"")</f>
        <v/>
      </c>
      <c r="C1361">
        <f>IFERROR(INDEX($D$6:$D$1750,MATCH(ROWS($B$6:B1361),$B$6:$B$1750,0)),"")</f>
        <v/>
      </c>
      <c r="D1361">
        <f>J1361&amp;" ("&amp;E1361&amp;")"</f>
        <v/>
      </c>
      <c r="E1361" t="n">
        <v>22732</v>
      </c>
      <c r="F1361" t="inlineStr">
        <is>
          <t>Skilled Nursing and Interm. Care Facility</t>
        </is>
      </c>
      <c r="G1361" t="inlineStr">
        <is>
          <t>8455 State St</t>
        </is>
      </c>
      <c r="H1361" t="inlineStr">
        <is>
          <t>South Gate</t>
        </is>
      </c>
      <c r="I1361" t="inlineStr">
        <is>
          <t>Los Angeles</t>
        </is>
      </c>
      <c r="J1361" t="inlineStr">
        <is>
          <t>Greenfield Care Center Of South Gate</t>
        </is>
      </c>
    </row>
    <row r="1362">
      <c r="A1362">
        <f>--ISNUMBER(IFERROR(SEARCH($C$5,Inputs!$D1362,1),""))</f>
        <v/>
      </c>
      <c r="B1362">
        <f>IF(A1362=1,COUNTIF($A$6:A1362,1),"")</f>
        <v/>
      </c>
      <c r="C1362">
        <f>IFERROR(INDEX($D$6:$D$1750,MATCH(ROWS($B$6:B1362),$B$6:$B$1750,0)),"")</f>
        <v/>
      </c>
      <c r="D1362">
        <f>J1362&amp;" ("&amp;E1362&amp;")"</f>
        <v/>
      </c>
      <c r="E1362" t="n">
        <v>22733</v>
      </c>
      <c r="F1362" t="inlineStr">
        <is>
          <t>Skilled Nursing and Interm. Care Facility</t>
        </is>
      </c>
      <c r="G1362" t="inlineStr">
        <is>
          <t>99 Escuela Drive</t>
        </is>
      </c>
      <c r="H1362" t="inlineStr">
        <is>
          <t>Daly City</t>
        </is>
      </c>
      <c r="I1362" t="inlineStr">
        <is>
          <t>San Mateo</t>
        </is>
      </c>
      <c r="J1362" t="inlineStr">
        <is>
          <t>St. Francis Convalescent Pavilion</t>
        </is>
      </c>
    </row>
    <row r="1363">
      <c r="A1363">
        <f>--ISNUMBER(IFERROR(SEARCH($C$5,Inputs!$D1363,1),""))</f>
        <v/>
      </c>
      <c r="B1363">
        <f>IF(A1363=1,COUNTIF($A$6:A1363,1),"")</f>
        <v/>
      </c>
      <c r="C1363">
        <f>IFERROR(INDEX($D$6:$D$1750,MATCH(ROWS($B$6:B1363),$B$6:$B$1750,0)),"")</f>
        <v/>
      </c>
      <c r="D1363">
        <f>J1363&amp;" ("&amp;E1363&amp;")"</f>
        <v/>
      </c>
      <c r="E1363" t="n">
        <v>22743</v>
      </c>
      <c r="F1363" t="inlineStr">
        <is>
          <t>Skilled Nursing and Interm. Care Facility</t>
        </is>
      </c>
      <c r="G1363" t="inlineStr">
        <is>
          <t>1240 South Hoover St.</t>
        </is>
      </c>
      <c r="H1363" t="inlineStr">
        <is>
          <t>Los Angeles</t>
        </is>
      </c>
      <c r="I1363" t="inlineStr">
        <is>
          <t>Los Angeles</t>
        </is>
      </c>
      <c r="J1363" t="inlineStr">
        <is>
          <t>Alden Terrace Convalescent Hospital</t>
        </is>
      </c>
    </row>
    <row r="1364">
      <c r="A1364">
        <f>--ISNUMBER(IFERROR(SEARCH($C$5,Inputs!$D1364,1),""))</f>
        <v/>
      </c>
      <c r="B1364">
        <f>IF(A1364=1,COUNTIF($A$6:A1364,1),"")</f>
        <v/>
      </c>
      <c r="C1364">
        <f>IFERROR(INDEX($D$6:$D$1750,MATCH(ROWS($B$6:B1364),$B$6:$B$1750,0)),"")</f>
        <v/>
      </c>
      <c r="D1364">
        <f>J1364&amp;" ("&amp;E1364&amp;")"</f>
        <v/>
      </c>
      <c r="E1364" t="n">
        <v>22745</v>
      </c>
      <c r="F1364" t="inlineStr">
        <is>
          <t>Skilled Nursing and Interm. Care Facility</t>
        </is>
      </c>
      <c r="G1364" t="inlineStr">
        <is>
          <t>3020 East 15th Street</t>
        </is>
      </c>
      <c r="H1364" t="inlineStr">
        <is>
          <t>Oakland</t>
        </is>
      </c>
      <c r="I1364" t="inlineStr">
        <is>
          <t>Alameda</t>
        </is>
      </c>
      <c r="J1364" t="inlineStr">
        <is>
          <t>Fruitvale Healthcare Center</t>
        </is>
      </c>
    </row>
    <row r="1365">
      <c r="A1365">
        <f>--ISNUMBER(IFERROR(SEARCH($C$5,Inputs!$D1365,1),""))</f>
        <v/>
      </c>
      <c r="B1365">
        <f>IF(A1365=1,COUNTIF($A$6:A1365,1),"")</f>
        <v/>
      </c>
      <c r="C1365">
        <f>IFERROR(INDEX($D$6:$D$1750,MATCH(ROWS($B$6:B1365),$B$6:$B$1750,0)),"")</f>
        <v/>
      </c>
      <c r="D1365">
        <f>J1365&amp;" ("&amp;E1365&amp;")"</f>
        <v/>
      </c>
      <c r="E1365" t="n">
        <v>22750</v>
      </c>
      <c r="F1365" t="inlineStr">
        <is>
          <t>Skilled Nursing and Interm. Care Facility</t>
        </is>
      </c>
      <c r="G1365" t="inlineStr">
        <is>
          <t>1477 Grove St</t>
        </is>
      </c>
      <c r="H1365" t="inlineStr">
        <is>
          <t>San Francisco</t>
        </is>
      </c>
      <c r="I1365" t="inlineStr">
        <is>
          <t>San Francisco</t>
        </is>
      </c>
      <c r="J1365" t="inlineStr">
        <is>
          <t>San Francisco Health Care</t>
        </is>
      </c>
    </row>
    <row r="1366">
      <c r="A1366">
        <f>--ISNUMBER(IFERROR(SEARCH($C$5,Inputs!$D1366,1),""))</f>
        <v/>
      </c>
      <c r="B1366">
        <f>IF(A1366=1,COUNTIF($A$6:A1366,1),"")</f>
        <v/>
      </c>
      <c r="C1366">
        <f>IFERROR(INDEX($D$6:$D$1750,MATCH(ROWS($B$6:B1366),$B$6:$B$1750,0)),"")</f>
        <v/>
      </c>
      <c r="D1366">
        <f>J1366&amp;" ("&amp;E1366&amp;")"</f>
        <v/>
      </c>
      <c r="E1366" t="n">
        <v>22756</v>
      </c>
      <c r="F1366" t="inlineStr">
        <is>
          <t>Skilled Nursing and Interm. Care Facility</t>
        </is>
      </c>
      <c r="G1366" t="inlineStr">
        <is>
          <t>2321 Newburg Rd</t>
        </is>
      </c>
      <c r="H1366" t="inlineStr">
        <is>
          <t>Fortuna</t>
        </is>
      </c>
      <c r="I1366" t="inlineStr">
        <is>
          <t>Humboldt</t>
        </is>
      </c>
      <c r="J1366" t="inlineStr">
        <is>
          <t>Fortuna Rehabilitation &amp; Wellness Center, LP</t>
        </is>
      </c>
    </row>
    <row r="1367">
      <c r="A1367">
        <f>--ISNUMBER(IFERROR(SEARCH($C$5,Inputs!$D1367,1),""))</f>
        <v/>
      </c>
      <c r="B1367">
        <f>IF(A1367=1,COUNTIF($A$6:A1367,1),"")</f>
        <v/>
      </c>
      <c r="C1367">
        <f>IFERROR(INDEX($D$6:$D$1750,MATCH(ROWS($B$6:B1367),$B$6:$B$1750,0)),"")</f>
        <v/>
      </c>
      <c r="D1367">
        <f>J1367&amp;" ("&amp;E1367&amp;")"</f>
        <v/>
      </c>
      <c r="E1367" t="n">
        <v>22759</v>
      </c>
      <c r="F1367" t="inlineStr">
        <is>
          <t>Skilled Nursing and Interm. Care Facility</t>
        </is>
      </c>
      <c r="G1367" t="inlineStr">
        <is>
          <t>205 Granada St.</t>
        </is>
      </c>
      <c r="H1367" t="inlineStr">
        <is>
          <t>Camarillo</t>
        </is>
      </c>
      <c r="I1367" t="inlineStr">
        <is>
          <t>Ventura</t>
        </is>
      </c>
      <c r="J1367" t="inlineStr">
        <is>
          <t>Camarillo Healthcare Center</t>
        </is>
      </c>
    </row>
    <row r="1368">
      <c r="A1368">
        <f>--ISNUMBER(IFERROR(SEARCH($C$5,Inputs!$D1368,1),""))</f>
        <v/>
      </c>
      <c r="B1368">
        <f>IF(A1368=1,COUNTIF($A$6:A1368,1),"")</f>
        <v/>
      </c>
      <c r="C1368">
        <f>IFERROR(INDEX($D$6:$D$1750,MATCH(ROWS($B$6:B1368),$B$6:$B$1750,0)),"")</f>
        <v/>
      </c>
      <c r="D1368">
        <f>J1368&amp;" ("&amp;E1368&amp;")"</f>
        <v/>
      </c>
      <c r="E1368" t="n">
        <v>22764</v>
      </c>
      <c r="F1368" t="inlineStr">
        <is>
          <t>Skilled Nursing and Interm. Care Facility</t>
        </is>
      </c>
      <c r="G1368" t="inlineStr">
        <is>
          <t>879 Meinecke Street</t>
        </is>
      </c>
      <c r="H1368" t="inlineStr">
        <is>
          <t>San Luis Obispo</t>
        </is>
      </c>
      <c r="I1368" t="inlineStr">
        <is>
          <t>San Luis Obispo</t>
        </is>
      </c>
      <c r="J1368" t="inlineStr">
        <is>
          <t>Casa De Vida</t>
        </is>
      </c>
    </row>
    <row r="1369">
      <c r="A1369">
        <f>--ISNUMBER(IFERROR(SEARCH($C$5,Inputs!$D1369,1),""))</f>
        <v/>
      </c>
      <c r="B1369">
        <f>IF(A1369=1,COUNTIF($A$6:A1369,1),"")</f>
        <v/>
      </c>
      <c r="C1369">
        <f>IFERROR(INDEX($D$6:$D$1750,MATCH(ROWS($B$6:B1369),$B$6:$B$1750,0)),"")</f>
        <v/>
      </c>
      <c r="D1369">
        <f>J1369&amp;" ("&amp;E1369&amp;")"</f>
        <v/>
      </c>
      <c r="E1369" t="n">
        <v>22768</v>
      </c>
      <c r="F1369" t="inlineStr">
        <is>
          <t>Skilled Nursing and Interm. Care Facility</t>
        </is>
      </c>
      <c r="G1369" t="inlineStr">
        <is>
          <t>3747 Atlantic Ave</t>
        </is>
      </c>
      <c r="H1369" t="inlineStr">
        <is>
          <t>Long Beach</t>
        </is>
      </c>
      <c r="I1369" t="inlineStr">
        <is>
          <t>Los Angeles</t>
        </is>
      </c>
      <c r="J1369" t="inlineStr">
        <is>
          <t>Bixby Knolls Towers Health Care &amp; Rehab Center</t>
        </is>
      </c>
    </row>
    <row r="1370">
      <c r="A1370">
        <f>--ISNUMBER(IFERROR(SEARCH($C$5,Inputs!$D1370,1),""))</f>
        <v/>
      </c>
      <c r="B1370">
        <f>IF(A1370=1,COUNTIF($A$6:A1370,1),"")</f>
        <v/>
      </c>
      <c r="C1370">
        <f>IFERROR(INDEX($D$6:$D$1750,MATCH(ROWS($B$6:B1370),$B$6:$B$1750,0)),"")</f>
        <v/>
      </c>
      <c r="D1370">
        <f>J1370&amp;" ("&amp;E1370&amp;")"</f>
        <v/>
      </c>
      <c r="E1370" t="n">
        <v>22774</v>
      </c>
      <c r="F1370" t="inlineStr">
        <is>
          <t>Skilled Nursing and Interm. Care Facility</t>
        </is>
      </c>
      <c r="G1370" t="inlineStr">
        <is>
          <t>2100 Parkside Drive</t>
        </is>
      </c>
      <c r="H1370" t="inlineStr">
        <is>
          <t>Fremont</t>
        </is>
      </c>
      <c r="I1370" t="inlineStr">
        <is>
          <t>Alameda</t>
        </is>
      </c>
      <c r="J1370" t="inlineStr">
        <is>
          <t>Park Central Care And Rehabilitation Center</t>
        </is>
      </c>
    </row>
    <row r="1371">
      <c r="A1371">
        <f>--ISNUMBER(IFERROR(SEARCH($C$5,Inputs!$D1371,1),""))</f>
        <v/>
      </c>
      <c r="B1371">
        <f>IF(A1371=1,COUNTIF($A$6:A1371,1),"")</f>
        <v/>
      </c>
      <c r="C1371">
        <f>IFERROR(INDEX($D$6:$D$1750,MATCH(ROWS($B$6:B1371),$B$6:$B$1750,0)),"")</f>
        <v/>
      </c>
      <c r="D1371">
        <f>J1371&amp;" ("&amp;E1371&amp;")"</f>
        <v/>
      </c>
      <c r="E1371" t="n">
        <v>22775</v>
      </c>
      <c r="F1371" t="inlineStr">
        <is>
          <t>Skilled Nursing and Interm. Care Facility</t>
        </is>
      </c>
      <c r="G1371" t="inlineStr">
        <is>
          <t>11441 Ventura Blvd</t>
        </is>
      </c>
      <c r="H1371" t="inlineStr">
        <is>
          <t>Studio City</t>
        </is>
      </c>
      <c r="I1371" t="inlineStr">
        <is>
          <t>Los Angeles</t>
        </is>
      </c>
      <c r="J1371" t="inlineStr">
        <is>
          <t>Imperial Care Center</t>
        </is>
      </c>
    </row>
    <row r="1372">
      <c r="A1372">
        <f>--ISNUMBER(IFERROR(SEARCH($C$5,Inputs!$D1372,1),""))</f>
        <v/>
      </c>
      <c r="B1372">
        <f>IF(A1372=1,COUNTIF($A$6:A1372,1),"")</f>
        <v/>
      </c>
      <c r="C1372">
        <f>IFERROR(INDEX($D$6:$D$1750,MATCH(ROWS($B$6:B1372),$B$6:$B$1750,0)),"")</f>
        <v/>
      </c>
      <c r="D1372">
        <f>J1372&amp;" ("&amp;E1372&amp;")"</f>
        <v/>
      </c>
      <c r="E1372" t="n">
        <v>22781</v>
      </c>
      <c r="F1372" t="inlineStr">
        <is>
          <t>Skilled Nursing and Interm. Care Facility</t>
        </is>
      </c>
      <c r="G1372" t="inlineStr">
        <is>
          <t>3401 Lemon St.</t>
        </is>
      </c>
      <c r="H1372" t="inlineStr">
        <is>
          <t>Riverside</t>
        </is>
      </c>
      <c r="I1372" t="inlineStr">
        <is>
          <t>Riverside</t>
        </is>
      </c>
      <c r="J1372" t="inlineStr">
        <is>
          <t>The Grove Care and Wellness</t>
        </is>
      </c>
    </row>
    <row r="1373">
      <c r="A1373">
        <f>--ISNUMBER(IFERROR(SEARCH($C$5,Inputs!$D1373,1),""))</f>
        <v/>
      </c>
      <c r="B1373">
        <f>IF(A1373=1,COUNTIF($A$6:A1373,1),"")</f>
        <v/>
      </c>
      <c r="C1373">
        <f>IFERROR(INDEX($D$6:$D$1750,MATCH(ROWS($B$6:B1373),$B$6:$B$1750,0)),"")</f>
        <v/>
      </c>
      <c r="D1373">
        <f>J1373&amp;" ("&amp;E1373&amp;")"</f>
        <v/>
      </c>
      <c r="E1373" t="n">
        <v>22783</v>
      </c>
      <c r="F1373" t="inlineStr">
        <is>
          <t>Skilled Nursing and Interm. Care Facility</t>
        </is>
      </c>
      <c r="G1373" t="inlineStr">
        <is>
          <t>6061 Banbury Street</t>
        </is>
      </c>
      <c r="H1373" t="inlineStr">
        <is>
          <t>San Diego</t>
        </is>
      </c>
      <c r="I1373" t="inlineStr">
        <is>
          <t>San Diego</t>
        </is>
      </c>
      <c r="J1373" t="inlineStr">
        <is>
          <t>Reo Vista Healthcare Center</t>
        </is>
      </c>
    </row>
    <row r="1374">
      <c r="A1374">
        <f>--ISNUMBER(IFERROR(SEARCH($C$5,Inputs!$D1374,1),""))</f>
        <v/>
      </c>
      <c r="B1374">
        <f>IF(A1374=1,COUNTIF($A$6:A1374,1),"")</f>
        <v/>
      </c>
      <c r="C1374">
        <f>IFERROR(INDEX($D$6:$D$1750,MATCH(ROWS($B$6:B1374),$B$6:$B$1750,0)),"")</f>
        <v/>
      </c>
      <c r="D1374">
        <f>J1374&amp;" ("&amp;E1374&amp;")"</f>
        <v/>
      </c>
      <c r="E1374" t="n">
        <v>22785</v>
      </c>
      <c r="F1374" t="inlineStr">
        <is>
          <t>Skilled Nursing and Interm. Care Facility</t>
        </is>
      </c>
      <c r="G1374" t="inlineStr">
        <is>
          <t>3630 Mission Ave</t>
        </is>
      </c>
      <c r="H1374" t="inlineStr">
        <is>
          <t>Carmichael</t>
        </is>
      </c>
      <c r="I1374" t="inlineStr">
        <is>
          <t>Sacramento</t>
        </is>
      </c>
      <c r="J1374" t="inlineStr">
        <is>
          <t>Mission Carmichael Healthcare Center</t>
        </is>
      </c>
    </row>
    <row r="1375">
      <c r="A1375">
        <f>--ISNUMBER(IFERROR(SEARCH($C$5,Inputs!$D1375,1),""))</f>
        <v/>
      </c>
      <c r="B1375">
        <f>IF(A1375=1,COUNTIF($A$6:A1375,1),"")</f>
        <v/>
      </c>
      <c r="C1375">
        <f>IFERROR(INDEX($D$6:$D$1750,MATCH(ROWS($B$6:B1375),$B$6:$B$1750,0)),"")</f>
        <v/>
      </c>
      <c r="D1375">
        <f>J1375&amp;" ("&amp;E1375&amp;")"</f>
        <v/>
      </c>
      <c r="E1375" t="n">
        <v>22788</v>
      </c>
      <c r="F1375" t="inlineStr">
        <is>
          <t>Skilled Nursing and Interm. Care Facility</t>
        </is>
      </c>
      <c r="G1375" t="inlineStr">
        <is>
          <t>3501 Cedar Ave.</t>
        </is>
      </c>
      <c r="H1375" t="inlineStr">
        <is>
          <t>Long Beach</t>
        </is>
      </c>
      <c r="I1375" t="inlineStr">
        <is>
          <t>Los Angeles</t>
        </is>
      </c>
      <c r="J1375" t="inlineStr">
        <is>
          <t>Pacific Villa, Inc.</t>
        </is>
      </c>
    </row>
    <row r="1376">
      <c r="A1376">
        <f>--ISNUMBER(IFERROR(SEARCH($C$5,Inputs!$D1376,1),""))</f>
        <v/>
      </c>
      <c r="B1376">
        <f>IF(A1376=1,COUNTIF($A$6:A1376,1),"")</f>
        <v/>
      </c>
      <c r="C1376">
        <f>IFERROR(INDEX($D$6:$D$1750,MATCH(ROWS($B$6:B1376),$B$6:$B$1750,0)),"")</f>
        <v/>
      </c>
      <c r="D1376">
        <f>J1376&amp;" ("&amp;E1376&amp;")"</f>
        <v/>
      </c>
      <c r="E1376" t="n">
        <v>22792</v>
      </c>
      <c r="F1376" t="inlineStr">
        <is>
          <t>Skilled Nursing and Interm. Care Facility</t>
        </is>
      </c>
      <c r="G1376" t="inlineStr">
        <is>
          <t>1020 South Fairfax Avenue</t>
        </is>
      </c>
      <c r="H1376" t="inlineStr">
        <is>
          <t>Los Angeles</t>
        </is>
      </c>
      <c r="I1376" t="inlineStr">
        <is>
          <t>Los Angeles</t>
        </is>
      </c>
      <c r="J1376" t="inlineStr">
        <is>
          <t>Miracle Mile Healthcare Center LLC</t>
        </is>
      </c>
    </row>
    <row r="1377">
      <c r="A1377">
        <f>--ISNUMBER(IFERROR(SEARCH($C$5,Inputs!$D1377,1),""))</f>
        <v/>
      </c>
      <c r="B1377">
        <f>IF(A1377=1,COUNTIF($A$6:A1377,1),"")</f>
        <v/>
      </c>
      <c r="C1377">
        <f>IFERROR(INDEX($D$6:$D$1750,MATCH(ROWS($B$6:B1377),$B$6:$B$1750,0)),"")</f>
        <v/>
      </c>
      <c r="D1377">
        <f>J1377&amp;" ("&amp;E1377&amp;")"</f>
        <v/>
      </c>
      <c r="E1377" t="n">
        <v>22797</v>
      </c>
      <c r="F1377" t="inlineStr">
        <is>
          <t>Skilled Nursing and Interm. Care Facility</t>
        </is>
      </c>
      <c r="G1377" t="inlineStr">
        <is>
          <t>1275 Crane St</t>
        </is>
      </c>
      <c r="H1377" t="inlineStr">
        <is>
          <t>Menlo Park</t>
        </is>
      </c>
      <c r="I1377" t="inlineStr">
        <is>
          <t>San Mateo</t>
        </is>
      </c>
      <c r="J1377" t="inlineStr">
        <is>
          <t>Atherton Park Post-Acute</t>
        </is>
      </c>
    </row>
    <row r="1378">
      <c r="A1378">
        <f>--ISNUMBER(IFERROR(SEARCH($C$5,Inputs!$D1378,1),""))</f>
        <v/>
      </c>
      <c r="B1378">
        <f>IF(A1378=1,COUNTIF($A$6:A1378,1),"")</f>
        <v/>
      </c>
      <c r="C1378">
        <f>IFERROR(INDEX($D$6:$D$1750,MATCH(ROWS($B$6:B1378),$B$6:$B$1750,0)),"")</f>
        <v/>
      </c>
      <c r="D1378">
        <f>J1378&amp;" ("&amp;E1378&amp;")"</f>
        <v/>
      </c>
      <c r="E1378" t="n">
        <v>22799</v>
      </c>
      <c r="F1378" t="inlineStr">
        <is>
          <t>Skilled Nursing and Interm. Care Facility</t>
        </is>
      </c>
      <c r="G1378" t="inlineStr">
        <is>
          <t>622 S Anza St</t>
        </is>
      </c>
      <c r="H1378" t="inlineStr">
        <is>
          <t>El Cajon</t>
        </is>
      </c>
      <c r="I1378" t="inlineStr">
        <is>
          <t>San Diego</t>
        </is>
      </c>
      <c r="J1378" t="inlineStr">
        <is>
          <t>Villa Las Palmas Healthcare Center</t>
        </is>
      </c>
    </row>
    <row r="1379">
      <c r="A1379">
        <f>--ISNUMBER(IFERROR(SEARCH($C$5,Inputs!$D1379,1),""))</f>
        <v/>
      </c>
      <c r="B1379">
        <f>IF(A1379=1,COUNTIF($A$6:A1379,1),"")</f>
        <v/>
      </c>
      <c r="C1379">
        <f>IFERROR(INDEX($D$6:$D$1750,MATCH(ROWS($B$6:B1379),$B$6:$B$1750,0)),"")</f>
        <v/>
      </c>
      <c r="D1379">
        <f>J1379&amp;" ("&amp;E1379&amp;")"</f>
        <v/>
      </c>
      <c r="E1379" t="n">
        <v>22800</v>
      </c>
      <c r="F1379" t="inlineStr">
        <is>
          <t>Skilled Nursing and Interm. Care Facility</t>
        </is>
      </c>
      <c r="G1379" t="inlineStr">
        <is>
          <t>1900 Coffee Rd</t>
        </is>
      </c>
      <c r="H1379" t="inlineStr">
        <is>
          <t>Modesto</t>
        </is>
      </c>
      <c r="I1379" t="inlineStr">
        <is>
          <t>Stanislaus</t>
        </is>
      </c>
      <c r="J1379" t="inlineStr">
        <is>
          <t>Hy-Lond Health Care Center - Modesto</t>
        </is>
      </c>
    </row>
    <row r="1380">
      <c r="A1380">
        <f>--ISNUMBER(IFERROR(SEARCH($C$5,Inputs!$D1380,1),""))</f>
        <v/>
      </c>
      <c r="B1380">
        <f>IF(A1380=1,COUNTIF($A$6:A1380,1),"")</f>
        <v/>
      </c>
      <c r="C1380">
        <f>IFERROR(INDEX($D$6:$D$1750,MATCH(ROWS($B$6:B1380),$B$6:$B$1750,0)),"")</f>
        <v/>
      </c>
      <c r="D1380">
        <f>J1380&amp;" ("&amp;E1380&amp;")"</f>
        <v/>
      </c>
      <c r="E1380" t="n">
        <v>22802</v>
      </c>
      <c r="F1380" t="inlineStr">
        <is>
          <t>Skilled Nursing and Interm. Care Facility</t>
        </is>
      </c>
      <c r="G1380" t="inlineStr">
        <is>
          <t>2885 Harris St</t>
        </is>
      </c>
      <c r="H1380" t="inlineStr">
        <is>
          <t>Eureka</t>
        </is>
      </c>
      <c r="I1380" t="inlineStr">
        <is>
          <t>Humboldt</t>
        </is>
      </c>
      <c r="J1380" t="inlineStr">
        <is>
          <t>Granada Rehab &amp; Wellness Center, LP</t>
        </is>
      </c>
    </row>
    <row r="1381">
      <c r="A1381">
        <f>--ISNUMBER(IFERROR(SEARCH($C$5,Inputs!$D1381,1),""))</f>
        <v/>
      </c>
      <c r="B1381">
        <f>IF(A1381=1,COUNTIF($A$6:A1381,1),"")</f>
        <v/>
      </c>
      <c r="C1381">
        <f>IFERROR(INDEX($D$6:$D$1750,MATCH(ROWS($B$6:B1381),$B$6:$B$1750,0)),"")</f>
        <v/>
      </c>
      <c r="D1381">
        <f>J1381&amp;" ("&amp;E1381&amp;")"</f>
        <v/>
      </c>
      <c r="E1381" t="n">
        <v>22810</v>
      </c>
      <c r="F1381" t="inlineStr">
        <is>
          <t>Skilled Nursing and Interm. Care Facility</t>
        </is>
      </c>
      <c r="G1381" t="inlineStr">
        <is>
          <t>4580 Palm Avenue</t>
        </is>
      </c>
      <c r="H1381" t="inlineStr">
        <is>
          <t>Riverside</t>
        </is>
      </c>
      <c r="I1381" t="inlineStr">
        <is>
          <t>Riverside</t>
        </is>
      </c>
      <c r="J1381" t="inlineStr">
        <is>
          <t>Riverside Behavioral Healthcare Center</t>
        </is>
      </c>
    </row>
    <row r="1382">
      <c r="A1382">
        <f>--ISNUMBER(IFERROR(SEARCH($C$5,Inputs!$D1382,1),""))</f>
        <v/>
      </c>
      <c r="B1382">
        <f>IF(A1382=1,COUNTIF($A$6:A1382,1),"")</f>
        <v/>
      </c>
      <c r="C1382">
        <f>IFERROR(INDEX($D$6:$D$1750,MATCH(ROWS($B$6:B1382),$B$6:$B$1750,0)),"")</f>
        <v/>
      </c>
      <c r="D1382">
        <f>J1382&amp;" ("&amp;E1382&amp;")"</f>
        <v/>
      </c>
      <c r="E1382" t="n">
        <v>22818</v>
      </c>
      <c r="F1382" t="inlineStr">
        <is>
          <t>Skilled Nursing and Interm. Care Facility</t>
        </is>
      </c>
      <c r="G1382" t="inlineStr">
        <is>
          <t>12619 South Avalon Boulevard</t>
        </is>
      </c>
      <c r="H1382" t="inlineStr">
        <is>
          <t>Los Angeles</t>
        </is>
      </c>
      <c r="I1382" t="inlineStr">
        <is>
          <t>Los Angeles</t>
        </is>
      </c>
      <c r="J1382" t="inlineStr">
        <is>
          <t>View Heights Convalescent Hospital</t>
        </is>
      </c>
    </row>
    <row r="1383">
      <c r="A1383">
        <f>--ISNUMBER(IFERROR(SEARCH($C$5,Inputs!$D1383,1),""))</f>
        <v/>
      </c>
      <c r="B1383">
        <f>IF(A1383=1,COUNTIF($A$6:A1383,1),"")</f>
        <v/>
      </c>
      <c r="C1383">
        <f>IFERROR(INDEX($D$6:$D$1750,MATCH(ROWS($B$6:B1383),$B$6:$B$1750,0)),"")</f>
        <v/>
      </c>
      <c r="D1383">
        <f>J1383&amp;" ("&amp;E1383&amp;")"</f>
        <v/>
      </c>
      <c r="E1383" t="n">
        <v>22825</v>
      </c>
      <c r="F1383" t="inlineStr">
        <is>
          <t>Skilled Nursing and Interm. Care Facility</t>
        </is>
      </c>
      <c r="G1383" t="inlineStr">
        <is>
          <t>1322 W 6th St</t>
        </is>
      </c>
      <c r="H1383" t="inlineStr">
        <is>
          <t>San Pedro</t>
        </is>
      </c>
      <c r="I1383" t="inlineStr">
        <is>
          <t>Los Angeles</t>
        </is>
      </c>
      <c r="J1383" t="inlineStr">
        <is>
          <t>Providence Little Company Of Mary Subacute Care Center</t>
        </is>
      </c>
    </row>
    <row r="1384">
      <c r="A1384">
        <f>--ISNUMBER(IFERROR(SEARCH($C$5,Inputs!$D1384,1),""))</f>
        <v/>
      </c>
      <c r="B1384">
        <f>IF(A1384=1,COUNTIF($A$6:A1384,1),"")</f>
        <v/>
      </c>
      <c r="C1384">
        <f>IFERROR(INDEX($D$6:$D$1750,MATCH(ROWS($B$6:B1384),$B$6:$B$1750,0)),"")</f>
        <v/>
      </c>
      <c r="D1384">
        <f>J1384&amp;" ("&amp;E1384&amp;")"</f>
        <v/>
      </c>
      <c r="E1384" t="n">
        <v>22830</v>
      </c>
      <c r="F1384" t="inlineStr">
        <is>
          <t>Skilled Nursing and Interm. Care Facility</t>
        </is>
      </c>
      <c r="G1384" t="inlineStr">
        <is>
          <t>1715 S Cedar Ave</t>
        </is>
      </c>
      <c r="H1384" t="inlineStr">
        <is>
          <t>Fresno</t>
        </is>
      </c>
      <c r="I1384" t="inlineStr">
        <is>
          <t>Fresno</t>
        </is>
      </c>
      <c r="J1384" t="inlineStr">
        <is>
          <t>Sierra Vista Healthcare</t>
        </is>
      </c>
    </row>
    <row r="1385">
      <c r="A1385">
        <f>--ISNUMBER(IFERROR(SEARCH($C$5,Inputs!$D1385,1),""))</f>
        <v/>
      </c>
      <c r="B1385">
        <f>IF(A1385=1,COUNTIF($A$6:A1385,1),"")</f>
        <v/>
      </c>
      <c r="C1385">
        <f>IFERROR(INDEX($D$6:$D$1750,MATCH(ROWS($B$6:B1385),$B$6:$B$1750,0)),"")</f>
        <v/>
      </c>
      <c r="D1385">
        <f>J1385&amp;" ("&amp;E1385&amp;")"</f>
        <v/>
      </c>
      <c r="E1385" t="n">
        <v>22833</v>
      </c>
      <c r="F1385" t="inlineStr">
        <is>
          <t>Skilled Nursing and Interm. Care Facility</t>
        </is>
      </c>
      <c r="G1385" t="inlineStr">
        <is>
          <t>1800 Old Tustin Ave</t>
        </is>
      </c>
      <c r="H1385" t="inlineStr">
        <is>
          <t>Santa Ana</t>
        </is>
      </c>
      <c r="I1385" t="inlineStr">
        <is>
          <t>Orange</t>
        </is>
      </c>
      <c r="J1385" t="inlineStr">
        <is>
          <t>The Hills Post Acute</t>
        </is>
      </c>
    </row>
    <row r="1386">
      <c r="A1386">
        <f>--ISNUMBER(IFERROR(SEARCH($C$5,Inputs!$D1386,1),""))</f>
        <v/>
      </c>
      <c r="B1386">
        <f>IF(A1386=1,COUNTIF($A$6:A1386,1),"")</f>
        <v/>
      </c>
      <c r="C1386">
        <f>IFERROR(INDEX($D$6:$D$1750,MATCH(ROWS($B$6:B1386),$B$6:$B$1750,0)),"")</f>
        <v/>
      </c>
      <c r="D1386">
        <f>J1386&amp;" ("&amp;E1386&amp;")"</f>
        <v/>
      </c>
      <c r="E1386" t="n">
        <v>22837</v>
      </c>
      <c r="F1386" t="inlineStr">
        <is>
          <t>Skilled Nursing and Interm. Care Facility</t>
        </is>
      </c>
      <c r="G1386" t="inlineStr">
        <is>
          <t>1700 E Washington St</t>
        </is>
      </c>
      <c r="H1386" t="inlineStr">
        <is>
          <t>Colton</t>
        </is>
      </c>
      <c r="I1386" t="inlineStr">
        <is>
          <t>San Bernardino</t>
        </is>
      </c>
      <c r="J1386" t="inlineStr">
        <is>
          <t>Meadows Ridge Care Center</t>
        </is>
      </c>
    </row>
    <row r="1387">
      <c r="A1387">
        <f>--ISNUMBER(IFERROR(SEARCH($C$5,Inputs!$D1387,1),""))</f>
        <v/>
      </c>
      <c r="B1387">
        <f>IF(A1387=1,COUNTIF($A$6:A1387,1),"")</f>
        <v/>
      </c>
      <c r="C1387">
        <f>IFERROR(INDEX($D$6:$D$1750,MATCH(ROWS($B$6:B1387),$B$6:$B$1750,0)),"")</f>
        <v/>
      </c>
      <c r="D1387">
        <f>J1387&amp;" ("&amp;E1387&amp;")"</f>
        <v/>
      </c>
      <c r="E1387" t="n">
        <v>22854</v>
      </c>
      <c r="F1387" t="inlineStr">
        <is>
          <t>Skilled Nursing and Interm. Care Facility</t>
        </is>
      </c>
      <c r="G1387" t="inlineStr">
        <is>
          <t>13922 Cerise Ave</t>
        </is>
      </c>
      <c r="H1387" t="inlineStr">
        <is>
          <t>Hawthorne</t>
        </is>
      </c>
      <c r="I1387" t="inlineStr">
        <is>
          <t>Los Angeles</t>
        </is>
      </c>
      <c r="J1387" t="inlineStr">
        <is>
          <t>Camino Healthcare</t>
        </is>
      </c>
    </row>
    <row r="1388">
      <c r="A1388">
        <f>--ISNUMBER(IFERROR(SEARCH($C$5,Inputs!$D1388,1),""))</f>
        <v/>
      </c>
      <c r="B1388">
        <f>IF(A1388=1,COUNTIF($A$6:A1388,1),"")</f>
        <v/>
      </c>
      <c r="C1388">
        <f>IFERROR(INDEX($D$6:$D$1750,MATCH(ROWS($B$6:B1388),$B$6:$B$1750,0)),"")</f>
        <v/>
      </c>
      <c r="D1388">
        <f>J1388&amp;" ("&amp;E1388&amp;")"</f>
        <v/>
      </c>
      <c r="E1388" t="n">
        <v>22860</v>
      </c>
      <c r="F1388" t="inlineStr">
        <is>
          <t>Skilled Nursing and Interm. Care Facility</t>
        </is>
      </c>
      <c r="G1388" t="inlineStr">
        <is>
          <t>3533 Motor Ave</t>
        </is>
      </c>
      <c r="H1388" t="inlineStr">
        <is>
          <t>Los Angeles</t>
        </is>
      </c>
      <c r="I1388" t="inlineStr">
        <is>
          <t>Los Angeles</t>
        </is>
      </c>
      <c r="J1388" t="inlineStr">
        <is>
          <t>Windsor Care Center Of Cheviot Hills</t>
        </is>
      </c>
    </row>
    <row r="1389">
      <c r="A1389">
        <f>--ISNUMBER(IFERROR(SEARCH($C$5,Inputs!$D1389,1),""))</f>
        <v/>
      </c>
      <c r="B1389">
        <f>IF(A1389=1,COUNTIF($A$6:A1389,1),"")</f>
        <v/>
      </c>
      <c r="C1389">
        <f>IFERROR(INDEX($D$6:$D$1750,MATCH(ROWS($B$6:B1389),$B$6:$B$1750,0)),"")</f>
        <v/>
      </c>
      <c r="D1389">
        <f>J1389&amp;" ("&amp;E1389&amp;")"</f>
        <v/>
      </c>
      <c r="E1389" t="n">
        <v>22862</v>
      </c>
      <c r="F1389" t="inlineStr">
        <is>
          <t>Skilled Nursing and Interm. Care Facility</t>
        </is>
      </c>
      <c r="G1389" t="inlineStr">
        <is>
          <t>325 Kempton St</t>
        </is>
      </c>
      <c r="H1389" t="inlineStr">
        <is>
          <t>Spring Valley</t>
        </is>
      </c>
      <c r="I1389" t="inlineStr">
        <is>
          <t>San Diego</t>
        </is>
      </c>
      <c r="J1389" t="inlineStr">
        <is>
          <t>Mount Miguel Covenant Village Health Facility</t>
        </is>
      </c>
    </row>
    <row r="1390">
      <c r="A1390">
        <f>--ISNUMBER(IFERROR(SEARCH($C$5,Inputs!$D1390,1),""))</f>
        <v/>
      </c>
      <c r="B1390">
        <f>IF(A1390=1,COUNTIF($A$6:A1390,1),"")</f>
        <v/>
      </c>
      <c r="C1390">
        <f>IFERROR(INDEX($D$6:$D$1750,MATCH(ROWS($B$6:B1390),$B$6:$B$1750,0)),"")</f>
        <v/>
      </c>
      <c r="D1390">
        <f>J1390&amp;" ("&amp;E1390&amp;")"</f>
        <v/>
      </c>
      <c r="E1390" t="n">
        <v>22879</v>
      </c>
      <c r="F1390" t="inlineStr">
        <is>
          <t>Skilled Nursing and Interm. Care Facility</t>
        </is>
      </c>
      <c r="G1390" t="inlineStr">
        <is>
          <t>2990 East Ramon Road</t>
        </is>
      </c>
      <c r="H1390" t="inlineStr">
        <is>
          <t>Palm Springs</t>
        </is>
      </c>
      <c r="I1390" t="inlineStr">
        <is>
          <t>Riverside</t>
        </is>
      </c>
      <c r="J1390" t="inlineStr">
        <is>
          <t>Premier Care Center for Palm Springs</t>
        </is>
      </c>
    </row>
    <row r="1391">
      <c r="A1391">
        <f>--ISNUMBER(IFERROR(SEARCH($C$5,Inputs!$D1391,1),""))</f>
        <v/>
      </c>
      <c r="B1391">
        <f>IF(A1391=1,COUNTIF($A$6:A1391,1),"")</f>
        <v/>
      </c>
      <c r="C1391">
        <f>IFERROR(INDEX($D$6:$D$1750,MATCH(ROWS($B$6:B1391),$B$6:$B$1750,0)),"")</f>
        <v/>
      </c>
      <c r="D1391">
        <f>J1391&amp;" ("&amp;E1391&amp;")"</f>
        <v/>
      </c>
      <c r="E1391" t="n">
        <v>22915</v>
      </c>
      <c r="F1391" t="inlineStr">
        <is>
          <t>Skilled Nursing and Interm. Care Facility</t>
        </is>
      </c>
      <c r="G1391" t="inlineStr">
        <is>
          <t>121 Dorsey Dr</t>
        </is>
      </c>
      <c r="H1391" t="inlineStr">
        <is>
          <t>Grass Valley</t>
        </is>
      </c>
      <c r="I1391" t="inlineStr">
        <is>
          <t>Nevada</t>
        </is>
      </c>
      <c r="J1391" t="inlineStr">
        <is>
          <t>Golden Empire</t>
        </is>
      </c>
    </row>
    <row r="1392">
      <c r="A1392">
        <f>--ISNUMBER(IFERROR(SEARCH($C$5,Inputs!$D1392,1),""))</f>
        <v/>
      </c>
      <c r="B1392">
        <f>IF(A1392=1,COUNTIF($A$6:A1392,1),"")</f>
        <v/>
      </c>
      <c r="C1392">
        <f>IFERROR(INDEX($D$6:$D$1750,MATCH(ROWS($B$6:B1392),$B$6:$B$1750,0)),"")</f>
        <v/>
      </c>
      <c r="D1392">
        <f>J1392&amp;" ("&amp;E1392&amp;")"</f>
        <v/>
      </c>
      <c r="E1392" t="n">
        <v>22951</v>
      </c>
      <c r="F1392" t="inlineStr">
        <is>
          <t>Skilled Nursing and Interm. Care Facility</t>
        </is>
      </c>
      <c r="G1392" t="inlineStr">
        <is>
          <t>401 Ridge Vista Ave</t>
        </is>
      </c>
      <c r="H1392" t="inlineStr">
        <is>
          <t>San Jose</t>
        </is>
      </c>
      <c r="I1392" t="inlineStr">
        <is>
          <t>Santa Clara</t>
        </is>
      </c>
      <c r="J1392" t="inlineStr">
        <is>
          <t>Inspire Behavioral Health</t>
        </is>
      </c>
    </row>
    <row r="1393">
      <c r="A1393">
        <f>--ISNUMBER(IFERROR(SEARCH($C$5,Inputs!$D1393,1),""))</f>
        <v/>
      </c>
      <c r="B1393">
        <f>IF(A1393=1,COUNTIF($A$6:A1393,1),"")</f>
        <v/>
      </c>
      <c r="C1393">
        <f>IFERROR(INDEX($D$6:$D$1750,MATCH(ROWS($B$6:B1393),$B$6:$B$1750,0)),"")</f>
        <v/>
      </c>
      <c r="D1393">
        <f>J1393&amp;" ("&amp;E1393&amp;")"</f>
        <v/>
      </c>
      <c r="E1393" t="n">
        <v>22953</v>
      </c>
      <c r="F1393" t="inlineStr">
        <is>
          <t>Skilled Nursing and Interm. Care Facility</t>
        </is>
      </c>
      <c r="G1393" t="inlineStr">
        <is>
          <t>3601 San Dimas St</t>
        </is>
      </c>
      <c r="H1393" t="inlineStr">
        <is>
          <t>Bakersfield</t>
        </is>
      </c>
      <c r="I1393" t="inlineStr">
        <is>
          <t>Kern</t>
        </is>
      </c>
      <c r="J1393" t="inlineStr">
        <is>
          <t>San Joaquin Nursing Center</t>
        </is>
      </c>
    </row>
    <row r="1394">
      <c r="A1394">
        <f>--ISNUMBER(IFERROR(SEARCH($C$5,Inputs!$D1394,1),""))</f>
        <v/>
      </c>
      <c r="B1394">
        <f>IF(A1394=1,COUNTIF($A$6:A1394,1),"")</f>
        <v/>
      </c>
      <c r="C1394">
        <f>IFERROR(INDEX($D$6:$D$1750,MATCH(ROWS($B$6:B1394),$B$6:$B$1750,0)),"")</f>
        <v/>
      </c>
      <c r="D1394">
        <f>J1394&amp;" ("&amp;E1394&amp;")"</f>
        <v/>
      </c>
      <c r="E1394" t="n">
        <v>22954</v>
      </c>
      <c r="F1394" t="inlineStr">
        <is>
          <t>Skilled Nursing and Interm. Care Facility</t>
        </is>
      </c>
      <c r="G1394" t="inlineStr">
        <is>
          <t>12225 Shale Ridge Ln</t>
        </is>
      </c>
      <c r="H1394" t="inlineStr">
        <is>
          <t>Auburn</t>
        </is>
      </c>
      <c r="I1394" t="inlineStr">
        <is>
          <t>Placer</t>
        </is>
      </c>
      <c r="J1394" t="inlineStr">
        <is>
          <t>Westview Healthcare Center</t>
        </is>
      </c>
    </row>
    <row r="1395">
      <c r="A1395">
        <f>--ISNUMBER(IFERROR(SEARCH($C$5,Inputs!$D1395,1),""))</f>
        <v/>
      </c>
      <c r="B1395">
        <f>IF(A1395=1,COUNTIF($A$6:A1395,1),"")</f>
        <v/>
      </c>
      <c r="C1395">
        <f>IFERROR(INDEX($D$6:$D$1750,MATCH(ROWS($B$6:B1395),$B$6:$B$1750,0)),"")</f>
        <v/>
      </c>
      <c r="D1395">
        <f>J1395&amp;" ("&amp;E1395&amp;")"</f>
        <v/>
      </c>
      <c r="E1395" t="n">
        <v>22962</v>
      </c>
      <c r="F1395" t="inlineStr">
        <is>
          <t>Skilled Nursing and Interm. Care Facility</t>
        </is>
      </c>
      <c r="G1395" t="inlineStr">
        <is>
          <t>3529 Walnut Ave</t>
        </is>
      </c>
      <c r="H1395" t="inlineStr">
        <is>
          <t>Carmichael</t>
        </is>
      </c>
      <c r="I1395" t="inlineStr">
        <is>
          <t>Sacramento</t>
        </is>
      </c>
      <c r="J1395" t="inlineStr">
        <is>
          <t>Whitney Oaks Care Center</t>
        </is>
      </c>
    </row>
    <row r="1396">
      <c r="A1396">
        <f>--ISNUMBER(IFERROR(SEARCH($C$5,Inputs!$D1396,1),""))</f>
        <v/>
      </c>
      <c r="B1396">
        <f>IF(A1396=1,COUNTIF($A$6:A1396,1),"")</f>
        <v/>
      </c>
      <c r="C1396">
        <f>IFERROR(INDEX($D$6:$D$1750,MATCH(ROWS($B$6:B1396),$B$6:$B$1750,0)),"")</f>
        <v/>
      </c>
      <c r="D1396">
        <f>J1396&amp;" ("&amp;E1396&amp;")"</f>
        <v/>
      </c>
      <c r="E1396" t="n">
        <v>22963</v>
      </c>
      <c r="F1396" t="inlineStr">
        <is>
          <t>Skilled Nursing and Interm. Care Facility</t>
        </is>
      </c>
      <c r="G1396" t="inlineStr">
        <is>
          <t>1405 Teresa Dr</t>
        </is>
      </c>
      <c r="H1396" t="inlineStr">
        <is>
          <t>Morro Bay</t>
        </is>
      </c>
      <c r="I1396" t="inlineStr">
        <is>
          <t>San Luis Obispo</t>
        </is>
      </c>
      <c r="J1396" t="inlineStr">
        <is>
          <t>Bayside Care Center</t>
        </is>
      </c>
    </row>
    <row r="1397">
      <c r="A1397">
        <f>--ISNUMBER(IFERROR(SEARCH($C$5,Inputs!$D1397,1),""))</f>
        <v/>
      </c>
      <c r="B1397">
        <f>IF(A1397=1,COUNTIF($A$6:A1397,1),"")</f>
        <v/>
      </c>
      <c r="C1397">
        <f>IFERROR(INDEX($D$6:$D$1750,MATCH(ROWS($B$6:B1397),$B$6:$B$1750,0)),"")</f>
        <v/>
      </c>
      <c r="D1397">
        <f>J1397&amp;" ("&amp;E1397&amp;")"</f>
        <v/>
      </c>
      <c r="E1397" t="n">
        <v>22965</v>
      </c>
      <c r="F1397" t="inlineStr">
        <is>
          <t>Skilled Nursing and Interm. Care Facility</t>
        </is>
      </c>
      <c r="G1397" t="inlineStr">
        <is>
          <t>22427 Montgomery St</t>
        </is>
      </c>
      <c r="H1397" t="inlineStr">
        <is>
          <t>Hayward</t>
        </is>
      </c>
      <c r="I1397" t="inlineStr">
        <is>
          <t>Alameda</t>
        </is>
      </c>
      <c r="J1397" t="inlineStr">
        <is>
          <t>Bethesda Home</t>
        </is>
      </c>
    </row>
    <row r="1398">
      <c r="A1398">
        <f>--ISNUMBER(IFERROR(SEARCH($C$5,Inputs!$D1398,1),""))</f>
        <v/>
      </c>
      <c r="B1398">
        <f>IF(A1398=1,COUNTIF($A$6:A1398,1),"")</f>
        <v/>
      </c>
      <c r="C1398">
        <f>IFERROR(INDEX($D$6:$D$1750,MATCH(ROWS($B$6:B1398),$B$6:$B$1750,0)),"")</f>
        <v/>
      </c>
      <c r="D1398">
        <f>J1398&amp;" ("&amp;E1398&amp;")"</f>
        <v/>
      </c>
      <c r="E1398" t="n">
        <v>22973</v>
      </c>
      <c r="F1398" t="inlineStr">
        <is>
          <t>Skilled Nursing and Interm. Care Facility</t>
        </is>
      </c>
      <c r="G1398" t="inlineStr">
        <is>
          <t>636 Atterdag Rd</t>
        </is>
      </c>
      <c r="H1398" t="inlineStr">
        <is>
          <t>Solvang</t>
        </is>
      </c>
      <c r="I1398" t="inlineStr">
        <is>
          <t>Santa Barbara</t>
        </is>
      </c>
      <c r="J1398" t="inlineStr">
        <is>
          <t>Atterdag Care Center</t>
        </is>
      </c>
    </row>
    <row r="1399">
      <c r="A1399">
        <f>--ISNUMBER(IFERROR(SEARCH($C$5,Inputs!$D1399,1),""))</f>
        <v/>
      </c>
      <c r="B1399">
        <f>IF(A1399=1,COUNTIF($A$6:A1399,1),"")</f>
        <v/>
      </c>
      <c r="C1399">
        <f>IFERROR(INDEX($D$6:$D$1750,MATCH(ROWS($B$6:B1399),$B$6:$B$1750,0)),"")</f>
        <v/>
      </c>
      <c r="D1399">
        <f>J1399&amp;" ("&amp;E1399&amp;")"</f>
        <v/>
      </c>
      <c r="E1399" t="n">
        <v>22988</v>
      </c>
      <c r="F1399" t="inlineStr">
        <is>
          <t>Skilled Nursing and Interm. Care Facility</t>
        </is>
      </c>
      <c r="G1399" t="inlineStr">
        <is>
          <t>442 E Hampton St</t>
        </is>
      </c>
      <c r="H1399" t="inlineStr">
        <is>
          <t>Stockton</t>
        </is>
      </c>
      <c r="I1399" t="inlineStr">
        <is>
          <t>San Joaquin</t>
        </is>
      </c>
      <c r="J1399" t="inlineStr">
        <is>
          <t>Windsor Hampton Care Center</t>
        </is>
      </c>
    </row>
    <row r="1400">
      <c r="A1400">
        <f>--ISNUMBER(IFERROR(SEARCH($C$5,Inputs!$D1400,1),""))</f>
        <v/>
      </c>
      <c r="B1400">
        <f>IF(A1400=1,COUNTIF($A$6:A1400,1),"")</f>
        <v/>
      </c>
      <c r="C1400">
        <f>IFERROR(INDEX($D$6:$D$1750,MATCH(ROWS($B$6:B1400),$B$6:$B$1750,0)),"")</f>
        <v/>
      </c>
      <c r="D1400">
        <f>J1400&amp;" ("&amp;E1400&amp;")"</f>
        <v/>
      </c>
      <c r="E1400" t="n">
        <v>23020</v>
      </c>
      <c r="F1400" t="inlineStr">
        <is>
          <t>Skilled Nursing and Interm. Care Facility</t>
        </is>
      </c>
      <c r="G1400" t="inlineStr">
        <is>
          <t>2850 Sierra Sunrise Terrace</t>
        </is>
      </c>
      <c r="H1400" t="inlineStr">
        <is>
          <t>Chico</t>
        </is>
      </c>
      <c r="I1400" t="inlineStr">
        <is>
          <t>Butte</t>
        </is>
      </c>
      <c r="J1400" t="inlineStr">
        <is>
          <t>California Park Rehabilitation Hospital</t>
        </is>
      </c>
    </row>
    <row r="1401">
      <c r="A1401">
        <f>--ISNUMBER(IFERROR(SEARCH($C$5,Inputs!$D1401,1),""))</f>
        <v/>
      </c>
      <c r="B1401">
        <f>IF(A1401=1,COUNTIF($A$6:A1401,1),"")</f>
        <v/>
      </c>
      <c r="C1401">
        <f>IFERROR(INDEX($D$6:$D$1750,MATCH(ROWS($B$6:B1401),$B$6:$B$1750,0)),"")</f>
        <v/>
      </c>
      <c r="D1401">
        <f>J1401&amp;" ("&amp;E1401&amp;")"</f>
        <v/>
      </c>
      <c r="E1401" t="n">
        <v>23021</v>
      </c>
      <c r="F1401" t="inlineStr">
        <is>
          <t>Skilled Nursing and Interm. Care Facility</t>
        </is>
      </c>
      <c r="G1401" t="inlineStr">
        <is>
          <t>4000 Harrison St</t>
        </is>
      </c>
      <c r="H1401" t="inlineStr">
        <is>
          <t>Riverside</t>
        </is>
      </c>
      <c r="I1401" t="inlineStr">
        <is>
          <t>Riverside</t>
        </is>
      </c>
      <c r="J1401" t="inlineStr">
        <is>
          <t>Riverwalk Post Acute</t>
        </is>
      </c>
    </row>
    <row r="1402">
      <c r="A1402">
        <f>--ISNUMBER(IFERROR(SEARCH($C$5,Inputs!$D1402,1),""))</f>
        <v/>
      </c>
      <c r="B1402">
        <f>IF(A1402=1,COUNTIF($A$6:A1402,1),"")</f>
        <v/>
      </c>
      <c r="C1402">
        <f>IFERROR(INDEX($D$6:$D$1750,MATCH(ROWS($B$6:B1402),$B$6:$B$1750,0)),"")</f>
        <v/>
      </c>
      <c r="D1402">
        <f>J1402&amp;" ("&amp;E1402&amp;")"</f>
        <v/>
      </c>
      <c r="E1402" t="n">
        <v>23029</v>
      </c>
      <c r="F1402" t="inlineStr">
        <is>
          <t>Skilled Nursing and Interm. Care Facility</t>
        </is>
      </c>
      <c r="G1402" t="inlineStr">
        <is>
          <t>1920 N Fair Oaks Ave</t>
        </is>
      </c>
      <c r="H1402" t="inlineStr">
        <is>
          <t>Pasadena</t>
        </is>
      </c>
      <c r="I1402" t="inlineStr">
        <is>
          <t>Los Angeles</t>
        </is>
      </c>
      <c r="J1402" t="inlineStr">
        <is>
          <t>Camellia Gardens Care Center</t>
        </is>
      </c>
    </row>
    <row r="1403">
      <c r="A1403">
        <f>--ISNUMBER(IFERROR(SEARCH($C$5,Inputs!$D1403,1),""))</f>
        <v/>
      </c>
      <c r="B1403">
        <f>IF(A1403=1,COUNTIF($A$6:A1403,1),"")</f>
        <v/>
      </c>
      <c r="C1403">
        <f>IFERROR(INDEX($D$6:$D$1750,MATCH(ROWS($B$6:B1403),$B$6:$B$1750,0)),"")</f>
        <v/>
      </c>
      <c r="D1403">
        <f>J1403&amp;" ("&amp;E1403&amp;")"</f>
        <v/>
      </c>
      <c r="E1403" t="n">
        <v>23034</v>
      </c>
      <c r="F1403" t="inlineStr">
        <is>
          <t>Skilled Nursing and Interm. Care Facility</t>
        </is>
      </c>
      <c r="G1403" t="inlineStr">
        <is>
          <t>2715 Fresno St</t>
        </is>
      </c>
      <c r="H1403" t="inlineStr">
        <is>
          <t>Fresno</t>
        </is>
      </c>
      <c r="I1403" t="inlineStr">
        <is>
          <t>Fresno</t>
        </is>
      </c>
      <c r="J1403" t="inlineStr">
        <is>
          <t>Promenade Care Center</t>
        </is>
      </c>
    </row>
    <row r="1404">
      <c r="A1404">
        <f>--ISNUMBER(IFERROR(SEARCH($C$5,Inputs!$D1404,1),""))</f>
        <v/>
      </c>
      <c r="B1404">
        <f>IF(A1404=1,COUNTIF($A$6:A1404,1),"")</f>
        <v/>
      </c>
      <c r="C1404">
        <f>IFERROR(INDEX($D$6:$D$1750,MATCH(ROWS($B$6:B1404),$B$6:$B$1750,0)),"")</f>
        <v/>
      </c>
      <c r="D1404">
        <f>J1404&amp;" ("&amp;E1404&amp;")"</f>
        <v/>
      </c>
      <c r="E1404" t="n">
        <v>23038</v>
      </c>
      <c r="F1404" t="inlineStr">
        <is>
          <t>Skilled Nursing and Interm. Care Facility</t>
        </is>
      </c>
      <c r="G1404" t="inlineStr">
        <is>
          <t>4303 Stevenson Blvd</t>
        </is>
      </c>
      <c r="H1404" t="inlineStr">
        <is>
          <t>Fremont</t>
        </is>
      </c>
      <c r="I1404" t="inlineStr">
        <is>
          <t>Alameda</t>
        </is>
      </c>
      <c r="J1404" t="inlineStr">
        <is>
          <t>Crestwood Manor - Fremont</t>
        </is>
      </c>
    </row>
    <row r="1405">
      <c r="A1405">
        <f>--ISNUMBER(IFERROR(SEARCH($C$5,Inputs!$D1405,1),""))</f>
        <v/>
      </c>
      <c r="B1405">
        <f>IF(A1405=1,COUNTIF($A$6:A1405,1),"")</f>
        <v/>
      </c>
      <c r="C1405">
        <f>IFERROR(INDEX($D$6:$D$1750,MATCH(ROWS($B$6:B1405),$B$6:$B$1750,0)),"")</f>
        <v/>
      </c>
      <c r="D1405">
        <f>J1405&amp;" ("&amp;E1405&amp;")"</f>
        <v/>
      </c>
      <c r="E1405" t="n">
        <v>23089</v>
      </c>
      <c r="F1405" t="inlineStr">
        <is>
          <t>Skilled Nursing and Interm. Care Facility</t>
        </is>
      </c>
      <c r="G1405" t="inlineStr">
        <is>
          <t>101 Monroe St</t>
        </is>
      </c>
      <c r="H1405" t="inlineStr">
        <is>
          <t>Petaluma</t>
        </is>
      </c>
      <c r="I1405" t="inlineStr">
        <is>
          <t>Sonoma</t>
        </is>
      </c>
      <c r="J1405" t="inlineStr">
        <is>
          <t>Vineyard Post Acute</t>
        </is>
      </c>
    </row>
    <row r="1406">
      <c r="A1406">
        <f>--ISNUMBER(IFERROR(SEARCH($C$5,Inputs!$D1406,1),""))</f>
        <v/>
      </c>
      <c r="B1406">
        <f>IF(A1406=1,COUNTIF($A$6:A1406,1),"")</f>
        <v/>
      </c>
      <c r="C1406">
        <f>IFERROR(INDEX($D$6:$D$1750,MATCH(ROWS($B$6:B1406),$B$6:$B$1750,0)),"")</f>
        <v/>
      </c>
      <c r="D1406">
        <f>J1406&amp;" ("&amp;E1406&amp;")"</f>
        <v/>
      </c>
      <c r="E1406" t="n">
        <v>23097</v>
      </c>
      <c r="F1406" t="inlineStr">
        <is>
          <t>Skilled Nursing and Interm. Care Facility</t>
        </is>
      </c>
      <c r="G1406" t="inlineStr">
        <is>
          <t>6101 Fair Oaks Blvd</t>
        </is>
      </c>
      <c r="H1406" t="inlineStr">
        <is>
          <t>Carmichael</t>
        </is>
      </c>
      <c r="I1406" t="inlineStr">
        <is>
          <t>Sacramento</t>
        </is>
      </c>
      <c r="J1406" t="inlineStr">
        <is>
          <t>Mountain Manor Senior Residence</t>
        </is>
      </c>
    </row>
    <row r="1407">
      <c r="A1407">
        <f>--ISNUMBER(IFERROR(SEARCH($C$5,Inputs!$D1407,1),""))</f>
        <v/>
      </c>
      <c r="B1407">
        <f>IF(A1407=1,COUNTIF($A$6:A1407,1),"")</f>
        <v/>
      </c>
      <c r="C1407">
        <f>IFERROR(INDEX($D$6:$D$1750,MATCH(ROWS($B$6:B1407),$B$6:$B$1750,0)),"")</f>
        <v/>
      </c>
      <c r="D1407">
        <f>J1407&amp;" ("&amp;E1407&amp;")"</f>
        <v/>
      </c>
      <c r="E1407" t="n">
        <v>23177</v>
      </c>
      <c r="F1407" t="inlineStr">
        <is>
          <t>Skilled Nursing and Interm. Care Facility</t>
        </is>
      </c>
      <c r="G1407" t="inlineStr">
        <is>
          <t>300 Neal Street</t>
        </is>
      </c>
      <c r="H1407" t="inlineStr">
        <is>
          <t>Pleasanton</t>
        </is>
      </c>
      <c r="I1407" t="inlineStr">
        <is>
          <t>Alameda</t>
        </is>
      </c>
      <c r="J1407" t="inlineStr">
        <is>
          <t>Pleasanton Nursing and Rehabilitation Center</t>
        </is>
      </c>
    </row>
    <row r="1408">
      <c r="A1408">
        <f>--ISNUMBER(IFERROR(SEARCH($C$5,Inputs!$D1408,1),""))</f>
        <v/>
      </c>
      <c r="B1408">
        <f>IF(A1408=1,COUNTIF($A$6:A1408,1),"")</f>
        <v/>
      </c>
      <c r="C1408">
        <f>IFERROR(INDEX($D$6:$D$1750,MATCH(ROWS($B$6:B1408),$B$6:$B$1750,0)),"")</f>
        <v/>
      </c>
      <c r="D1408">
        <f>J1408&amp;" ("&amp;E1408&amp;")"</f>
        <v/>
      </c>
      <c r="E1408" t="n">
        <v>23264</v>
      </c>
      <c r="F1408" t="inlineStr">
        <is>
          <t>Skilled Nursing and Interm. Care Facility</t>
        </is>
      </c>
      <c r="G1408" t="inlineStr">
        <is>
          <t>1900 Atrium Pkwy</t>
        </is>
      </c>
      <c r="H1408" t="inlineStr">
        <is>
          <t>Napa</t>
        </is>
      </c>
      <c r="I1408" t="inlineStr">
        <is>
          <t>Napa</t>
        </is>
      </c>
      <c r="J1408" t="inlineStr">
        <is>
          <t>The Meadows Of Napa Valley Care Center</t>
        </is>
      </c>
    </row>
    <row r="1409">
      <c r="A1409">
        <f>--ISNUMBER(IFERROR(SEARCH($C$5,Inputs!$D1409,1),""))</f>
        <v/>
      </c>
      <c r="B1409">
        <f>IF(A1409=1,COUNTIF($A$6:A1409,1),"")</f>
        <v/>
      </c>
      <c r="C1409">
        <f>IFERROR(INDEX($D$6:$D$1750,MATCH(ROWS($B$6:B1409),$B$6:$B$1750,0)),"")</f>
        <v/>
      </c>
      <c r="D1409">
        <f>J1409&amp;" ("&amp;E1409&amp;")"</f>
        <v/>
      </c>
      <c r="E1409" t="n">
        <v>23276</v>
      </c>
      <c r="F1409" t="inlineStr">
        <is>
          <t>Skilled Nursing and Interm. Care Facility</t>
        </is>
      </c>
      <c r="G1409" t="inlineStr">
        <is>
          <t>47763 Monroe St</t>
        </is>
      </c>
      <c r="H1409" t="inlineStr">
        <is>
          <t>Indio</t>
        </is>
      </c>
      <c r="I1409" t="inlineStr">
        <is>
          <t>Riverside</t>
        </is>
      </c>
      <c r="J1409" t="inlineStr">
        <is>
          <t>Indio Nursing and Rehabilitation Center</t>
        </is>
      </c>
    </row>
    <row r="1410">
      <c r="A1410">
        <f>--ISNUMBER(IFERROR(SEARCH($C$5,Inputs!$D1410,1),""))</f>
        <v/>
      </c>
      <c r="B1410">
        <f>IF(A1410=1,COUNTIF($A$6:A1410,1),"")</f>
        <v/>
      </c>
      <c r="C1410">
        <f>IFERROR(INDEX($D$6:$D$1750,MATCH(ROWS($B$6:B1410),$B$6:$B$1750,0)),"")</f>
        <v/>
      </c>
      <c r="D1410">
        <f>J1410&amp;" ("&amp;E1410&amp;")"</f>
        <v/>
      </c>
      <c r="E1410" t="n">
        <v>23300</v>
      </c>
      <c r="F1410" t="inlineStr">
        <is>
          <t>Skilled Nursing and Interm. Care Facility</t>
        </is>
      </c>
      <c r="G1410" t="inlineStr">
        <is>
          <t>654 South Anza Street</t>
        </is>
      </c>
      <c r="H1410" t="inlineStr">
        <is>
          <t>El Cajon</t>
        </is>
      </c>
      <c r="I1410" t="inlineStr">
        <is>
          <t>San Diego</t>
        </is>
      </c>
      <c r="J1410" t="inlineStr">
        <is>
          <t>Victoria Post Acute Care</t>
        </is>
      </c>
    </row>
    <row r="1411">
      <c r="A1411">
        <f>--ISNUMBER(IFERROR(SEARCH($C$5,Inputs!$D1411,1),""))</f>
        <v/>
      </c>
      <c r="B1411">
        <f>IF(A1411=1,COUNTIF($A$6:A1411,1),"")</f>
        <v/>
      </c>
      <c r="C1411">
        <f>IFERROR(INDEX($D$6:$D$1750,MATCH(ROWS($B$6:B1411),$B$6:$B$1750,0)),"")</f>
        <v/>
      </c>
      <c r="D1411">
        <f>J1411&amp;" ("&amp;E1411&amp;")"</f>
        <v/>
      </c>
      <c r="E1411" t="n">
        <v>23338</v>
      </c>
      <c r="F1411" t="inlineStr">
        <is>
          <t>Skilled Nursing and Interm. Care Facility</t>
        </is>
      </c>
      <c r="G1411" t="inlineStr">
        <is>
          <t>1255 B St</t>
        </is>
      </c>
      <c r="H1411" t="inlineStr">
        <is>
          <t>Merced</t>
        </is>
      </c>
      <c r="I1411" t="inlineStr">
        <is>
          <t>Merced</t>
        </is>
      </c>
      <c r="J1411" t="inlineStr">
        <is>
          <t>Merced Behavioral Center</t>
        </is>
      </c>
    </row>
    <row r="1412">
      <c r="A1412">
        <f>--ISNUMBER(IFERROR(SEARCH($C$5,Inputs!$D1412,1),""))</f>
        <v/>
      </c>
      <c r="B1412">
        <f>IF(A1412=1,COUNTIF($A$6:A1412,1),"")</f>
        <v/>
      </c>
      <c r="C1412">
        <f>IFERROR(INDEX($D$6:$D$1750,MATCH(ROWS($B$6:B1412),$B$6:$B$1750,0)),"")</f>
        <v/>
      </c>
      <c r="D1412">
        <f>J1412&amp;" ("&amp;E1412&amp;")"</f>
        <v/>
      </c>
      <c r="E1412" t="n">
        <v>23343</v>
      </c>
      <c r="F1412" t="inlineStr">
        <is>
          <t>Skilled Nursing and Interm. Care Facility</t>
        </is>
      </c>
      <c r="G1412" t="inlineStr">
        <is>
          <t>300 Hot Springs Road</t>
        </is>
      </c>
      <c r="H1412" t="inlineStr">
        <is>
          <t>Santa Barbara</t>
        </is>
      </c>
      <c r="I1412" t="inlineStr">
        <is>
          <t>Santa Barbara</t>
        </is>
      </c>
      <c r="J1412" t="inlineStr">
        <is>
          <t>Casa Dorinda</t>
        </is>
      </c>
    </row>
    <row r="1413">
      <c r="A1413">
        <f>--ISNUMBER(IFERROR(SEARCH($C$5,Inputs!$D1413,1),""))</f>
        <v/>
      </c>
      <c r="B1413">
        <f>IF(A1413=1,COUNTIF($A$6:A1413,1),"")</f>
        <v/>
      </c>
      <c r="C1413">
        <f>IFERROR(INDEX($D$6:$D$1750,MATCH(ROWS($B$6:B1413),$B$6:$B$1750,0)),"")</f>
        <v/>
      </c>
      <c r="D1413">
        <f>J1413&amp;" ("&amp;E1413&amp;")"</f>
        <v/>
      </c>
      <c r="E1413" t="n">
        <v>23345</v>
      </c>
      <c r="F1413" t="inlineStr">
        <is>
          <t>Skilled Nursing and Interm. Care Facility</t>
        </is>
      </c>
      <c r="G1413" t="inlineStr">
        <is>
          <t>555 E Memory Ln</t>
        </is>
      </c>
      <c r="H1413" t="inlineStr">
        <is>
          <t>Santa Ana</t>
        </is>
      </c>
      <c r="I1413" t="inlineStr">
        <is>
          <t>Orange</t>
        </is>
      </c>
      <c r="J1413" t="inlineStr">
        <is>
          <t>Town &amp; Country</t>
        </is>
      </c>
    </row>
    <row r="1414">
      <c r="A1414">
        <f>--ISNUMBER(IFERROR(SEARCH($C$5,Inputs!$D1414,1),""))</f>
        <v/>
      </c>
      <c r="B1414">
        <f>IF(A1414=1,COUNTIF($A$6:A1414,1),"")</f>
        <v/>
      </c>
      <c r="C1414">
        <f>IFERROR(INDEX($D$6:$D$1750,MATCH(ROWS($B$6:B1414),$B$6:$B$1750,0)),"")</f>
        <v/>
      </c>
      <c r="D1414">
        <f>J1414&amp;" ("&amp;E1414&amp;")"</f>
        <v/>
      </c>
      <c r="E1414" t="n">
        <v>23346</v>
      </c>
      <c r="F1414" t="inlineStr">
        <is>
          <t>Skilled Nursing and Interm. Care Facility</t>
        </is>
      </c>
      <c r="G1414" t="inlineStr">
        <is>
          <t>4343 N Sierra Way</t>
        </is>
      </c>
      <c r="H1414" t="inlineStr">
        <is>
          <t>San Bernardino</t>
        </is>
      </c>
      <c r="I1414" t="inlineStr">
        <is>
          <t>San Bernardino</t>
        </is>
      </c>
      <c r="J1414" t="inlineStr">
        <is>
          <t>Arrowhead Healthcare Center, LLC</t>
        </is>
      </c>
    </row>
    <row r="1415">
      <c r="A1415">
        <f>--ISNUMBER(IFERROR(SEARCH($C$5,Inputs!$D1415,1),""))</f>
        <v/>
      </c>
      <c r="B1415">
        <f>IF(A1415=1,COUNTIF($A$6:A1415,1),"")</f>
        <v/>
      </c>
      <c r="C1415">
        <f>IFERROR(INDEX($D$6:$D$1750,MATCH(ROWS($B$6:B1415),$B$6:$B$1750,0)),"")</f>
        <v/>
      </c>
      <c r="D1415">
        <f>J1415&amp;" ("&amp;E1415&amp;")"</f>
        <v/>
      </c>
      <c r="E1415" t="n">
        <v>23352</v>
      </c>
      <c r="F1415" t="inlineStr">
        <is>
          <t>Skilled Nursing and Interm. Care Facility</t>
        </is>
      </c>
      <c r="G1415" t="inlineStr">
        <is>
          <t>501 Jessie Ave</t>
        </is>
      </c>
      <c r="H1415" t="inlineStr">
        <is>
          <t>Sacramento</t>
        </is>
      </c>
      <c r="I1415" t="inlineStr">
        <is>
          <t>Sacramento</t>
        </is>
      </c>
      <c r="J1415" t="inlineStr">
        <is>
          <t>Windsor Care Center Of Sacramento</t>
        </is>
      </c>
    </row>
    <row r="1416">
      <c r="A1416">
        <f>--ISNUMBER(IFERROR(SEARCH($C$5,Inputs!$D1416,1),""))</f>
        <v/>
      </c>
      <c r="B1416">
        <f>IF(A1416=1,COUNTIF($A$6:A1416,1),"")</f>
        <v/>
      </c>
      <c r="C1416">
        <f>IFERROR(INDEX($D$6:$D$1750,MATCH(ROWS($B$6:B1416),$B$6:$B$1750,0)),"")</f>
        <v/>
      </c>
      <c r="D1416">
        <f>J1416&amp;" ("&amp;E1416&amp;")"</f>
        <v/>
      </c>
      <c r="E1416" t="n">
        <v>23353</v>
      </c>
      <c r="F1416" t="inlineStr">
        <is>
          <t>Skilled Nursing and Interm. Care Facility</t>
        </is>
      </c>
      <c r="G1416" t="inlineStr">
        <is>
          <t>216 N 3rd St</t>
        </is>
      </c>
      <c r="H1416" t="inlineStr">
        <is>
          <t>Lompoc</t>
        </is>
      </c>
      <c r="I1416" t="inlineStr">
        <is>
          <t>Santa Barbara</t>
        </is>
      </c>
      <c r="J1416" t="inlineStr">
        <is>
          <t>Lompoc Valley Medical Center Comprehensive Care Center D/P SNF</t>
        </is>
      </c>
    </row>
    <row r="1417">
      <c r="A1417">
        <f>--ISNUMBER(IFERROR(SEARCH($C$5,Inputs!$D1417,1),""))</f>
        <v/>
      </c>
      <c r="B1417">
        <f>IF(A1417=1,COUNTIF($A$6:A1417,1),"")</f>
        <v/>
      </c>
      <c r="C1417">
        <f>IFERROR(INDEX($D$6:$D$1750,MATCH(ROWS($B$6:B1417),$B$6:$B$1750,0)),"")</f>
        <v/>
      </c>
      <c r="D1417">
        <f>J1417&amp;" ("&amp;E1417&amp;")"</f>
        <v/>
      </c>
      <c r="E1417" t="n">
        <v>23354</v>
      </c>
      <c r="F1417" t="inlineStr">
        <is>
          <t>Skilled Nursing and Interm. Care Facility</t>
        </is>
      </c>
      <c r="G1417" t="inlineStr">
        <is>
          <t>40 Camino Alto</t>
        </is>
      </c>
      <c r="H1417" t="inlineStr">
        <is>
          <t>Mill Valley</t>
        </is>
      </c>
      <c r="I1417" t="inlineStr">
        <is>
          <t>Marin</t>
        </is>
      </c>
      <c r="J1417" t="inlineStr">
        <is>
          <t>The Redwoods, A Community Of Seniors</t>
        </is>
      </c>
    </row>
    <row r="1418">
      <c r="A1418">
        <f>--ISNUMBER(IFERROR(SEARCH($C$5,Inputs!$D1418,1),""))</f>
        <v/>
      </c>
      <c r="B1418">
        <f>IF(A1418=1,COUNTIF($A$6:A1418,1),"")</f>
        <v/>
      </c>
      <c r="C1418">
        <f>IFERROR(INDEX($D$6:$D$1750,MATCH(ROWS($B$6:B1418),$B$6:$B$1750,0)),"")</f>
        <v/>
      </c>
      <c r="D1418">
        <f>J1418&amp;" ("&amp;E1418&amp;")"</f>
        <v/>
      </c>
      <c r="E1418" t="n">
        <v>23355</v>
      </c>
      <c r="F1418" t="inlineStr">
        <is>
          <t>Skilled Nursing and Interm. Care Facility</t>
        </is>
      </c>
      <c r="G1418" t="inlineStr">
        <is>
          <t>130 Dana St</t>
        </is>
      </c>
      <c r="H1418" t="inlineStr">
        <is>
          <t>Fort Bragg</t>
        </is>
      </c>
      <c r="I1418" t="inlineStr">
        <is>
          <t>Mendocino</t>
        </is>
      </c>
      <c r="J1418" t="inlineStr">
        <is>
          <t>Sherwood Oaks Healthcare Center</t>
        </is>
      </c>
    </row>
    <row r="1419">
      <c r="A1419">
        <f>--ISNUMBER(IFERROR(SEARCH($C$5,Inputs!$D1419,1),""))</f>
        <v/>
      </c>
      <c r="B1419">
        <f>IF(A1419=1,COUNTIF($A$6:A1419,1),"")</f>
        <v/>
      </c>
      <c r="C1419">
        <f>IFERROR(INDEX($D$6:$D$1750,MATCH(ROWS($B$6:B1419),$B$6:$B$1750,0)),"")</f>
        <v/>
      </c>
      <c r="D1419">
        <f>J1419&amp;" ("&amp;E1419&amp;")"</f>
        <v/>
      </c>
      <c r="E1419" t="n">
        <v>23357</v>
      </c>
      <c r="F1419" t="inlineStr">
        <is>
          <t>Skilled Nursing and Interm. Care Facility</t>
        </is>
      </c>
      <c r="G1419" t="inlineStr">
        <is>
          <t>553 F Street</t>
        </is>
      </c>
      <c r="H1419" t="inlineStr">
        <is>
          <t>Chula Vista</t>
        </is>
      </c>
      <c r="I1419" t="inlineStr">
        <is>
          <t>San Diego</t>
        </is>
      </c>
      <c r="J1419" t="inlineStr">
        <is>
          <t>South Bay Post Acute Care</t>
        </is>
      </c>
    </row>
    <row r="1420">
      <c r="A1420">
        <f>--ISNUMBER(IFERROR(SEARCH($C$5,Inputs!$D1420,1),""))</f>
        <v/>
      </c>
      <c r="B1420">
        <f>IF(A1420=1,COUNTIF($A$6:A1420,1),"")</f>
        <v/>
      </c>
      <c r="C1420">
        <f>IFERROR(INDEX($D$6:$D$1750,MATCH(ROWS($B$6:B1420),$B$6:$B$1750,0)),"")</f>
        <v/>
      </c>
      <c r="D1420">
        <f>J1420&amp;" ("&amp;E1420&amp;")"</f>
        <v/>
      </c>
      <c r="E1420" t="n">
        <v>23360</v>
      </c>
      <c r="F1420" t="inlineStr">
        <is>
          <t>Skilled Nursing and Interm. Care Facility</t>
        </is>
      </c>
      <c r="G1420" t="inlineStr">
        <is>
          <t>12831 Maclay St.</t>
        </is>
      </c>
      <c r="H1420" t="inlineStr">
        <is>
          <t>Sylmar</t>
        </is>
      </c>
      <c r="I1420" t="inlineStr">
        <is>
          <t>Los Angeles</t>
        </is>
      </c>
      <c r="J1420" t="inlineStr">
        <is>
          <t>Maclay Healthcare Center</t>
        </is>
      </c>
    </row>
    <row r="1421">
      <c r="A1421">
        <f>--ISNUMBER(IFERROR(SEARCH($C$5,Inputs!$D1421,1),""))</f>
        <v/>
      </c>
      <c r="B1421">
        <f>IF(A1421=1,COUNTIF($A$6:A1421,1),"")</f>
        <v/>
      </c>
      <c r="C1421">
        <f>IFERROR(INDEX($D$6:$D$1750,MATCH(ROWS($B$6:B1421),$B$6:$B$1750,0)),"")</f>
        <v/>
      </c>
      <c r="D1421">
        <f>J1421&amp;" ("&amp;E1421&amp;")"</f>
        <v/>
      </c>
      <c r="E1421" t="n">
        <v>23661</v>
      </c>
      <c r="F1421" t="inlineStr">
        <is>
          <t>Skilled Nursing and Interm. Care Facility</t>
        </is>
      </c>
      <c r="G1421" t="inlineStr">
        <is>
          <t>1100 W Morton Ave.</t>
        </is>
      </c>
      <c r="H1421" t="inlineStr">
        <is>
          <t>Porterville</t>
        </is>
      </c>
      <c r="I1421" t="inlineStr">
        <is>
          <t>Tulare</t>
        </is>
      </c>
      <c r="J1421" t="inlineStr">
        <is>
          <t>Porterville Convalescent Hospital</t>
        </is>
      </c>
    </row>
    <row r="1422">
      <c r="A1422">
        <f>--ISNUMBER(IFERROR(SEARCH($C$5,Inputs!$D1422,1),""))</f>
        <v/>
      </c>
      <c r="B1422">
        <f>IF(A1422=1,COUNTIF($A$6:A1422,1),"")</f>
        <v/>
      </c>
      <c r="C1422">
        <f>IFERROR(INDEX($D$6:$D$1750,MATCH(ROWS($B$6:B1422),$B$6:$B$1750,0)),"")</f>
        <v/>
      </c>
      <c r="D1422">
        <f>J1422&amp;" ("&amp;E1422&amp;")"</f>
        <v/>
      </c>
      <c r="E1422" t="n">
        <v>23720</v>
      </c>
      <c r="F1422" t="inlineStr">
        <is>
          <t>Skilled Nursing and Interm. Care Facility</t>
        </is>
      </c>
      <c r="G1422" t="inlineStr">
        <is>
          <t>650 West Alluvial Avenue</t>
        </is>
      </c>
      <c r="H1422" t="inlineStr">
        <is>
          <t>Clovis</t>
        </is>
      </c>
      <c r="I1422" t="inlineStr">
        <is>
          <t>Fresno</t>
        </is>
      </c>
      <c r="J1422" t="inlineStr">
        <is>
          <t>Willow Creek Healthcare Center</t>
        </is>
      </c>
    </row>
    <row r="1423">
      <c r="A1423">
        <f>--ISNUMBER(IFERROR(SEARCH($C$5,Inputs!$D1423,1),""))</f>
        <v/>
      </c>
      <c r="B1423">
        <f>IF(A1423=1,COUNTIF($A$6:A1423,1),"")</f>
        <v/>
      </c>
      <c r="C1423">
        <f>IFERROR(INDEX($D$6:$D$1750,MATCH(ROWS($B$6:B1423),$B$6:$B$1750,0)),"")</f>
        <v/>
      </c>
      <c r="D1423">
        <f>J1423&amp;" ("&amp;E1423&amp;")"</f>
        <v/>
      </c>
      <c r="E1423" t="n">
        <v>23815</v>
      </c>
      <c r="F1423" t="inlineStr">
        <is>
          <t>Skilled Nursing and Interm. Care Facility</t>
        </is>
      </c>
      <c r="G1423" t="inlineStr">
        <is>
          <t>1011 W Tulare Rd</t>
        </is>
      </c>
      <c r="H1423" t="inlineStr">
        <is>
          <t>Lindsay</t>
        </is>
      </c>
      <c r="I1423" t="inlineStr">
        <is>
          <t>Tulare</t>
        </is>
      </c>
      <c r="J1423" t="inlineStr">
        <is>
          <t>Lindsay Gardens Nursing &amp; Rehabilitation</t>
        </is>
      </c>
    </row>
    <row r="1424">
      <c r="A1424">
        <f>--ISNUMBER(IFERROR(SEARCH($C$5,Inputs!$D1424,1),""))</f>
        <v/>
      </c>
      <c r="B1424">
        <f>IF(A1424=1,COUNTIF($A$6:A1424,1),"")</f>
        <v/>
      </c>
      <c r="C1424">
        <f>IFERROR(INDEX($D$6:$D$1750,MATCH(ROWS($B$6:B1424),$B$6:$B$1750,0)),"")</f>
        <v/>
      </c>
      <c r="D1424">
        <f>J1424&amp;" ("&amp;E1424&amp;")"</f>
        <v/>
      </c>
      <c r="E1424" t="n">
        <v>23998</v>
      </c>
      <c r="F1424" t="inlineStr">
        <is>
          <t>Skilled Nursing and Interm. Care Facility</t>
        </is>
      </c>
      <c r="G1424" t="inlineStr">
        <is>
          <t>1334 S Ham Ln</t>
        </is>
      </c>
      <c r="H1424" t="inlineStr">
        <is>
          <t>Lodi</t>
        </is>
      </c>
      <c r="I1424" t="inlineStr">
        <is>
          <t>San Joaquin</t>
        </is>
      </c>
      <c r="J1424" t="inlineStr">
        <is>
          <t>Lodi Nursing &amp; Rehabilitation</t>
        </is>
      </c>
    </row>
    <row r="1425">
      <c r="A1425">
        <f>--ISNUMBER(IFERROR(SEARCH($C$5,Inputs!$D1425,1),""))</f>
        <v/>
      </c>
      <c r="B1425">
        <f>IF(A1425=1,COUNTIF($A$6:A1425,1),"")</f>
        <v/>
      </c>
      <c r="C1425">
        <f>IFERROR(INDEX($D$6:$D$1750,MATCH(ROWS($B$6:B1425),$B$6:$B$1750,0)),"")</f>
        <v/>
      </c>
      <c r="D1425">
        <f>J1425&amp;" ("&amp;E1425&amp;")"</f>
        <v/>
      </c>
      <c r="E1425" t="n">
        <v>24167</v>
      </c>
      <c r="F1425" t="inlineStr">
        <is>
          <t>Skilled Nursing and Interm. Care Facility</t>
        </is>
      </c>
      <c r="G1425" t="inlineStr">
        <is>
          <t>1990 Fruitdale Ave</t>
        </is>
      </c>
      <c r="H1425" t="inlineStr">
        <is>
          <t>San Jose</t>
        </is>
      </c>
      <c r="I1425" t="inlineStr">
        <is>
          <t>Santa Clara</t>
        </is>
      </c>
      <c r="J1425" t="inlineStr">
        <is>
          <t>White Blossom Care Center</t>
        </is>
      </c>
    </row>
    <row r="1426">
      <c r="A1426">
        <f>--ISNUMBER(IFERROR(SEARCH($C$5,Inputs!$D1426,1),""))</f>
        <v/>
      </c>
      <c r="B1426">
        <f>IF(A1426=1,COUNTIF($A$6:A1426,1),"")</f>
        <v/>
      </c>
      <c r="C1426">
        <f>IFERROR(INDEX($D$6:$D$1750,MATCH(ROWS($B$6:B1426),$B$6:$B$1750,0)),"")</f>
        <v/>
      </c>
      <c r="D1426">
        <f>J1426&amp;" ("&amp;E1426&amp;")"</f>
        <v/>
      </c>
      <c r="E1426" t="n">
        <v>24168</v>
      </c>
      <c r="F1426" t="inlineStr">
        <is>
          <t>Skilled Nursing and Interm. Care Facility</t>
        </is>
      </c>
      <c r="G1426" t="inlineStr">
        <is>
          <t>118 B St</t>
        </is>
      </c>
      <c r="H1426" t="inlineStr">
        <is>
          <t>Fillmore</t>
        </is>
      </c>
      <c r="I1426" t="inlineStr">
        <is>
          <t>Ventura</t>
        </is>
      </c>
      <c r="J1426" t="inlineStr">
        <is>
          <t>Greenfield Care Center of Fillmore, LLC</t>
        </is>
      </c>
    </row>
    <row r="1427">
      <c r="A1427">
        <f>--ISNUMBER(IFERROR(SEARCH($C$5,Inputs!$D1427,1),""))</f>
        <v/>
      </c>
      <c r="B1427">
        <f>IF(A1427=1,COUNTIF($A$6:A1427,1),"")</f>
        <v/>
      </c>
      <c r="C1427">
        <f>IFERROR(INDEX($D$6:$D$1750,MATCH(ROWS($B$6:B1427),$B$6:$B$1750,0)),"")</f>
        <v/>
      </c>
      <c r="D1427">
        <f>J1427&amp;" ("&amp;E1427&amp;")"</f>
        <v/>
      </c>
      <c r="E1427" t="n">
        <v>24182</v>
      </c>
      <c r="F1427" t="inlineStr">
        <is>
          <t>Skilled Nursing and Interm. Care Facility</t>
        </is>
      </c>
      <c r="G1427" t="inlineStr">
        <is>
          <t>40131 Highway 49</t>
        </is>
      </c>
      <c r="H1427" t="inlineStr">
        <is>
          <t>Oakhurst</t>
        </is>
      </c>
      <c r="I1427" t="inlineStr">
        <is>
          <t>Madera</t>
        </is>
      </c>
      <c r="J1427" t="inlineStr">
        <is>
          <t>Oakhurst Healthcare Center</t>
        </is>
      </c>
    </row>
    <row r="1428">
      <c r="A1428">
        <f>--ISNUMBER(IFERROR(SEARCH($C$5,Inputs!$D1428,1),""))</f>
        <v/>
      </c>
      <c r="B1428">
        <f>IF(A1428=1,COUNTIF($A$6:A1428,1),"")</f>
        <v/>
      </c>
      <c r="C1428">
        <f>IFERROR(INDEX($D$6:$D$1750,MATCH(ROWS($B$6:B1428),$B$6:$B$1750,0)),"")</f>
        <v/>
      </c>
      <c r="D1428">
        <f>J1428&amp;" ("&amp;E1428&amp;")"</f>
        <v/>
      </c>
      <c r="E1428" t="n">
        <v>24184</v>
      </c>
      <c r="F1428" t="inlineStr">
        <is>
          <t>Skilled Nursing and Interm. Care Facility</t>
        </is>
      </c>
      <c r="G1428" t="inlineStr">
        <is>
          <t>5318 Manzanita Ave</t>
        </is>
      </c>
      <c r="H1428" t="inlineStr">
        <is>
          <t>Carmichael</t>
        </is>
      </c>
      <c r="I1428" t="inlineStr">
        <is>
          <t>Sacramento</t>
        </is>
      </c>
      <c r="J1428" t="inlineStr">
        <is>
          <t>Eskaton Care Center Manzanita</t>
        </is>
      </c>
    </row>
    <row r="1429">
      <c r="A1429">
        <f>--ISNUMBER(IFERROR(SEARCH($C$5,Inputs!$D1429,1),""))</f>
        <v/>
      </c>
      <c r="B1429">
        <f>IF(A1429=1,COUNTIF($A$6:A1429,1),"")</f>
        <v/>
      </c>
      <c r="C1429">
        <f>IFERROR(INDEX($D$6:$D$1750,MATCH(ROWS($B$6:B1429),$B$6:$B$1750,0)),"")</f>
        <v/>
      </c>
      <c r="D1429">
        <f>J1429&amp;" ("&amp;E1429&amp;")"</f>
        <v/>
      </c>
      <c r="E1429" t="n">
        <v>24185</v>
      </c>
      <c r="F1429" t="inlineStr">
        <is>
          <t>Skilled Nursing and Interm. Care Facility</t>
        </is>
      </c>
      <c r="G1429" t="inlineStr">
        <is>
          <t>2671 Plummer Ave</t>
        </is>
      </c>
      <c r="H1429" t="inlineStr">
        <is>
          <t>San Jose</t>
        </is>
      </c>
      <c r="I1429" t="inlineStr">
        <is>
          <t>Santa Clara</t>
        </is>
      </c>
      <c r="J1429" t="inlineStr">
        <is>
          <t>Lincoln Glen Skilled Nursing</t>
        </is>
      </c>
    </row>
    <row r="1430">
      <c r="A1430">
        <f>--ISNUMBER(IFERROR(SEARCH($C$5,Inputs!$D1430,1),""))</f>
        <v/>
      </c>
      <c r="B1430">
        <f>IF(A1430=1,COUNTIF($A$6:A1430,1),"")</f>
        <v/>
      </c>
      <c r="C1430">
        <f>IFERROR(INDEX($D$6:$D$1750,MATCH(ROWS($B$6:B1430),$B$6:$B$1750,0)),"")</f>
        <v/>
      </c>
      <c r="D1430">
        <f>J1430&amp;" ("&amp;E1430&amp;")"</f>
        <v/>
      </c>
      <c r="E1430" t="n">
        <v>24188</v>
      </c>
      <c r="F1430" t="inlineStr">
        <is>
          <t>Skilled Nursing and Interm. Care Facility</t>
        </is>
      </c>
      <c r="G1430" t="inlineStr">
        <is>
          <t>720 E Romie Ln</t>
        </is>
      </c>
      <c r="H1430" t="inlineStr">
        <is>
          <t>Salinas</t>
        </is>
      </c>
      <c r="I1430" t="inlineStr">
        <is>
          <t>Monterey</t>
        </is>
      </c>
      <c r="J1430" t="inlineStr">
        <is>
          <t>Pacific Coast Post Acute</t>
        </is>
      </c>
    </row>
    <row r="1431">
      <c r="A1431">
        <f>--ISNUMBER(IFERROR(SEARCH($C$5,Inputs!$D1431,1),""))</f>
        <v/>
      </c>
      <c r="B1431">
        <f>IF(A1431=1,COUNTIF($A$6:A1431,1),"")</f>
        <v/>
      </c>
      <c r="C1431">
        <f>IFERROR(INDEX($D$6:$D$1750,MATCH(ROWS($B$6:B1431),$B$6:$B$1750,0)),"")</f>
        <v/>
      </c>
      <c r="D1431">
        <f>J1431&amp;" ("&amp;E1431&amp;")"</f>
        <v/>
      </c>
      <c r="E1431" t="n">
        <v>24194</v>
      </c>
      <c r="F1431" t="inlineStr">
        <is>
          <t>Skilled Nursing and Interm. Care Facility</t>
        </is>
      </c>
      <c r="G1431" t="inlineStr">
        <is>
          <t>1401 New Stine Rd</t>
        </is>
      </c>
      <c r="H1431" t="inlineStr">
        <is>
          <t>Bakersfield</t>
        </is>
      </c>
      <c r="I1431" t="inlineStr">
        <is>
          <t>Kern</t>
        </is>
      </c>
      <c r="J1431" t="inlineStr">
        <is>
          <t>Rosewood Health Facility</t>
        </is>
      </c>
    </row>
    <row r="1432">
      <c r="A1432">
        <f>--ISNUMBER(IFERROR(SEARCH($C$5,Inputs!$D1432,1),""))</f>
        <v/>
      </c>
      <c r="B1432">
        <f>IF(A1432=1,COUNTIF($A$6:A1432,1),"")</f>
        <v/>
      </c>
      <c r="C1432">
        <f>IFERROR(INDEX($D$6:$D$1750,MATCH(ROWS($B$6:B1432),$B$6:$B$1750,0)),"")</f>
        <v/>
      </c>
      <c r="D1432">
        <f>J1432&amp;" ("&amp;E1432&amp;")"</f>
        <v/>
      </c>
      <c r="E1432" t="n">
        <v>24292</v>
      </c>
      <c r="F1432" t="inlineStr">
        <is>
          <t>Skilled Nursing and Interm. Care Facility</t>
        </is>
      </c>
      <c r="G1432" t="inlineStr">
        <is>
          <t>455 Florin Rd</t>
        </is>
      </c>
      <c r="H1432" t="inlineStr">
        <is>
          <t>Sacramento</t>
        </is>
      </c>
      <c r="I1432" t="inlineStr">
        <is>
          <t>Sacramento</t>
        </is>
      </c>
      <c r="J1432" t="inlineStr">
        <is>
          <t>Eskaton Care Center Greenhaven</t>
        </is>
      </c>
    </row>
    <row r="1433">
      <c r="A1433">
        <f>--ISNUMBER(IFERROR(SEARCH($C$5,Inputs!$D1433,1),""))</f>
        <v/>
      </c>
      <c r="B1433">
        <f>IF(A1433=1,COUNTIF($A$6:A1433,1),"")</f>
        <v/>
      </c>
      <c r="C1433">
        <f>IFERROR(INDEX($D$6:$D$1750,MATCH(ROWS($B$6:B1433),$B$6:$B$1750,0)),"")</f>
        <v/>
      </c>
      <c r="D1433">
        <f>J1433&amp;" ("&amp;E1433&amp;")"</f>
        <v/>
      </c>
      <c r="E1433" t="n">
        <v>24293</v>
      </c>
      <c r="F1433" t="inlineStr">
        <is>
          <t>Skilled Nursing and Interm. Care Facility</t>
        </is>
      </c>
      <c r="G1433" t="inlineStr">
        <is>
          <t>1950 S Mountain Ave</t>
        </is>
      </c>
      <c r="H1433" t="inlineStr">
        <is>
          <t>Ontario</t>
        </is>
      </c>
      <c r="I1433" t="inlineStr">
        <is>
          <t>San Bernardino</t>
        </is>
      </c>
      <c r="J1433" t="inlineStr">
        <is>
          <t>Inland Christian Home</t>
        </is>
      </c>
    </row>
    <row r="1434">
      <c r="A1434">
        <f>--ISNUMBER(IFERROR(SEARCH($C$5,Inputs!$D1434,1),""))</f>
        <v/>
      </c>
      <c r="B1434">
        <f>IF(A1434=1,COUNTIF($A$6:A1434,1),"")</f>
        <v/>
      </c>
      <c r="C1434">
        <f>IFERROR(INDEX($D$6:$D$1750,MATCH(ROWS($B$6:B1434),$B$6:$B$1750,0)),"")</f>
        <v/>
      </c>
      <c r="D1434">
        <f>J1434&amp;" ("&amp;E1434&amp;")"</f>
        <v/>
      </c>
      <c r="E1434" t="n">
        <v>24297</v>
      </c>
      <c r="F1434" t="inlineStr">
        <is>
          <t>Skilled Nursing and Interm. Care Facility</t>
        </is>
      </c>
      <c r="G1434" t="inlineStr">
        <is>
          <t>1309 Allston Way</t>
        </is>
      </c>
      <c r="H1434" t="inlineStr">
        <is>
          <t>Berkeley</t>
        </is>
      </c>
      <c r="I1434" t="inlineStr">
        <is>
          <t>Alameda</t>
        </is>
      </c>
      <c r="J1434" t="inlineStr">
        <is>
          <t>Chaparral House</t>
        </is>
      </c>
    </row>
    <row r="1435">
      <c r="A1435">
        <f>--ISNUMBER(IFERROR(SEARCH($C$5,Inputs!$D1435,1),""))</f>
        <v/>
      </c>
      <c r="B1435">
        <f>IF(A1435=1,COUNTIF($A$6:A1435,1),"")</f>
        <v/>
      </c>
      <c r="C1435">
        <f>IFERROR(INDEX($D$6:$D$1750,MATCH(ROWS($B$6:B1435),$B$6:$B$1750,0)),"")</f>
        <v/>
      </c>
      <c r="D1435">
        <f>J1435&amp;" ("&amp;E1435&amp;")"</f>
        <v/>
      </c>
      <c r="E1435" t="n">
        <v>24299</v>
      </c>
      <c r="F1435" t="inlineStr">
        <is>
          <t>Skilled Nursing and Interm. Care Facility</t>
        </is>
      </c>
      <c r="G1435" t="inlineStr">
        <is>
          <t>600 E Washington Ave</t>
        </is>
      </c>
      <c r="H1435" t="inlineStr">
        <is>
          <t>Santa Ana</t>
        </is>
      </c>
      <c r="I1435" t="inlineStr">
        <is>
          <t>Orange</t>
        </is>
      </c>
      <c r="J1435" t="inlineStr">
        <is>
          <t>French Park Care Center</t>
        </is>
      </c>
    </row>
    <row r="1436">
      <c r="A1436">
        <f>--ISNUMBER(IFERROR(SEARCH($C$5,Inputs!$D1436,1),""))</f>
        <v/>
      </c>
      <c r="B1436">
        <f>IF(A1436=1,COUNTIF($A$6:A1436,1),"")</f>
        <v/>
      </c>
      <c r="C1436">
        <f>IFERROR(INDEX($D$6:$D$1750,MATCH(ROWS($B$6:B1436),$B$6:$B$1750,0)),"")</f>
        <v/>
      </c>
      <c r="D1436">
        <f>J1436&amp;" ("&amp;E1436&amp;")"</f>
        <v/>
      </c>
      <c r="E1436" t="n">
        <v>24336</v>
      </c>
      <c r="F1436" t="inlineStr">
        <is>
          <t>Skilled Nursing and Interm. Care Facility</t>
        </is>
      </c>
      <c r="G1436" t="inlineStr">
        <is>
          <t>710 W 13th Ave</t>
        </is>
      </c>
      <c r="H1436" t="inlineStr">
        <is>
          <t>Escondido</t>
        </is>
      </c>
      <c r="I1436" t="inlineStr">
        <is>
          <t>San Diego</t>
        </is>
      </c>
      <c r="J1436" t="inlineStr">
        <is>
          <t>Redwood Terrace Health Center</t>
        </is>
      </c>
    </row>
    <row r="1437">
      <c r="A1437">
        <f>--ISNUMBER(IFERROR(SEARCH($C$5,Inputs!$D1437,1),""))</f>
        <v/>
      </c>
      <c r="B1437">
        <f>IF(A1437=1,COUNTIF($A$6:A1437,1),"")</f>
        <v/>
      </c>
      <c r="C1437">
        <f>IFERROR(INDEX($D$6:$D$1750,MATCH(ROWS($B$6:B1437),$B$6:$B$1750,0)),"")</f>
        <v/>
      </c>
      <c r="D1437">
        <f>J1437&amp;" ("&amp;E1437&amp;")"</f>
        <v/>
      </c>
      <c r="E1437" t="n">
        <v>24384</v>
      </c>
      <c r="F1437" t="inlineStr">
        <is>
          <t>Skilled Nursing and Interm. Care Facility</t>
        </is>
      </c>
      <c r="G1437" t="inlineStr">
        <is>
          <t>2575 E 8th St</t>
        </is>
      </c>
      <c r="H1437" t="inlineStr">
        <is>
          <t>National City</t>
        </is>
      </c>
      <c r="I1437" t="inlineStr">
        <is>
          <t>San Diego</t>
        </is>
      </c>
      <c r="J1437" t="inlineStr">
        <is>
          <t>Paradise Valley Health Care Center</t>
        </is>
      </c>
    </row>
    <row r="1438">
      <c r="A1438">
        <f>--ISNUMBER(IFERROR(SEARCH($C$5,Inputs!$D1438,1),""))</f>
        <v/>
      </c>
      <c r="B1438">
        <f>IF(A1438=1,COUNTIF($A$6:A1438,1),"")</f>
        <v/>
      </c>
      <c r="C1438">
        <f>IFERROR(INDEX($D$6:$D$1750,MATCH(ROWS($B$6:B1438),$B$6:$B$1750,0)),"")</f>
        <v/>
      </c>
      <c r="D1438">
        <f>J1438&amp;" ("&amp;E1438&amp;")"</f>
        <v/>
      </c>
      <c r="E1438" t="n">
        <v>24412</v>
      </c>
      <c r="F1438" t="inlineStr">
        <is>
          <t>Skilled Nursing and Interm. Care Facility</t>
        </is>
      </c>
      <c r="G1438" t="inlineStr">
        <is>
          <t>1050 San Miguel Rd</t>
        </is>
      </c>
      <c r="H1438" t="inlineStr">
        <is>
          <t>Concord</t>
        </is>
      </c>
      <c r="I1438" t="inlineStr">
        <is>
          <t>Contra Costa</t>
        </is>
      </c>
      <c r="J1438" t="inlineStr">
        <is>
          <t>San Miguel Villa</t>
        </is>
      </c>
    </row>
    <row r="1439">
      <c r="A1439">
        <f>--ISNUMBER(IFERROR(SEARCH($C$5,Inputs!$D1439,1),""))</f>
        <v/>
      </c>
      <c r="B1439">
        <f>IF(A1439=1,COUNTIF($A$6:A1439,1),"")</f>
        <v/>
      </c>
      <c r="C1439">
        <f>IFERROR(INDEX($D$6:$D$1750,MATCH(ROWS($B$6:B1439),$B$6:$B$1750,0)),"")</f>
        <v/>
      </c>
      <c r="D1439">
        <f>J1439&amp;" ("&amp;E1439&amp;")"</f>
        <v/>
      </c>
      <c r="E1439" t="n">
        <v>24519</v>
      </c>
      <c r="F1439" t="inlineStr">
        <is>
          <t>Skilled Nursing and Interm. Care Facility</t>
        </is>
      </c>
      <c r="G1439" t="inlineStr">
        <is>
          <t>580 S San Vincente Blvd</t>
        </is>
      </c>
      <c r="H1439" t="inlineStr">
        <is>
          <t>Los Angeles</t>
        </is>
      </c>
      <c r="I1439" t="inlineStr">
        <is>
          <t>Los Angeles</t>
        </is>
      </c>
      <c r="J1439" t="inlineStr">
        <is>
          <t>Beverly Hills Rehabilitation Centre</t>
        </is>
      </c>
    </row>
    <row r="1440">
      <c r="A1440">
        <f>--ISNUMBER(IFERROR(SEARCH($C$5,Inputs!$D1440,1),""))</f>
        <v/>
      </c>
      <c r="B1440">
        <f>IF(A1440=1,COUNTIF($A$6:A1440,1),"")</f>
        <v/>
      </c>
      <c r="C1440">
        <f>IFERROR(INDEX($D$6:$D$1750,MATCH(ROWS($B$6:B1440),$B$6:$B$1750,0)),"")</f>
        <v/>
      </c>
      <c r="D1440">
        <f>J1440&amp;" ("&amp;E1440&amp;")"</f>
        <v/>
      </c>
      <c r="E1440" t="n">
        <v>24542</v>
      </c>
      <c r="F1440" t="inlineStr">
        <is>
          <t>Skilled Nursing and Interm. Care Facility</t>
        </is>
      </c>
      <c r="G1440" t="inlineStr">
        <is>
          <t>2100 South Western Avenue</t>
        </is>
      </c>
      <c r="H1440" t="inlineStr">
        <is>
          <t>San Pedro</t>
        </is>
      </c>
      <c r="I1440" t="inlineStr">
        <is>
          <t>Los Angeles</t>
        </is>
      </c>
      <c r="J1440" t="inlineStr">
        <is>
          <t>Little Sisters Of The Poor</t>
        </is>
      </c>
    </row>
    <row r="1441">
      <c r="A1441">
        <f>--ISNUMBER(IFERROR(SEARCH($C$5,Inputs!$D1441,1),""))</f>
        <v/>
      </c>
      <c r="B1441">
        <f>IF(A1441=1,COUNTIF($A$6:A1441,1),"")</f>
        <v/>
      </c>
      <c r="C1441">
        <f>IFERROR(INDEX($D$6:$D$1750,MATCH(ROWS($B$6:B1441),$B$6:$B$1750,0)),"")</f>
        <v/>
      </c>
      <c r="D1441">
        <f>J1441&amp;" ("&amp;E1441&amp;")"</f>
        <v/>
      </c>
      <c r="E1441" t="n">
        <v>24561</v>
      </c>
      <c r="F1441" t="inlineStr">
        <is>
          <t>Skilled Nursing and Interm. Care Facility</t>
        </is>
      </c>
      <c r="G1441" t="inlineStr">
        <is>
          <t>100 Barnet Segal Lane</t>
        </is>
      </c>
      <c r="H1441" t="inlineStr">
        <is>
          <t>Monterey</t>
        </is>
      </c>
      <c r="I1441" t="inlineStr">
        <is>
          <t>Monterey</t>
        </is>
      </c>
      <c r="J1441" t="inlineStr">
        <is>
          <t>Westland House</t>
        </is>
      </c>
    </row>
    <row r="1442">
      <c r="A1442">
        <f>--ISNUMBER(IFERROR(SEARCH($C$5,Inputs!$D1442,1),""))</f>
        <v/>
      </c>
      <c r="B1442">
        <f>IF(A1442=1,COUNTIF($A$6:A1442,1),"")</f>
        <v/>
      </c>
      <c r="C1442">
        <f>IFERROR(INDEX($D$6:$D$1750,MATCH(ROWS($B$6:B1442),$B$6:$B$1750,0)),"")</f>
        <v/>
      </c>
      <c r="D1442">
        <f>J1442&amp;" ("&amp;E1442&amp;")"</f>
        <v/>
      </c>
      <c r="E1442" t="n">
        <v>24567</v>
      </c>
      <c r="F1442" t="inlineStr">
        <is>
          <t>Skilled Nursing and Interm. Care Facility</t>
        </is>
      </c>
      <c r="G1442" t="inlineStr">
        <is>
          <t>1855 Miramonte Ave</t>
        </is>
      </c>
      <c r="H1442" t="inlineStr">
        <is>
          <t>Mountain View</t>
        </is>
      </c>
      <c r="I1442" t="inlineStr">
        <is>
          <t>Santa Clara</t>
        </is>
      </c>
      <c r="J1442" t="inlineStr">
        <is>
          <t>Villa Siena</t>
        </is>
      </c>
    </row>
    <row r="1443">
      <c r="A1443">
        <f>--ISNUMBER(IFERROR(SEARCH($C$5,Inputs!$D1443,1),""))</f>
        <v/>
      </c>
      <c r="B1443">
        <f>IF(A1443=1,COUNTIF($A$6:A1443,1),"")</f>
        <v/>
      </c>
      <c r="C1443">
        <f>IFERROR(INDEX($D$6:$D$1750,MATCH(ROWS($B$6:B1443),$B$6:$B$1750,0)),"")</f>
        <v/>
      </c>
      <c r="D1443">
        <f>J1443&amp;" ("&amp;E1443&amp;")"</f>
        <v/>
      </c>
      <c r="E1443" t="n">
        <v>24596</v>
      </c>
      <c r="F1443" t="inlineStr">
        <is>
          <t>Skilled Nursing and Interm. Care Facility</t>
        </is>
      </c>
      <c r="G1443" t="inlineStr">
        <is>
          <t>4444 W Meadow Lane</t>
        </is>
      </c>
      <c r="H1443" t="inlineStr">
        <is>
          <t>Visalia</t>
        </is>
      </c>
      <c r="I1443" t="inlineStr">
        <is>
          <t>Tulare</t>
        </is>
      </c>
      <c r="J1443" t="inlineStr">
        <is>
          <t>Linwood Meadows Care Center</t>
        </is>
      </c>
    </row>
    <row r="1444">
      <c r="A1444">
        <f>--ISNUMBER(IFERROR(SEARCH($C$5,Inputs!$D1444,1),""))</f>
        <v/>
      </c>
      <c r="B1444">
        <f>IF(A1444=1,COUNTIF($A$6:A1444,1),"")</f>
        <v/>
      </c>
      <c r="C1444">
        <f>IFERROR(INDEX($D$6:$D$1750,MATCH(ROWS($B$6:B1444),$B$6:$B$1750,0)),"")</f>
        <v/>
      </c>
      <c r="D1444">
        <f>J1444&amp;" ("&amp;E1444&amp;")"</f>
        <v/>
      </c>
      <c r="E1444" t="n">
        <v>24597</v>
      </c>
      <c r="F1444" t="inlineStr">
        <is>
          <t>Skilled Nursing and Interm. Care Facility</t>
        </is>
      </c>
      <c r="G1444" t="inlineStr">
        <is>
          <t>8425 Iowa St</t>
        </is>
      </c>
      <c r="H1444" t="inlineStr">
        <is>
          <t>Downey</t>
        </is>
      </c>
      <c r="I1444" t="inlineStr">
        <is>
          <t>Los Angeles</t>
        </is>
      </c>
      <c r="J1444" t="inlineStr">
        <is>
          <t>Downey Community Health Center</t>
        </is>
      </c>
    </row>
    <row r="1445">
      <c r="A1445">
        <f>--ISNUMBER(IFERROR(SEARCH($C$5,Inputs!$D1445,1),""))</f>
        <v/>
      </c>
      <c r="B1445">
        <f>IF(A1445=1,COUNTIF($A$6:A1445,1),"")</f>
        <v/>
      </c>
      <c r="C1445">
        <f>IFERROR(INDEX($D$6:$D$1750,MATCH(ROWS($B$6:B1445),$B$6:$B$1750,0)),"")</f>
        <v/>
      </c>
      <c r="D1445">
        <f>J1445&amp;" ("&amp;E1445&amp;")"</f>
        <v/>
      </c>
      <c r="E1445" t="n">
        <v>24600</v>
      </c>
      <c r="F1445" t="inlineStr">
        <is>
          <t>Skilled Nursing and Interm. Care Facility</t>
        </is>
      </c>
      <c r="G1445" t="inlineStr">
        <is>
          <t>2353 23rd St</t>
        </is>
      </c>
      <c r="H1445" t="inlineStr">
        <is>
          <t>Eureka</t>
        </is>
      </c>
      <c r="I1445" t="inlineStr">
        <is>
          <t>Humboldt</t>
        </is>
      </c>
      <c r="J1445" t="inlineStr">
        <is>
          <t>Eureka Rehab &amp; Wellness Center, LP</t>
        </is>
      </c>
    </row>
    <row r="1446">
      <c r="A1446">
        <f>--ISNUMBER(IFERROR(SEARCH($C$5,Inputs!$D1446,1),""))</f>
        <v/>
      </c>
      <c r="B1446">
        <f>IF(A1446=1,COUNTIF($A$6:A1446,1),"")</f>
        <v/>
      </c>
      <c r="C1446">
        <f>IFERROR(INDEX($D$6:$D$1750,MATCH(ROWS($B$6:B1446),$B$6:$B$1750,0)),"")</f>
        <v/>
      </c>
      <c r="D1446">
        <f>J1446&amp;" ("&amp;E1446&amp;")"</f>
        <v/>
      </c>
      <c r="E1446" t="n">
        <v>24646</v>
      </c>
      <c r="F1446" t="inlineStr">
        <is>
          <t>Skilled Nursing and Interm. Care Facility</t>
        </is>
      </c>
      <c r="G1446" t="inlineStr">
        <is>
          <t>450 Hayes Ln</t>
        </is>
      </c>
      <c r="H1446" t="inlineStr">
        <is>
          <t>Petaluma</t>
        </is>
      </c>
      <c r="I1446" t="inlineStr">
        <is>
          <t>Sonoma</t>
        </is>
      </c>
      <c r="J1446" t="inlineStr">
        <is>
          <t>Hillcrest Post Acute</t>
        </is>
      </c>
    </row>
    <row r="1447">
      <c r="A1447">
        <f>--ISNUMBER(IFERROR(SEARCH($C$5,Inputs!$D1447,1),""))</f>
        <v/>
      </c>
      <c r="B1447">
        <f>IF(A1447=1,COUNTIF($A$6:A1447,1),"")</f>
        <v/>
      </c>
      <c r="C1447">
        <f>IFERROR(INDEX($D$6:$D$1750,MATCH(ROWS($B$6:B1447),$B$6:$B$1750,0)),"")</f>
        <v/>
      </c>
      <c r="D1447">
        <f>J1447&amp;" ("&amp;E1447&amp;")"</f>
        <v/>
      </c>
      <c r="E1447" t="n">
        <v>24655</v>
      </c>
      <c r="F1447" t="inlineStr">
        <is>
          <t>Skilled Nursing and Interm. Care Facility</t>
        </is>
      </c>
      <c r="G1447" t="inlineStr">
        <is>
          <t>750 Auburn Ravine Rd</t>
        </is>
      </c>
      <c r="H1447" t="inlineStr">
        <is>
          <t>Auburn</t>
        </is>
      </c>
      <c r="I1447" t="inlineStr">
        <is>
          <t>Placer</t>
        </is>
      </c>
      <c r="J1447" t="inlineStr">
        <is>
          <t>Auburn Ravine Terrace</t>
        </is>
      </c>
    </row>
    <row r="1448">
      <c r="A1448">
        <f>--ISNUMBER(IFERROR(SEARCH($C$5,Inputs!$D1448,1),""))</f>
        <v/>
      </c>
      <c r="B1448">
        <f>IF(A1448=1,COUNTIF($A$6:A1448,1),"")</f>
        <v/>
      </c>
      <c r="C1448">
        <f>IFERROR(INDEX($D$6:$D$1750,MATCH(ROWS($B$6:B1448),$B$6:$B$1750,0)),"")</f>
        <v/>
      </c>
      <c r="D1448">
        <f>J1448&amp;" ("&amp;E1448&amp;")"</f>
        <v/>
      </c>
      <c r="E1448" t="n">
        <v>24714</v>
      </c>
      <c r="F1448" t="inlineStr">
        <is>
          <t>Skilled Nursing and Interm. Care Facility</t>
        </is>
      </c>
      <c r="G1448" t="inlineStr">
        <is>
          <t>1975 Tice Valley Boulevard</t>
        </is>
      </c>
      <c r="H1448" t="inlineStr">
        <is>
          <t>Walnut Creek</t>
        </is>
      </c>
      <c r="I1448" t="inlineStr">
        <is>
          <t>Contra Costa</t>
        </is>
      </c>
      <c r="J1448" t="inlineStr">
        <is>
          <t>Manorcare Health Services - Tice Valley</t>
        </is>
      </c>
    </row>
    <row r="1449">
      <c r="A1449">
        <f>--ISNUMBER(IFERROR(SEARCH($C$5,Inputs!$D1449,1),""))</f>
        <v/>
      </c>
      <c r="B1449">
        <f>IF(A1449=1,COUNTIF($A$6:A1449,1),"")</f>
        <v/>
      </c>
      <c r="C1449">
        <f>IFERROR(INDEX($D$6:$D$1750,MATCH(ROWS($B$6:B1449),$B$6:$B$1750,0)),"")</f>
        <v/>
      </c>
      <c r="D1449">
        <f>J1449&amp;" ("&amp;E1449&amp;")"</f>
        <v/>
      </c>
      <c r="E1449" t="n">
        <v>24740</v>
      </c>
      <c r="F1449" t="inlineStr">
        <is>
          <t>Skilled Nursing and Interm. Care Facility</t>
        </is>
      </c>
      <c r="G1449" t="inlineStr">
        <is>
          <t>2018 N Del Rosa Ave</t>
        </is>
      </c>
      <c r="H1449" t="inlineStr">
        <is>
          <t>San Bernardino</t>
        </is>
      </c>
      <c r="I1449" t="inlineStr">
        <is>
          <t>San Bernardino</t>
        </is>
      </c>
      <c r="J1449" t="inlineStr">
        <is>
          <t>Del Rosa Villa</t>
        </is>
      </c>
    </row>
    <row r="1450">
      <c r="A1450">
        <f>--ISNUMBER(IFERROR(SEARCH($C$5,Inputs!$D1450,1),""))</f>
        <v/>
      </c>
      <c r="B1450">
        <f>IF(A1450=1,COUNTIF($A$6:A1450,1),"")</f>
        <v/>
      </c>
      <c r="C1450">
        <f>IFERROR(INDEX($D$6:$D$1750,MATCH(ROWS($B$6:B1450),$B$6:$B$1750,0)),"")</f>
        <v/>
      </c>
      <c r="D1450">
        <f>J1450&amp;" ("&amp;E1450&amp;")"</f>
        <v/>
      </c>
      <c r="E1450" t="n">
        <v>24741</v>
      </c>
      <c r="F1450" t="inlineStr">
        <is>
          <t>Skilled Nursing and Interm. Care Facility</t>
        </is>
      </c>
      <c r="G1450" t="inlineStr">
        <is>
          <t>15632 Pomerado Rd</t>
        </is>
      </c>
      <c r="H1450" t="inlineStr">
        <is>
          <t>Poway</t>
        </is>
      </c>
      <c r="I1450" t="inlineStr">
        <is>
          <t>San Diego</t>
        </is>
      </c>
      <c r="J1450" t="inlineStr">
        <is>
          <t>Poway Healthcare Center</t>
        </is>
      </c>
    </row>
    <row r="1451">
      <c r="A1451">
        <f>--ISNUMBER(IFERROR(SEARCH($C$5,Inputs!$D1451,1),""))</f>
        <v/>
      </c>
      <c r="B1451">
        <f>IF(A1451=1,COUNTIF($A$6:A1451,1),"")</f>
        <v/>
      </c>
      <c r="C1451">
        <f>IFERROR(INDEX($D$6:$D$1750,MATCH(ROWS($B$6:B1451),$B$6:$B$1750,0)),"")</f>
        <v/>
      </c>
      <c r="D1451">
        <f>J1451&amp;" ("&amp;E1451&amp;")"</f>
        <v/>
      </c>
      <c r="E1451" t="n">
        <v>24766</v>
      </c>
      <c r="F1451" t="inlineStr">
        <is>
          <t>Skilled Nursing and Interm. Care Facility</t>
        </is>
      </c>
      <c r="G1451" t="inlineStr">
        <is>
          <t>235 Nutmeg St</t>
        </is>
      </c>
      <c r="H1451" t="inlineStr">
        <is>
          <t>San Diego</t>
        </is>
      </c>
      <c r="I1451" t="inlineStr">
        <is>
          <t>San Diego</t>
        </is>
      </c>
      <c r="J1451" t="inlineStr">
        <is>
          <t>St. Paul's Health Care Center</t>
        </is>
      </c>
    </row>
    <row r="1452">
      <c r="A1452">
        <f>--ISNUMBER(IFERROR(SEARCH($C$5,Inputs!$D1452,1),""))</f>
        <v/>
      </c>
      <c r="B1452">
        <f>IF(A1452=1,COUNTIF($A$6:A1452,1),"")</f>
        <v/>
      </c>
      <c r="C1452">
        <f>IFERROR(INDEX($D$6:$D$1750,MATCH(ROWS($B$6:B1452),$B$6:$B$1750,0)),"")</f>
        <v/>
      </c>
      <c r="D1452">
        <f>J1452&amp;" ("&amp;E1452&amp;")"</f>
        <v/>
      </c>
      <c r="E1452" t="n">
        <v>24791</v>
      </c>
      <c r="F1452" t="inlineStr">
        <is>
          <t>Skilled Nursing and Interm. Care Facility</t>
        </is>
      </c>
      <c r="G1452" t="inlineStr">
        <is>
          <t>3300 Franklin St</t>
        </is>
      </c>
      <c r="H1452" t="inlineStr">
        <is>
          <t>Anderson</t>
        </is>
      </c>
      <c r="I1452" t="inlineStr">
        <is>
          <t>Shasta</t>
        </is>
      </c>
      <c r="J1452" t="inlineStr">
        <is>
          <t>Oak River Rehab</t>
        </is>
      </c>
    </row>
    <row r="1453">
      <c r="A1453">
        <f>--ISNUMBER(IFERROR(SEARCH($C$5,Inputs!$D1453,1),""))</f>
        <v/>
      </c>
      <c r="B1453">
        <f>IF(A1453=1,COUNTIF($A$6:A1453,1),"")</f>
        <v/>
      </c>
      <c r="C1453">
        <f>IFERROR(INDEX($D$6:$D$1750,MATCH(ROWS($B$6:B1453),$B$6:$B$1750,0)),"")</f>
        <v/>
      </c>
      <c r="D1453">
        <f>J1453&amp;" ("&amp;E1453&amp;")"</f>
        <v/>
      </c>
      <c r="E1453" t="n">
        <v>24830</v>
      </c>
      <c r="F1453" t="inlineStr">
        <is>
          <t>Skilled Nursing and Interm. Care Facility</t>
        </is>
      </c>
      <c r="G1453" t="inlineStr">
        <is>
          <t>1224 Rossmoor Parkway</t>
        </is>
      </c>
      <c r="H1453" t="inlineStr">
        <is>
          <t>Walnut Creek</t>
        </is>
      </c>
      <c r="I1453" t="inlineStr">
        <is>
          <t>Contra Costa</t>
        </is>
      </c>
      <c r="J1453" t="inlineStr">
        <is>
          <t>Walnut Creek Skilled Nursing &amp; Rehabilitation Center</t>
        </is>
      </c>
    </row>
    <row r="1454">
      <c r="A1454">
        <f>--ISNUMBER(IFERROR(SEARCH($C$5,Inputs!$D1454,1),""))</f>
        <v/>
      </c>
      <c r="B1454">
        <f>IF(A1454=1,COUNTIF($A$6:A1454,1),"")</f>
        <v/>
      </c>
      <c r="C1454">
        <f>IFERROR(INDEX($D$6:$D$1750,MATCH(ROWS($B$6:B1454),$B$6:$B$1750,0)),"")</f>
        <v/>
      </c>
      <c r="D1454">
        <f>J1454&amp;" ("&amp;E1454&amp;")"</f>
        <v/>
      </c>
      <c r="E1454" t="n">
        <v>24847</v>
      </c>
      <c r="F1454" t="inlineStr">
        <is>
          <t>Skilled Nursing and Interm. Care Facility</t>
        </is>
      </c>
      <c r="G1454" t="inlineStr">
        <is>
          <t>11300 Fair Oaks Blvd</t>
        </is>
      </c>
      <c r="H1454" t="inlineStr">
        <is>
          <t>Fair Oaks</t>
        </is>
      </c>
      <c r="I1454" t="inlineStr">
        <is>
          <t>Sacramento</t>
        </is>
      </c>
      <c r="J1454" t="inlineStr">
        <is>
          <t>Eskaton Care Center Fair Oaks</t>
        </is>
      </c>
    </row>
    <row r="1455">
      <c r="A1455">
        <f>--ISNUMBER(IFERROR(SEARCH($C$5,Inputs!$D1455,1),""))</f>
        <v/>
      </c>
      <c r="B1455">
        <f>IF(A1455=1,COUNTIF($A$6:A1455,1),"")</f>
        <v/>
      </c>
      <c r="C1455">
        <f>IFERROR(INDEX($D$6:$D$1750,MATCH(ROWS($B$6:B1455),$B$6:$B$1750,0)),"")</f>
        <v/>
      </c>
      <c r="D1455">
        <f>J1455&amp;" ("&amp;E1455&amp;")"</f>
        <v/>
      </c>
      <c r="E1455" t="n">
        <v>24961</v>
      </c>
      <c r="F1455" t="inlineStr">
        <is>
          <t>Skilled Nursing and Interm. Care Facility</t>
        </is>
      </c>
      <c r="G1455" t="inlineStr">
        <is>
          <t>3110 Wagner Heights Rd</t>
        </is>
      </c>
      <c r="H1455" t="inlineStr">
        <is>
          <t>Stockton</t>
        </is>
      </c>
      <c r="I1455" t="inlineStr">
        <is>
          <t>San Joaquin</t>
        </is>
      </c>
      <c r="J1455" t="inlineStr">
        <is>
          <t>Meadowood A Health &amp; Rehabilitation Center</t>
        </is>
      </c>
    </row>
    <row r="1456">
      <c r="A1456">
        <f>--ISNUMBER(IFERROR(SEARCH($C$5,Inputs!$D1456,1),""))</f>
        <v/>
      </c>
      <c r="B1456">
        <f>IF(A1456=1,COUNTIF($A$6:A1456,1),"")</f>
        <v/>
      </c>
      <c r="C1456">
        <f>IFERROR(INDEX($D$6:$D$1750,MATCH(ROWS($B$6:B1456),$B$6:$B$1750,0)),"")</f>
        <v/>
      </c>
      <c r="D1456">
        <f>J1456&amp;" ("&amp;E1456&amp;")"</f>
        <v/>
      </c>
      <c r="E1456" t="n">
        <v>25017</v>
      </c>
      <c r="F1456" t="inlineStr">
        <is>
          <t>Skilled Nursing and Interm. Care Facility</t>
        </is>
      </c>
      <c r="G1456" t="inlineStr">
        <is>
          <t>1661 Pine St</t>
        </is>
      </c>
      <c r="H1456" t="inlineStr">
        <is>
          <t>San Francisco</t>
        </is>
      </c>
      <c r="I1456" t="inlineStr">
        <is>
          <t>San Francisco</t>
        </is>
      </c>
      <c r="J1456" t="inlineStr">
        <is>
          <t>San Francisco Towers</t>
        </is>
      </c>
    </row>
    <row r="1457">
      <c r="A1457">
        <f>--ISNUMBER(IFERROR(SEARCH($C$5,Inputs!$D1457,1),""))</f>
        <v/>
      </c>
      <c r="B1457">
        <f>IF(A1457=1,COUNTIF($A$6:A1457,1),"")</f>
        <v/>
      </c>
      <c r="C1457">
        <f>IFERROR(INDEX($D$6:$D$1750,MATCH(ROWS($B$6:B1457),$B$6:$B$1750,0)),"")</f>
        <v/>
      </c>
      <c r="D1457">
        <f>J1457&amp;" ("&amp;E1457&amp;")"</f>
        <v/>
      </c>
      <c r="E1457" t="n">
        <v>25164</v>
      </c>
      <c r="F1457" t="inlineStr">
        <is>
          <t>Skilled Nursing and Interm. Care Facility</t>
        </is>
      </c>
      <c r="G1457" t="inlineStr">
        <is>
          <t>6248 66th Ave</t>
        </is>
      </c>
      <c r="H1457" t="inlineStr">
        <is>
          <t>Sacramento</t>
        </is>
      </c>
      <c r="I1457" t="inlineStr">
        <is>
          <t>Sacramento</t>
        </is>
      </c>
      <c r="J1457" t="inlineStr">
        <is>
          <t>City Creek Post Acute</t>
        </is>
      </c>
    </row>
    <row r="1458">
      <c r="A1458">
        <f>--ISNUMBER(IFERROR(SEARCH($C$5,Inputs!$D1458,1),""))</f>
        <v/>
      </c>
      <c r="B1458">
        <f>IF(A1458=1,COUNTIF($A$6:A1458,1),"")</f>
        <v/>
      </c>
      <c r="C1458">
        <f>IFERROR(INDEX($D$6:$D$1750,MATCH(ROWS($B$6:B1458),$B$6:$B$1750,0)),"")</f>
        <v/>
      </c>
      <c r="D1458">
        <f>J1458&amp;" ("&amp;E1458&amp;")"</f>
        <v/>
      </c>
      <c r="E1458" t="n">
        <v>25194</v>
      </c>
      <c r="F1458" t="inlineStr">
        <is>
          <t>Skilled Nursing and Interm. Care Facility</t>
        </is>
      </c>
      <c r="G1458" t="inlineStr">
        <is>
          <t>3275 Villa Ln</t>
        </is>
      </c>
      <c r="H1458" t="inlineStr">
        <is>
          <t>Napa</t>
        </is>
      </c>
      <c r="I1458" t="inlineStr">
        <is>
          <t>Napa</t>
        </is>
      </c>
      <c r="J1458" t="inlineStr">
        <is>
          <t>Napa Valley Care Center</t>
        </is>
      </c>
    </row>
    <row r="1459">
      <c r="A1459">
        <f>--ISNUMBER(IFERROR(SEARCH($C$5,Inputs!$D1459,1),""))</f>
        <v/>
      </c>
      <c r="B1459">
        <f>IF(A1459=1,COUNTIF($A$6:A1459,1),"")</f>
        <v/>
      </c>
      <c r="C1459">
        <f>IFERROR(INDEX($D$6:$D$1750,MATCH(ROWS($B$6:B1459),$B$6:$B$1750,0)),"")</f>
        <v/>
      </c>
      <c r="D1459">
        <f>J1459&amp;" ("&amp;E1459&amp;")"</f>
        <v/>
      </c>
      <c r="E1459" t="n">
        <v>25217</v>
      </c>
      <c r="F1459" t="inlineStr">
        <is>
          <t>Skilled Nursing and Interm. Care Facility</t>
        </is>
      </c>
      <c r="G1459" t="inlineStr">
        <is>
          <t>900 N Church St</t>
        </is>
      </c>
      <c r="H1459" t="inlineStr">
        <is>
          <t>Lodi</t>
        </is>
      </c>
      <c r="I1459" t="inlineStr">
        <is>
          <t>San Joaquin</t>
        </is>
      </c>
      <c r="J1459" t="inlineStr">
        <is>
          <t>Arbor Rehabilitation &amp; Nursing Center</t>
        </is>
      </c>
    </row>
    <row r="1460">
      <c r="A1460">
        <f>--ISNUMBER(IFERROR(SEARCH($C$5,Inputs!$D1460,1),""))</f>
        <v/>
      </c>
      <c r="B1460">
        <f>IF(A1460=1,COUNTIF($A$6:A1460,1),"")</f>
        <v/>
      </c>
      <c r="C1460">
        <f>IFERROR(INDEX($D$6:$D$1750,MATCH(ROWS($B$6:B1460),$B$6:$B$1750,0)),"")</f>
        <v/>
      </c>
      <c r="D1460">
        <f>J1460&amp;" ("&amp;E1460&amp;")"</f>
        <v/>
      </c>
      <c r="E1460" t="n">
        <v>25218</v>
      </c>
      <c r="F1460" t="inlineStr">
        <is>
          <t>Skilled Nursing and Interm. Care Facility</t>
        </is>
      </c>
      <c r="G1460" t="inlineStr">
        <is>
          <t>437 Webster Street</t>
        </is>
      </c>
      <c r="H1460" t="inlineStr">
        <is>
          <t>Palo Alto</t>
        </is>
      </c>
      <c r="I1460" t="inlineStr">
        <is>
          <t>Santa Clara</t>
        </is>
      </c>
      <c r="J1460" t="inlineStr">
        <is>
          <t>Webster House</t>
        </is>
      </c>
    </row>
    <row r="1461">
      <c r="A1461">
        <f>--ISNUMBER(IFERROR(SEARCH($C$5,Inputs!$D1461,1),""))</f>
        <v/>
      </c>
      <c r="B1461">
        <f>IF(A1461=1,COUNTIF($A$6:A1461,1),"")</f>
        <v/>
      </c>
      <c r="C1461">
        <f>IFERROR(INDEX($D$6:$D$1750,MATCH(ROWS($B$6:B1461),$B$6:$B$1750,0)),"")</f>
        <v/>
      </c>
      <c r="D1461">
        <f>J1461&amp;" ("&amp;E1461&amp;")"</f>
        <v/>
      </c>
      <c r="E1461" t="n">
        <v>25219</v>
      </c>
      <c r="F1461" t="inlineStr">
        <is>
          <t>Skilled Nursing and Interm. Care Facility</t>
        </is>
      </c>
      <c r="G1461" t="inlineStr">
        <is>
          <t>5801 W Crestridge Rd</t>
        </is>
      </c>
      <c r="H1461" t="inlineStr">
        <is>
          <t>Rancho Palos Verdes</t>
        </is>
      </c>
      <c r="I1461" t="inlineStr">
        <is>
          <t>Los Angeles</t>
        </is>
      </c>
      <c r="J1461" t="inlineStr">
        <is>
          <t>The Canterbury</t>
        </is>
      </c>
    </row>
    <row r="1462">
      <c r="A1462">
        <f>--ISNUMBER(IFERROR(SEARCH($C$5,Inputs!$D1462,1),""))</f>
        <v/>
      </c>
      <c r="B1462">
        <f>IF(A1462=1,COUNTIF($A$6:A1462,1),"")</f>
        <v/>
      </c>
      <c r="C1462">
        <f>IFERROR(INDEX($D$6:$D$1750,MATCH(ROWS($B$6:B1462),$B$6:$B$1750,0)),"")</f>
        <v/>
      </c>
      <c r="D1462">
        <f>J1462&amp;" ("&amp;E1462&amp;")"</f>
        <v/>
      </c>
      <c r="E1462" t="n">
        <v>25296</v>
      </c>
      <c r="F1462" t="inlineStr">
        <is>
          <t>Skilled Nursing and Interm. Care Facility</t>
        </is>
      </c>
      <c r="G1462" t="inlineStr">
        <is>
          <t>6835 Hazeltine St</t>
        </is>
      </c>
      <c r="H1462" t="inlineStr">
        <is>
          <t>Van Nuys</t>
        </is>
      </c>
      <c r="I1462" t="inlineStr">
        <is>
          <t>Los Angeles</t>
        </is>
      </c>
      <c r="J1462" t="inlineStr">
        <is>
          <t>The Care Center On Hazeltine, LLC</t>
        </is>
      </c>
    </row>
    <row r="1463">
      <c r="A1463">
        <f>--ISNUMBER(IFERROR(SEARCH($C$5,Inputs!$D1463,1),""))</f>
        <v/>
      </c>
      <c r="B1463">
        <f>IF(A1463=1,COUNTIF($A$6:A1463,1),"")</f>
        <v/>
      </c>
      <c r="C1463">
        <f>IFERROR(INDEX($D$6:$D$1750,MATCH(ROWS($B$6:B1463),$B$6:$B$1750,0)),"")</f>
        <v/>
      </c>
      <c r="D1463">
        <f>J1463&amp;" ("&amp;E1463&amp;")"</f>
        <v/>
      </c>
      <c r="E1463" t="n">
        <v>25383</v>
      </c>
      <c r="F1463" t="inlineStr">
        <is>
          <t>Skilled Nursing and Interm. Care Facility</t>
        </is>
      </c>
      <c r="G1463" t="inlineStr">
        <is>
          <t>3431 Foothill Boulevard</t>
        </is>
      </c>
      <c r="H1463" t="inlineStr">
        <is>
          <t>Oakland</t>
        </is>
      </c>
      <c r="I1463" t="inlineStr">
        <is>
          <t>Alameda</t>
        </is>
      </c>
      <c r="J1463" t="inlineStr">
        <is>
          <t>Mercy Retirement &amp; Care Center</t>
        </is>
      </c>
    </row>
    <row r="1464">
      <c r="A1464">
        <f>--ISNUMBER(IFERROR(SEARCH($C$5,Inputs!$D1464,1),""))</f>
        <v/>
      </c>
      <c r="B1464">
        <f>IF(A1464=1,COUNTIF($A$6:A1464,1),"")</f>
        <v/>
      </c>
      <c r="C1464">
        <f>IFERROR(INDEX($D$6:$D$1750,MATCH(ROWS($B$6:B1464),$B$6:$B$1750,0)),"")</f>
        <v/>
      </c>
      <c r="D1464">
        <f>J1464&amp;" ("&amp;E1464&amp;")"</f>
        <v/>
      </c>
      <c r="E1464" t="n">
        <v>25394</v>
      </c>
      <c r="F1464" t="inlineStr">
        <is>
          <t>Skilled Nursing and Interm. Care Facility</t>
        </is>
      </c>
      <c r="G1464" t="inlineStr">
        <is>
          <t>2633 W Rumble Rd</t>
        </is>
      </c>
      <c r="H1464" t="inlineStr">
        <is>
          <t>Modesto</t>
        </is>
      </c>
      <c r="I1464" t="inlineStr">
        <is>
          <t>Stanislaus</t>
        </is>
      </c>
      <c r="J1464" t="inlineStr">
        <is>
          <t>English Oaks Convalescent &amp; Rehabilitation Hospital</t>
        </is>
      </c>
    </row>
    <row r="1465">
      <c r="A1465">
        <f>--ISNUMBER(IFERROR(SEARCH($C$5,Inputs!$D1465,1),""))</f>
        <v/>
      </c>
      <c r="B1465">
        <f>IF(A1465=1,COUNTIF($A$6:A1465,1),"")</f>
        <v/>
      </c>
      <c r="C1465">
        <f>IFERROR(INDEX($D$6:$D$1750,MATCH(ROWS($B$6:B1465),$B$6:$B$1750,0)),"")</f>
        <v/>
      </c>
      <c r="D1465">
        <f>J1465&amp;" ("&amp;E1465&amp;")"</f>
        <v/>
      </c>
      <c r="E1465" t="n">
        <v>25408</v>
      </c>
      <c r="F1465" t="inlineStr">
        <is>
          <t>Skilled Nursing and Interm. Care Facility</t>
        </is>
      </c>
      <c r="G1465" t="inlineStr">
        <is>
          <t>19191 Harvard Ave</t>
        </is>
      </c>
      <c r="H1465" t="inlineStr">
        <is>
          <t>Irvine</t>
        </is>
      </c>
      <c r="I1465" t="inlineStr">
        <is>
          <t>Orange</t>
        </is>
      </c>
      <c r="J1465" t="inlineStr">
        <is>
          <t>Regents Point - Windcrest</t>
        </is>
      </c>
    </row>
    <row r="1466">
      <c r="A1466">
        <f>--ISNUMBER(IFERROR(SEARCH($C$5,Inputs!$D1466,1),""))</f>
        <v/>
      </c>
      <c r="B1466">
        <f>IF(A1466=1,COUNTIF($A$6:A1466,1),"")</f>
        <v/>
      </c>
      <c r="C1466">
        <f>IFERROR(INDEX($D$6:$D$1750,MATCH(ROWS($B$6:B1466),$B$6:$B$1750,0)),"")</f>
        <v/>
      </c>
      <c r="D1466">
        <f>J1466&amp;" ("&amp;E1466&amp;")"</f>
        <v/>
      </c>
      <c r="E1466" t="n">
        <v>25415</v>
      </c>
      <c r="F1466" t="inlineStr">
        <is>
          <t>Skilled Nursing and Interm. Care Facility</t>
        </is>
      </c>
      <c r="G1466" t="inlineStr">
        <is>
          <t>4301 Golden Center Dr</t>
        </is>
      </c>
      <c r="H1466" t="inlineStr">
        <is>
          <t>Placerville</t>
        </is>
      </c>
      <c r="I1466" t="inlineStr">
        <is>
          <t>El Dorado</t>
        </is>
      </c>
      <c r="J1466" t="inlineStr">
        <is>
          <t>Gold Country Health Center</t>
        </is>
      </c>
    </row>
    <row r="1467">
      <c r="A1467">
        <f>--ISNUMBER(IFERROR(SEARCH($C$5,Inputs!$D1467,1),""))</f>
        <v/>
      </c>
      <c r="B1467">
        <f>IF(A1467=1,COUNTIF($A$6:A1467,1),"")</f>
        <v/>
      </c>
      <c r="C1467">
        <f>IFERROR(INDEX($D$6:$D$1750,MATCH(ROWS($B$6:B1467),$B$6:$B$1750,0)),"")</f>
        <v/>
      </c>
      <c r="D1467">
        <f>J1467&amp;" ("&amp;E1467&amp;")"</f>
        <v/>
      </c>
      <c r="E1467" t="n">
        <v>25429</v>
      </c>
      <c r="F1467" t="inlineStr">
        <is>
          <t>Skilled Nursing and Interm. Care Facility</t>
        </is>
      </c>
      <c r="G1467" t="inlineStr">
        <is>
          <t>100 Thorndale Dr</t>
        </is>
      </c>
      <c r="H1467" t="inlineStr">
        <is>
          <t>San Rafael</t>
        </is>
      </c>
      <c r="I1467" t="inlineStr">
        <is>
          <t>Marin</t>
        </is>
      </c>
      <c r="J1467" t="inlineStr">
        <is>
          <t>Villa Marin Retirement Residences</t>
        </is>
      </c>
    </row>
    <row r="1468">
      <c r="A1468">
        <f>--ISNUMBER(IFERROR(SEARCH($C$5,Inputs!$D1468,1),""))</f>
        <v/>
      </c>
      <c r="B1468">
        <f>IF(A1468=1,COUNTIF($A$6:A1468,1),"")</f>
        <v/>
      </c>
      <c r="C1468">
        <f>IFERROR(INDEX($D$6:$D$1750,MATCH(ROWS($B$6:B1468),$B$6:$B$1750,0)),"")</f>
        <v/>
      </c>
      <c r="D1468">
        <f>J1468&amp;" ("&amp;E1468&amp;")"</f>
        <v/>
      </c>
      <c r="E1468" t="n">
        <v>25493</v>
      </c>
      <c r="F1468" t="inlineStr">
        <is>
          <t>Skilled Nursing and Interm. Care Facility</t>
        </is>
      </c>
      <c r="G1468" t="inlineStr">
        <is>
          <t>323 Campus Dr</t>
        </is>
      </c>
      <c r="H1468" t="inlineStr">
        <is>
          <t>Arvin</t>
        </is>
      </c>
      <c r="I1468" t="inlineStr">
        <is>
          <t>Kern</t>
        </is>
      </c>
      <c r="J1468" t="inlineStr">
        <is>
          <t>Windsor Post-Acute Center Of Arvin</t>
        </is>
      </c>
    </row>
    <row r="1469">
      <c r="A1469">
        <f>--ISNUMBER(IFERROR(SEARCH($C$5,Inputs!$D1469,1),""))</f>
        <v/>
      </c>
      <c r="B1469">
        <f>IF(A1469=1,COUNTIF($A$6:A1469,1),"")</f>
        <v/>
      </c>
      <c r="C1469">
        <f>IFERROR(INDEX($D$6:$D$1750,MATCH(ROWS($B$6:B1469),$B$6:$B$1750,0)),"")</f>
        <v/>
      </c>
      <c r="D1469">
        <f>J1469&amp;" ("&amp;E1469&amp;")"</f>
        <v/>
      </c>
      <c r="E1469" t="n">
        <v>25517</v>
      </c>
      <c r="F1469" t="inlineStr">
        <is>
          <t>Skilled Nursing and Interm. Care Facility</t>
        </is>
      </c>
      <c r="G1469" t="inlineStr">
        <is>
          <t>8515 Cholla Avenue</t>
        </is>
      </c>
      <c r="H1469" t="inlineStr">
        <is>
          <t>Yucca Valley</t>
        </is>
      </c>
      <c r="I1469" t="inlineStr">
        <is>
          <t>San Bernardino</t>
        </is>
      </c>
      <c r="J1469" t="inlineStr">
        <is>
          <t>Valley Care Center</t>
        </is>
      </c>
    </row>
    <row r="1470">
      <c r="A1470">
        <f>--ISNUMBER(IFERROR(SEARCH($C$5,Inputs!$D1470,1),""))</f>
        <v/>
      </c>
      <c r="B1470">
        <f>IF(A1470=1,COUNTIF($A$6:A1470,1),"")</f>
        <v/>
      </c>
      <c r="C1470">
        <f>IFERROR(INDEX($D$6:$D$1750,MATCH(ROWS($B$6:B1470),$B$6:$B$1750,0)),"")</f>
        <v/>
      </c>
      <c r="D1470">
        <f>J1470&amp;" ("&amp;E1470&amp;")"</f>
        <v/>
      </c>
      <c r="E1470" t="n">
        <v>25519</v>
      </c>
      <c r="F1470" t="inlineStr">
        <is>
          <t>Skilled Nursing and Interm. Care Facility</t>
        </is>
      </c>
      <c r="G1470" t="inlineStr">
        <is>
          <t>4525 W Tulare Ave</t>
        </is>
      </c>
      <c r="H1470" t="inlineStr">
        <is>
          <t>Visalia</t>
        </is>
      </c>
      <c r="I1470" t="inlineStr">
        <is>
          <t>Tulare</t>
        </is>
      </c>
      <c r="J1470" t="inlineStr">
        <is>
          <t>Westgate Gardens Care Center</t>
        </is>
      </c>
    </row>
    <row r="1471">
      <c r="A1471">
        <f>--ISNUMBER(IFERROR(SEARCH($C$5,Inputs!$D1471,1),""))</f>
        <v/>
      </c>
      <c r="B1471">
        <f>IF(A1471=1,COUNTIF($A$6:A1471,1),"")</f>
        <v/>
      </c>
      <c r="C1471">
        <f>IFERROR(INDEX($D$6:$D$1750,MATCH(ROWS($B$6:B1471),$B$6:$B$1750,0)),"")</f>
        <v/>
      </c>
      <c r="D1471">
        <f>J1471&amp;" ("&amp;E1471&amp;")"</f>
        <v/>
      </c>
      <c r="E1471" t="n">
        <v>25561</v>
      </c>
      <c r="F1471" t="inlineStr">
        <is>
          <t>Skilled Nursing and Interm. Care Facility</t>
        </is>
      </c>
      <c r="G1471" t="inlineStr">
        <is>
          <t>12696 Monte Vista Rd</t>
        </is>
      </c>
      <c r="H1471" t="inlineStr">
        <is>
          <t>Poway</t>
        </is>
      </c>
      <c r="I1471" t="inlineStr">
        <is>
          <t>San Diego</t>
        </is>
      </c>
      <c r="J1471" t="inlineStr">
        <is>
          <t>Boulder Creek Post Acute</t>
        </is>
      </c>
    </row>
    <row r="1472">
      <c r="A1472">
        <f>--ISNUMBER(IFERROR(SEARCH($C$5,Inputs!$D1472,1),""))</f>
        <v/>
      </c>
      <c r="B1472">
        <f>IF(A1472=1,COUNTIF($A$6:A1472,1),"")</f>
        <v/>
      </c>
      <c r="C1472">
        <f>IFERROR(INDEX($D$6:$D$1750,MATCH(ROWS($B$6:B1472),$B$6:$B$1750,0)),"")</f>
        <v/>
      </c>
      <c r="D1472">
        <f>J1472&amp;" ("&amp;E1472&amp;")"</f>
        <v/>
      </c>
      <c r="E1472" t="n">
        <v>25580</v>
      </c>
      <c r="F1472" t="inlineStr">
        <is>
          <t>Skilled Nursing and Interm. Care Facility</t>
        </is>
      </c>
      <c r="G1472" t="inlineStr">
        <is>
          <t>206 Hospital Cir</t>
        </is>
      </c>
      <c r="H1472" t="inlineStr">
        <is>
          <t>Westminster</t>
        </is>
      </c>
      <c r="I1472" t="inlineStr">
        <is>
          <t>Orange</t>
        </is>
      </c>
      <c r="J1472" t="inlineStr">
        <is>
          <t>Extended Care Hospital Of Westminster</t>
        </is>
      </c>
    </row>
    <row r="1473">
      <c r="A1473">
        <f>--ISNUMBER(IFERROR(SEARCH($C$5,Inputs!$D1473,1),""))</f>
        <v/>
      </c>
      <c r="B1473">
        <f>IF(A1473=1,COUNTIF($A$6:A1473,1),"")</f>
        <v/>
      </c>
      <c r="C1473">
        <f>IFERROR(INDEX($D$6:$D$1750,MATCH(ROWS($B$6:B1473),$B$6:$B$1750,0)),"")</f>
        <v/>
      </c>
      <c r="D1473">
        <f>J1473&amp;" ("&amp;E1473&amp;")"</f>
        <v/>
      </c>
      <c r="E1473" t="n">
        <v>25605</v>
      </c>
      <c r="F1473" t="inlineStr">
        <is>
          <t>Skilled Nursing and Interm. Care Facility</t>
        </is>
      </c>
      <c r="G1473" t="inlineStr">
        <is>
          <t>944 Regal Rd</t>
        </is>
      </c>
      <c r="H1473" t="inlineStr">
        <is>
          <t>Encinitas</t>
        </is>
      </c>
      <c r="I1473" t="inlineStr">
        <is>
          <t>San Diego</t>
        </is>
      </c>
      <c r="J1473" t="inlineStr">
        <is>
          <t>Aviara Healthcare Center</t>
        </is>
      </c>
    </row>
    <row r="1474">
      <c r="A1474">
        <f>--ISNUMBER(IFERROR(SEARCH($C$5,Inputs!$D1474,1),""))</f>
        <v/>
      </c>
      <c r="B1474">
        <f>IF(A1474=1,COUNTIF($A$6:A1474,1),"")</f>
        <v/>
      </c>
      <c r="C1474">
        <f>IFERROR(INDEX($D$6:$D$1750,MATCH(ROWS($B$6:B1474),$B$6:$B$1750,0)),"")</f>
        <v/>
      </c>
      <c r="D1474">
        <f>J1474&amp;" ("&amp;E1474&amp;")"</f>
        <v/>
      </c>
      <c r="E1474" t="n">
        <v>25623</v>
      </c>
      <c r="F1474" t="inlineStr">
        <is>
          <t>Skilled Nursing and Interm. Care Facility</t>
        </is>
      </c>
      <c r="G1474" t="inlineStr">
        <is>
          <t>2600 S Main St</t>
        </is>
      </c>
      <c r="H1474" t="inlineStr">
        <is>
          <t>Corona</t>
        </is>
      </c>
      <c r="I1474" t="inlineStr">
        <is>
          <t>Riverside</t>
        </is>
      </c>
      <c r="J1474" t="inlineStr">
        <is>
          <t>Corona Post Acute Center</t>
        </is>
      </c>
    </row>
    <row r="1475">
      <c r="A1475">
        <f>--ISNUMBER(IFERROR(SEARCH($C$5,Inputs!$D1475,1),""))</f>
        <v/>
      </c>
      <c r="B1475">
        <f>IF(A1475=1,COUNTIF($A$6:A1475,1),"")</f>
        <v/>
      </c>
      <c r="C1475">
        <f>IFERROR(INDEX($D$6:$D$1750,MATCH(ROWS($B$6:B1475),$B$6:$B$1750,0)),"")</f>
        <v/>
      </c>
      <c r="D1475">
        <f>J1475&amp;" ("&amp;E1475&amp;")"</f>
        <v/>
      </c>
      <c r="E1475" t="n">
        <v>25635</v>
      </c>
      <c r="F1475" t="inlineStr">
        <is>
          <t>Skilled Nursing and Interm. Care Facility</t>
        </is>
      </c>
      <c r="G1475" t="inlineStr">
        <is>
          <t>1291 Craig Ave</t>
        </is>
      </c>
      <c r="H1475" t="inlineStr">
        <is>
          <t>Lakeport</t>
        </is>
      </c>
      <c r="I1475" t="inlineStr">
        <is>
          <t>Lake</t>
        </is>
      </c>
      <c r="J1475" t="inlineStr">
        <is>
          <t>Lakeport Post Acute</t>
        </is>
      </c>
    </row>
    <row r="1476">
      <c r="A1476">
        <f>--ISNUMBER(IFERROR(SEARCH($C$5,Inputs!$D1476,1),""))</f>
        <v/>
      </c>
      <c r="B1476">
        <f>IF(A1476=1,COUNTIF($A$6:A1476,1),"")</f>
        <v/>
      </c>
      <c r="C1476">
        <f>IFERROR(INDEX($D$6:$D$1750,MATCH(ROWS($B$6:B1476),$B$6:$B$1750,0)),"")</f>
        <v/>
      </c>
      <c r="D1476">
        <f>J1476&amp;" ("&amp;E1476&amp;")"</f>
        <v/>
      </c>
      <c r="E1476" t="n">
        <v>25636</v>
      </c>
      <c r="F1476" t="inlineStr">
        <is>
          <t>Skilled Nursing and Interm. Care Facility</t>
        </is>
      </c>
      <c r="G1476" t="inlineStr">
        <is>
          <t>1980 Felicita Rd</t>
        </is>
      </c>
      <c r="H1476" t="inlineStr">
        <is>
          <t>Escondido</t>
        </is>
      </c>
      <c r="I1476" t="inlineStr">
        <is>
          <t>San Diego</t>
        </is>
      </c>
      <c r="J1476" t="inlineStr">
        <is>
          <t>Life Care Center Of Escondido</t>
        </is>
      </c>
    </row>
    <row r="1477">
      <c r="A1477">
        <f>--ISNUMBER(IFERROR(SEARCH($C$5,Inputs!$D1477,1),""))</f>
        <v/>
      </c>
      <c r="B1477">
        <f>IF(A1477=1,COUNTIF($A$6:A1477,1),"")</f>
        <v/>
      </c>
      <c r="C1477">
        <f>IFERROR(INDEX($D$6:$D$1750,MATCH(ROWS($B$6:B1477),$B$6:$B$1750,0)),"")</f>
        <v/>
      </c>
      <c r="D1477">
        <f>J1477&amp;" ("&amp;E1477&amp;")"</f>
        <v/>
      </c>
      <c r="E1477" t="n">
        <v>25670</v>
      </c>
      <c r="F1477" t="inlineStr">
        <is>
          <t>Skilled Nursing and Interm. Care Facility</t>
        </is>
      </c>
      <c r="G1477" t="inlineStr">
        <is>
          <t>3400 Bell Rd</t>
        </is>
      </c>
      <c r="H1477" t="inlineStr">
        <is>
          <t>Auburn</t>
        </is>
      </c>
      <c r="I1477" t="inlineStr">
        <is>
          <t>Placer</t>
        </is>
      </c>
      <c r="J1477" t="inlineStr">
        <is>
          <t>Auburn Oaks Care Center</t>
        </is>
      </c>
    </row>
    <row r="1478">
      <c r="A1478">
        <f>--ISNUMBER(IFERROR(SEARCH($C$5,Inputs!$D1478,1),""))</f>
        <v/>
      </c>
      <c r="B1478">
        <f>IF(A1478=1,COUNTIF($A$6:A1478,1),"")</f>
        <v/>
      </c>
      <c r="C1478">
        <f>IFERROR(INDEX($D$6:$D$1750,MATCH(ROWS($B$6:B1478),$B$6:$B$1750,0)),"")</f>
        <v/>
      </c>
      <c r="D1478">
        <f>J1478&amp;" ("&amp;E1478&amp;")"</f>
        <v/>
      </c>
      <c r="E1478" t="n">
        <v>25675</v>
      </c>
      <c r="F1478" t="inlineStr">
        <is>
          <t>Skilled Nursing and Interm. Care Facility</t>
        </is>
      </c>
      <c r="G1478" t="inlineStr">
        <is>
          <t>290 Heather Ct</t>
        </is>
      </c>
      <c r="H1478" t="inlineStr">
        <is>
          <t>Templeton</t>
        </is>
      </c>
      <c r="I1478" t="inlineStr">
        <is>
          <t>San Luis Obispo</t>
        </is>
      </c>
      <c r="J1478" t="inlineStr">
        <is>
          <t>Vineyard Hills Health Center</t>
        </is>
      </c>
    </row>
    <row r="1479">
      <c r="A1479">
        <f>--ISNUMBER(IFERROR(SEARCH($C$5,Inputs!$D1479,1),""))</f>
        <v/>
      </c>
      <c r="B1479">
        <f>IF(A1479=1,COUNTIF($A$6:A1479,1),"")</f>
        <v/>
      </c>
      <c r="C1479">
        <f>IFERROR(INDEX($D$6:$D$1750,MATCH(ROWS($B$6:B1479),$B$6:$B$1750,0)),"")</f>
        <v/>
      </c>
      <c r="D1479">
        <f>J1479&amp;" ("&amp;E1479&amp;")"</f>
        <v/>
      </c>
      <c r="E1479" t="n">
        <v>25696</v>
      </c>
      <c r="F1479" t="inlineStr">
        <is>
          <t>Skilled Nursing and Interm. Care Facility</t>
        </is>
      </c>
      <c r="G1479" t="inlineStr">
        <is>
          <t>41505 Carlotta Dr</t>
        </is>
      </c>
      <c r="H1479" t="inlineStr">
        <is>
          <t>Palm Desert</t>
        </is>
      </c>
      <c r="I1479" t="inlineStr">
        <is>
          <t>Riverside</t>
        </is>
      </c>
      <c r="J1479" t="inlineStr">
        <is>
          <t>The Springs at the Carlotta</t>
        </is>
      </c>
    </row>
    <row r="1480">
      <c r="A1480">
        <f>--ISNUMBER(IFERROR(SEARCH($C$5,Inputs!$D1480,1),""))</f>
        <v/>
      </c>
      <c r="B1480">
        <f>IF(A1480=1,COUNTIF($A$6:A1480,1),"")</f>
        <v/>
      </c>
      <c r="C1480">
        <f>IFERROR(INDEX($D$6:$D$1750,MATCH(ROWS($B$6:B1480),$B$6:$B$1750,0)),"")</f>
        <v/>
      </c>
      <c r="D1480">
        <f>J1480&amp;" ("&amp;E1480&amp;")"</f>
        <v/>
      </c>
      <c r="E1480" t="n">
        <v>25718</v>
      </c>
      <c r="F1480" t="inlineStr">
        <is>
          <t>Skilled Nursing and Interm. Care Facility</t>
        </is>
      </c>
      <c r="G1480" t="inlineStr">
        <is>
          <t>5320 Carrington Cir</t>
        </is>
      </c>
      <c r="H1480" t="inlineStr">
        <is>
          <t>Stockton</t>
        </is>
      </c>
      <c r="I1480" t="inlineStr">
        <is>
          <t>San Joaquin</t>
        </is>
      </c>
      <c r="J1480" t="inlineStr">
        <is>
          <t>Riverwood Health Care</t>
        </is>
      </c>
    </row>
    <row r="1481">
      <c r="A1481">
        <f>--ISNUMBER(IFERROR(SEARCH($C$5,Inputs!$D1481,1),""))</f>
        <v/>
      </c>
      <c r="B1481">
        <f>IF(A1481=1,COUNTIF($A$6:A1481,1),"")</f>
        <v/>
      </c>
      <c r="C1481">
        <f>IFERROR(INDEX($D$6:$D$1750,MATCH(ROWS($B$6:B1481),$B$6:$B$1750,0)),"")</f>
        <v/>
      </c>
      <c r="D1481">
        <f>J1481&amp;" ("&amp;E1481&amp;")"</f>
        <v/>
      </c>
      <c r="E1481" t="n">
        <v>25724</v>
      </c>
      <c r="F1481" t="inlineStr">
        <is>
          <t>Skilled Nursing and Interm. Care Facility</t>
        </is>
      </c>
      <c r="G1481" t="inlineStr">
        <is>
          <t>39950 Vista Del Sol</t>
        </is>
      </c>
      <c r="H1481" t="inlineStr">
        <is>
          <t>Rancho Mirage</t>
        </is>
      </c>
      <c r="I1481" t="inlineStr">
        <is>
          <t>Riverside</t>
        </is>
      </c>
      <c r="J1481" t="inlineStr">
        <is>
          <t>Rancho Mirage Health And Rehabilitation Center</t>
        </is>
      </c>
    </row>
    <row r="1482">
      <c r="A1482">
        <f>--ISNUMBER(IFERROR(SEARCH($C$5,Inputs!$D1482,1),""))</f>
        <v/>
      </c>
      <c r="B1482">
        <f>IF(A1482=1,COUNTIF($A$6:A1482,1),"")</f>
        <v/>
      </c>
      <c r="C1482">
        <f>IFERROR(INDEX($D$6:$D$1750,MATCH(ROWS($B$6:B1482),$B$6:$B$1750,0)),"")</f>
        <v/>
      </c>
      <c r="D1482">
        <f>J1482&amp;" ("&amp;E1482&amp;")"</f>
        <v/>
      </c>
      <c r="E1482" t="n">
        <v>25728</v>
      </c>
      <c r="F1482" t="inlineStr">
        <is>
          <t>Skilled Nursing and Interm. Care Facility</t>
        </is>
      </c>
      <c r="G1482" t="inlineStr">
        <is>
          <t>1685 Shaffer Rd</t>
        </is>
      </c>
      <c r="H1482" t="inlineStr">
        <is>
          <t>Atwater</t>
        </is>
      </c>
      <c r="I1482" t="inlineStr">
        <is>
          <t>Merced</t>
        </is>
      </c>
      <c r="J1482" t="inlineStr">
        <is>
          <t>Anberry Nursing And Rehabilitation Center</t>
        </is>
      </c>
    </row>
    <row r="1483">
      <c r="A1483">
        <f>--ISNUMBER(IFERROR(SEARCH($C$5,Inputs!$D1483,1),""))</f>
        <v/>
      </c>
      <c r="B1483">
        <f>IF(A1483=1,COUNTIF($A$6:A1483,1),"")</f>
        <v/>
      </c>
      <c r="C1483">
        <f>IFERROR(INDEX($D$6:$D$1750,MATCH(ROWS($B$6:B1483),$B$6:$B$1750,0)),"")</f>
        <v/>
      </c>
      <c r="D1483">
        <f>J1483&amp;" ("&amp;E1483&amp;")"</f>
        <v/>
      </c>
      <c r="E1483" t="n">
        <v>25729</v>
      </c>
      <c r="F1483" t="inlineStr">
        <is>
          <t>Skilled Nursing and Interm. Care Facility</t>
        </is>
      </c>
      <c r="G1483" t="inlineStr">
        <is>
          <t>1131 N China Lake Blvd</t>
        </is>
      </c>
      <c r="H1483" t="inlineStr">
        <is>
          <t>Ridgecrest</t>
        </is>
      </c>
      <c r="I1483" t="inlineStr">
        <is>
          <t>Kern</t>
        </is>
      </c>
      <c r="J1483" t="inlineStr">
        <is>
          <t>Bella Sera</t>
        </is>
      </c>
    </row>
    <row r="1484">
      <c r="A1484">
        <f>--ISNUMBER(IFERROR(SEARCH($C$5,Inputs!$D1484,1),""))</f>
        <v/>
      </c>
      <c r="B1484">
        <f>IF(A1484=1,COUNTIF($A$6:A1484,1),"")</f>
        <v/>
      </c>
      <c r="C1484">
        <f>IFERROR(INDEX($D$6:$D$1750,MATCH(ROWS($B$6:B1484),$B$6:$B$1750,0)),"")</f>
        <v/>
      </c>
      <c r="D1484">
        <f>J1484&amp;" ("&amp;E1484&amp;")"</f>
        <v/>
      </c>
      <c r="E1484" t="n">
        <v>25733</v>
      </c>
      <c r="F1484" t="inlineStr">
        <is>
          <t>Skilled Nursing and Interm. Care Facility</t>
        </is>
      </c>
      <c r="G1484" t="inlineStr">
        <is>
          <t>5555 Montgomery Drive</t>
        </is>
      </c>
      <c r="H1484" t="inlineStr">
        <is>
          <t>Santa Rosa</t>
        </is>
      </c>
      <c r="I1484" t="inlineStr">
        <is>
          <t>Sonoma</t>
        </is>
      </c>
      <c r="J1484" t="inlineStr">
        <is>
          <t>Spring Lake Village</t>
        </is>
      </c>
    </row>
    <row r="1485">
      <c r="A1485">
        <f>--ISNUMBER(IFERROR(SEARCH($C$5,Inputs!$D1485,1),""))</f>
        <v/>
      </c>
      <c r="B1485">
        <f>IF(A1485=1,COUNTIF($A$6:A1485,1),"")</f>
        <v/>
      </c>
      <c r="C1485">
        <f>IFERROR(INDEX($D$6:$D$1750,MATCH(ROWS($B$6:B1485),$B$6:$B$1750,0)),"")</f>
        <v/>
      </c>
      <c r="D1485">
        <f>J1485&amp;" ("&amp;E1485&amp;")"</f>
        <v/>
      </c>
      <c r="E1485" t="n">
        <v>25744</v>
      </c>
      <c r="F1485" t="inlineStr">
        <is>
          <t>Skilled Nursing and Interm. Care Facility</t>
        </is>
      </c>
      <c r="G1485" t="inlineStr">
        <is>
          <t>16890 Green Tree Boulevard</t>
        </is>
      </c>
      <c r="H1485" t="inlineStr">
        <is>
          <t>Victorville</t>
        </is>
      </c>
      <c r="I1485" t="inlineStr">
        <is>
          <t>San Bernardino</t>
        </is>
      </c>
      <c r="J1485" t="inlineStr">
        <is>
          <t>Knolls West Post Acute LLC</t>
        </is>
      </c>
    </row>
    <row r="1486">
      <c r="A1486">
        <f>--ISNUMBER(IFERROR(SEARCH($C$5,Inputs!$D1486,1),""))</f>
        <v/>
      </c>
      <c r="B1486">
        <f>IF(A1486=1,COUNTIF($A$6:A1486,1),"")</f>
        <v/>
      </c>
      <c r="C1486">
        <f>IFERROR(INDEX($D$6:$D$1750,MATCH(ROWS($B$6:B1486),$B$6:$B$1750,0)),"")</f>
        <v/>
      </c>
      <c r="D1486">
        <f>J1486&amp;" ("&amp;E1486&amp;")"</f>
        <v/>
      </c>
      <c r="E1486" t="n">
        <v>25750</v>
      </c>
      <c r="F1486" t="inlineStr">
        <is>
          <t>Skilled Nursing and Interm. Care Facility</t>
        </is>
      </c>
      <c r="G1486" t="inlineStr">
        <is>
          <t>2211 Mount Vernon Ave</t>
        </is>
      </c>
      <c r="H1486" t="inlineStr">
        <is>
          <t>Bakersfield</t>
        </is>
      </c>
      <c r="I1486" t="inlineStr">
        <is>
          <t>Kern</t>
        </is>
      </c>
      <c r="J1486" t="inlineStr">
        <is>
          <t>The Rehabilitation Center Of Bakersfield</t>
        </is>
      </c>
    </row>
    <row r="1487">
      <c r="A1487">
        <f>--ISNUMBER(IFERROR(SEARCH($C$5,Inputs!$D1487,1),""))</f>
        <v/>
      </c>
      <c r="B1487">
        <f>IF(A1487=1,COUNTIF($A$6:A1487,1),"")</f>
        <v/>
      </c>
      <c r="C1487">
        <f>IFERROR(INDEX($D$6:$D$1750,MATCH(ROWS($B$6:B1487),$B$6:$B$1750,0)),"")</f>
        <v/>
      </c>
      <c r="D1487">
        <f>J1487&amp;" ("&amp;E1487&amp;")"</f>
        <v/>
      </c>
      <c r="E1487" t="n">
        <v>25751</v>
      </c>
      <c r="F1487" t="inlineStr">
        <is>
          <t>Skilled Nursing and Interm. Care Facility</t>
        </is>
      </c>
      <c r="G1487" t="inlineStr">
        <is>
          <t>370 Noble Ct</t>
        </is>
      </c>
      <c r="H1487" t="inlineStr">
        <is>
          <t>Morgan Hill</t>
        </is>
      </c>
      <c r="I1487" t="inlineStr">
        <is>
          <t>Santa Clara</t>
        </is>
      </c>
      <c r="J1487" t="inlineStr">
        <is>
          <t>Pacific Hills Manor</t>
        </is>
      </c>
    </row>
    <row r="1488">
      <c r="A1488">
        <f>--ISNUMBER(IFERROR(SEARCH($C$5,Inputs!$D1488,1),""))</f>
        <v/>
      </c>
      <c r="B1488">
        <f>IF(A1488=1,COUNTIF($A$6:A1488,1),"")</f>
        <v/>
      </c>
      <c r="C1488">
        <f>IFERROR(INDEX($D$6:$D$1750,MATCH(ROWS($B$6:B1488),$B$6:$B$1750,0)),"")</f>
        <v/>
      </c>
      <c r="D1488">
        <f>J1488&amp;" ("&amp;E1488&amp;")"</f>
        <v/>
      </c>
      <c r="E1488" t="n">
        <v>25780</v>
      </c>
      <c r="F1488" t="inlineStr">
        <is>
          <t>Skilled Nursing and Interm. Care Facility</t>
        </is>
      </c>
      <c r="G1488" t="inlineStr">
        <is>
          <t>1111 E Tuolumne Rd</t>
        </is>
      </c>
      <c r="H1488" t="inlineStr">
        <is>
          <t>Turlock</t>
        </is>
      </c>
      <c r="I1488" t="inlineStr">
        <is>
          <t>Stanislaus</t>
        </is>
      </c>
      <c r="J1488" t="inlineStr">
        <is>
          <t>Turlock Nursing And Rehabilitation Center</t>
        </is>
      </c>
    </row>
    <row r="1489">
      <c r="A1489">
        <f>--ISNUMBER(IFERROR(SEARCH($C$5,Inputs!$D1489,1),""))</f>
        <v/>
      </c>
      <c r="B1489">
        <f>IF(A1489=1,COUNTIF($A$6:A1489,1),"")</f>
        <v/>
      </c>
      <c r="C1489">
        <f>IFERROR(INDEX($D$6:$D$1750,MATCH(ROWS($B$6:B1489),$B$6:$B$1750,0)),"")</f>
        <v/>
      </c>
      <c r="D1489">
        <f>J1489&amp;" ("&amp;E1489&amp;")"</f>
        <v/>
      </c>
      <c r="E1489" t="n">
        <v>25787</v>
      </c>
      <c r="F1489" t="inlineStr">
        <is>
          <t>Skilled Nursing and Interm. Care Facility</t>
        </is>
      </c>
      <c r="G1489" t="inlineStr">
        <is>
          <t>24962 Calle Aragon</t>
        </is>
      </c>
      <c r="H1489" t="inlineStr">
        <is>
          <t>Laguna Woods</t>
        </is>
      </c>
      <c r="I1489" t="inlineStr">
        <is>
          <t>Orange</t>
        </is>
      </c>
      <c r="J1489" t="inlineStr">
        <is>
          <t>Palm Terrace Healthcare &amp; Rehabilitation Center</t>
        </is>
      </c>
    </row>
    <row r="1490">
      <c r="A1490">
        <f>--ISNUMBER(IFERROR(SEARCH($C$5,Inputs!$D1490,1),""))</f>
        <v/>
      </c>
      <c r="B1490">
        <f>IF(A1490=1,COUNTIF($A$6:A1490,1),"")</f>
        <v/>
      </c>
      <c r="C1490">
        <f>IFERROR(INDEX($D$6:$D$1750,MATCH(ROWS($B$6:B1490),$B$6:$B$1750,0)),"")</f>
        <v/>
      </c>
      <c r="D1490">
        <f>J1490&amp;" ("&amp;E1490&amp;")"</f>
        <v/>
      </c>
      <c r="E1490" t="n">
        <v>25805</v>
      </c>
      <c r="F1490" t="inlineStr">
        <is>
          <t>Skilled Nursing and Interm. Care Facility</t>
        </is>
      </c>
      <c r="G1490" t="inlineStr">
        <is>
          <t>25652 Old Trabuco Rd</t>
        </is>
      </c>
      <c r="H1490" t="inlineStr">
        <is>
          <t>Lake Forest</t>
        </is>
      </c>
      <c r="I1490" t="inlineStr">
        <is>
          <t>Orange</t>
        </is>
      </c>
      <c r="J1490" t="inlineStr">
        <is>
          <t>Lake Forest Nursing Center</t>
        </is>
      </c>
    </row>
    <row r="1491">
      <c r="A1491">
        <f>--ISNUMBER(IFERROR(SEARCH($C$5,Inputs!$D1491,1),""))</f>
        <v/>
      </c>
      <c r="B1491">
        <f>IF(A1491=1,COUNTIF($A$6:A1491,1),"")</f>
        <v/>
      </c>
      <c r="C1491">
        <f>IFERROR(INDEX($D$6:$D$1750,MATCH(ROWS($B$6:B1491),$B$6:$B$1750,0)),"")</f>
        <v/>
      </c>
      <c r="D1491">
        <f>J1491&amp;" ("&amp;E1491&amp;")"</f>
        <v/>
      </c>
      <c r="E1491" t="n">
        <v>25811</v>
      </c>
      <c r="F1491" t="inlineStr">
        <is>
          <t>Skilled Nursing and Interm. Care Facility</t>
        </is>
      </c>
      <c r="G1491" t="inlineStr">
        <is>
          <t>2586 Buthmann Ave</t>
        </is>
      </c>
      <c r="H1491" t="inlineStr">
        <is>
          <t>Tracy</t>
        </is>
      </c>
      <c r="I1491" t="inlineStr">
        <is>
          <t>San Joaquin</t>
        </is>
      </c>
      <c r="J1491" t="inlineStr">
        <is>
          <t>North Park Post-Acute</t>
        </is>
      </c>
    </row>
    <row r="1492">
      <c r="A1492">
        <f>--ISNUMBER(IFERROR(SEARCH($C$5,Inputs!$D1492,1),""))</f>
        <v/>
      </c>
      <c r="B1492">
        <f>IF(A1492=1,COUNTIF($A$6:A1492,1),"")</f>
        <v/>
      </c>
      <c r="C1492">
        <f>IFERROR(INDEX($D$6:$D$1750,MATCH(ROWS($B$6:B1492),$B$6:$B$1750,0)),"")</f>
        <v/>
      </c>
      <c r="D1492">
        <f>J1492&amp;" ("&amp;E1492&amp;")"</f>
        <v/>
      </c>
      <c r="E1492" t="n">
        <v>25812</v>
      </c>
      <c r="F1492" t="inlineStr">
        <is>
          <t>Skilled Nursing and Interm. Care Facility</t>
        </is>
      </c>
      <c r="G1492" t="inlineStr">
        <is>
          <t>7801 Rush River Drive</t>
        </is>
      </c>
      <c r="H1492" t="inlineStr">
        <is>
          <t>Sacramento</t>
        </is>
      </c>
      <c r="I1492" t="inlineStr">
        <is>
          <t>Sacramento</t>
        </is>
      </c>
      <c r="J1492" t="inlineStr">
        <is>
          <t>Acc Care Center</t>
        </is>
      </c>
    </row>
    <row r="1493">
      <c r="A1493">
        <f>--ISNUMBER(IFERROR(SEARCH($C$5,Inputs!$D1493,1),""))</f>
        <v/>
      </c>
      <c r="B1493">
        <f>IF(A1493=1,COUNTIF($A$6:A1493,1),"")</f>
        <v/>
      </c>
      <c r="C1493">
        <f>IFERROR(INDEX($D$6:$D$1750,MATCH(ROWS($B$6:B1493),$B$6:$B$1750,0)),"")</f>
        <v/>
      </c>
      <c r="D1493">
        <f>J1493&amp;" ("&amp;E1493&amp;")"</f>
        <v/>
      </c>
      <c r="E1493" t="n">
        <v>25813</v>
      </c>
      <c r="F1493" t="inlineStr">
        <is>
          <t>Skilled Nursing and Interm. Care Facility</t>
        </is>
      </c>
      <c r="G1493" t="inlineStr">
        <is>
          <t>6212 Tudor Way</t>
        </is>
      </c>
      <c r="H1493" t="inlineStr">
        <is>
          <t>Bakersfield</t>
        </is>
      </c>
      <c r="I1493" t="inlineStr">
        <is>
          <t>Kern</t>
        </is>
      </c>
      <c r="J1493" t="inlineStr">
        <is>
          <t>Windsor Post-Acute Center Of Bakersfield</t>
        </is>
      </c>
    </row>
    <row r="1494">
      <c r="A1494">
        <f>--ISNUMBER(IFERROR(SEARCH($C$5,Inputs!$D1494,1),""))</f>
        <v/>
      </c>
      <c r="B1494">
        <f>IF(A1494=1,COUNTIF($A$6:A1494,1),"")</f>
        <v/>
      </c>
      <c r="C1494">
        <f>IFERROR(INDEX($D$6:$D$1750,MATCH(ROWS($B$6:B1494),$B$6:$B$1750,0)),"")</f>
        <v/>
      </c>
      <c r="D1494">
        <f>J1494&amp;" ("&amp;E1494&amp;")"</f>
        <v/>
      </c>
      <c r="E1494" t="n">
        <v>25822</v>
      </c>
      <c r="F1494" t="inlineStr">
        <is>
          <t>Skilled Nursing and Interm. Care Facility</t>
        </is>
      </c>
      <c r="G1494" t="inlineStr">
        <is>
          <t>541 S V Ave</t>
        </is>
      </c>
      <c r="H1494" t="inlineStr">
        <is>
          <t>National City</t>
        </is>
      </c>
      <c r="I1494" t="inlineStr">
        <is>
          <t>San Diego</t>
        </is>
      </c>
      <c r="J1494" t="inlineStr">
        <is>
          <t>Castle Manor Nursing &amp; Rehabilitation Center</t>
        </is>
      </c>
    </row>
    <row r="1495">
      <c r="A1495">
        <f>--ISNUMBER(IFERROR(SEARCH($C$5,Inputs!$D1495,1),""))</f>
        <v/>
      </c>
      <c r="B1495">
        <f>IF(A1495=1,COUNTIF($A$6:A1495,1),"")</f>
        <v/>
      </c>
      <c r="C1495">
        <f>IFERROR(INDEX($D$6:$D$1750,MATCH(ROWS($B$6:B1495),$B$6:$B$1750,0)),"")</f>
        <v/>
      </c>
      <c r="D1495">
        <f>J1495&amp;" ("&amp;E1495&amp;")"</f>
        <v/>
      </c>
      <c r="E1495" t="n">
        <v>25839</v>
      </c>
      <c r="F1495" t="inlineStr">
        <is>
          <t>Skilled Nursing and Interm. Care Facility</t>
        </is>
      </c>
      <c r="G1495" t="inlineStr">
        <is>
          <t>396 Dorsey Dr</t>
        </is>
      </c>
      <c r="H1495" t="inlineStr">
        <is>
          <t>Grass Valley</t>
        </is>
      </c>
      <c r="I1495" t="inlineStr">
        <is>
          <t>Nevada</t>
        </is>
      </c>
      <c r="J1495" t="inlineStr">
        <is>
          <t>Crystal Ridge Care Center</t>
        </is>
      </c>
    </row>
    <row r="1496">
      <c r="A1496">
        <f>--ISNUMBER(IFERROR(SEARCH($C$5,Inputs!$D1496,1),""))</f>
        <v/>
      </c>
      <c r="B1496">
        <f>IF(A1496=1,COUNTIF($A$6:A1496,1),"")</f>
        <v/>
      </c>
      <c r="C1496">
        <f>IFERROR(INDEX($D$6:$D$1750,MATCH(ROWS($B$6:B1496),$B$6:$B$1750,0)),"")</f>
        <v/>
      </c>
      <c r="D1496">
        <f>J1496&amp;" ("&amp;E1496&amp;")"</f>
        <v/>
      </c>
      <c r="E1496" t="n">
        <v>25855</v>
      </c>
      <c r="F1496" t="inlineStr">
        <is>
          <t>Skilled Nursing and Interm. Care Facility</t>
        </is>
      </c>
      <c r="G1496" t="inlineStr">
        <is>
          <t>1000 Executive Pkwy</t>
        </is>
      </c>
      <c r="H1496" t="inlineStr">
        <is>
          <t>Oroville</t>
        </is>
      </c>
      <c r="I1496" t="inlineStr">
        <is>
          <t>Butte</t>
        </is>
      </c>
      <c r="J1496" t="inlineStr">
        <is>
          <t>Oroville Hospital Post-Acute Center</t>
        </is>
      </c>
    </row>
    <row r="1497">
      <c r="A1497">
        <f>--ISNUMBER(IFERROR(SEARCH($C$5,Inputs!$D1497,1),""))</f>
        <v/>
      </c>
      <c r="B1497">
        <f>IF(A1497=1,COUNTIF($A$6:A1497,1),"")</f>
        <v/>
      </c>
      <c r="C1497">
        <f>IFERROR(INDEX($D$6:$D$1750,MATCH(ROWS($B$6:B1497),$B$6:$B$1750,0)),"")</f>
        <v/>
      </c>
      <c r="D1497">
        <f>J1497&amp;" ("&amp;E1497&amp;")"</f>
        <v/>
      </c>
      <c r="E1497" t="n">
        <v>25857</v>
      </c>
      <c r="F1497" t="inlineStr">
        <is>
          <t>Skilled Nursing and Interm. Care Facility</t>
        </is>
      </c>
      <c r="G1497" t="inlineStr">
        <is>
          <t>2351 Loveridge Rd</t>
        </is>
      </c>
      <c r="H1497" t="inlineStr">
        <is>
          <t>Pittsburg</t>
        </is>
      </c>
      <c r="I1497" t="inlineStr">
        <is>
          <t>Contra Costa</t>
        </is>
      </c>
      <c r="J1497" t="inlineStr">
        <is>
          <t>Diamond Ridge Healthcare Center</t>
        </is>
      </c>
    </row>
    <row r="1498">
      <c r="A1498">
        <f>--ISNUMBER(IFERROR(SEARCH($C$5,Inputs!$D1498,1),""))</f>
        <v/>
      </c>
      <c r="B1498">
        <f>IF(A1498=1,COUNTIF($A$6:A1498,1),"")</f>
        <v/>
      </c>
      <c r="C1498">
        <f>IFERROR(INDEX($D$6:$D$1750,MATCH(ROWS($B$6:B1498),$B$6:$B$1750,0)),"")</f>
        <v/>
      </c>
      <c r="D1498">
        <f>J1498&amp;" ("&amp;E1498&amp;")"</f>
        <v/>
      </c>
      <c r="E1498" t="n">
        <v>25861</v>
      </c>
      <c r="F1498" t="inlineStr">
        <is>
          <t>Skilled Nursing and Interm. Care Facility</t>
        </is>
      </c>
      <c r="G1498" t="inlineStr">
        <is>
          <t>1139 Cirby Way</t>
        </is>
      </c>
      <c r="H1498" t="inlineStr">
        <is>
          <t>Roseville</t>
        </is>
      </c>
      <c r="I1498" t="inlineStr">
        <is>
          <t>Placer</t>
        </is>
      </c>
      <c r="J1498" t="inlineStr">
        <is>
          <t>Pine Creek Care Center</t>
        </is>
      </c>
    </row>
    <row r="1499">
      <c r="A1499">
        <f>--ISNUMBER(IFERROR(SEARCH($C$5,Inputs!$D1499,1),""))</f>
        <v/>
      </c>
      <c r="B1499">
        <f>IF(A1499=1,COUNTIF($A$6:A1499,1),"")</f>
        <v/>
      </c>
      <c r="C1499">
        <f>IFERROR(INDEX($D$6:$D$1750,MATCH(ROWS($B$6:B1499),$B$6:$B$1750,0)),"")</f>
        <v/>
      </c>
      <c r="D1499">
        <f>J1499&amp;" ("&amp;E1499&amp;")"</f>
        <v/>
      </c>
      <c r="E1499" t="n">
        <v>25864</v>
      </c>
      <c r="F1499" t="inlineStr">
        <is>
          <t>Skilled Nursing and Interm. Care Facility</t>
        </is>
      </c>
      <c r="G1499" t="inlineStr">
        <is>
          <t>1550 3rd St</t>
        </is>
      </c>
      <c r="H1499" t="inlineStr">
        <is>
          <t>Lincoln</t>
        </is>
      </c>
      <c r="I1499" t="inlineStr">
        <is>
          <t>Placer</t>
        </is>
      </c>
      <c r="J1499" t="inlineStr">
        <is>
          <t>Lincoln Meadows Care Center</t>
        </is>
      </c>
    </row>
    <row r="1500">
      <c r="A1500">
        <f>--ISNUMBER(IFERROR(SEARCH($C$5,Inputs!$D1500,1),""))</f>
        <v/>
      </c>
      <c r="B1500">
        <f>IF(A1500=1,COUNTIF($A$6:A1500,1),"")</f>
        <v/>
      </c>
      <c r="C1500">
        <f>IFERROR(INDEX($D$6:$D$1750,MATCH(ROWS($B$6:B1500),$B$6:$B$1750,0)),"")</f>
        <v/>
      </c>
      <c r="D1500">
        <f>J1500&amp;" ("&amp;E1500&amp;")"</f>
        <v/>
      </c>
      <c r="E1500" t="n">
        <v>25865</v>
      </c>
      <c r="F1500" t="inlineStr">
        <is>
          <t>Skilled Nursing and Interm. Care Facility</t>
        </is>
      </c>
      <c r="G1500" t="inlineStr">
        <is>
          <t>5017 E Chapman Ave</t>
        </is>
      </c>
      <c r="H1500" t="inlineStr">
        <is>
          <t>Orange</t>
        </is>
      </c>
      <c r="I1500" t="inlineStr">
        <is>
          <t>Orange</t>
        </is>
      </c>
      <c r="J1500" t="inlineStr">
        <is>
          <t>New Orange Hills</t>
        </is>
      </c>
    </row>
    <row r="1501">
      <c r="A1501">
        <f>--ISNUMBER(IFERROR(SEARCH($C$5,Inputs!$D1501,1),""))</f>
        <v/>
      </c>
      <c r="B1501">
        <f>IF(A1501=1,COUNTIF($A$6:A1501,1),"")</f>
        <v/>
      </c>
      <c r="C1501">
        <f>IFERROR(INDEX($D$6:$D$1750,MATCH(ROWS($B$6:B1501),$B$6:$B$1750,0)),"")</f>
        <v/>
      </c>
      <c r="D1501">
        <f>J1501&amp;" ("&amp;E1501&amp;")"</f>
        <v/>
      </c>
      <c r="E1501" t="n">
        <v>25872</v>
      </c>
      <c r="F1501" t="inlineStr">
        <is>
          <t>Skilled Nursing and Interm. Care Facility</t>
        </is>
      </c>
      <c r="G1501" t="inlineStr">
        <is>
          <t>1517 Knickerbocker Dr</t>
        </is>
      </c>
      <c r="H1501" t="inlineStr">
        <is>
          <t>Stockton</t>
        </is>
      </c>
      <c r="I1501" t="inlineStr">
        <is>
          <t>San Joaquin</t>
        </is>
      </c>
      <c r="J1501" t="inlineStr">
        <is>
          <t>Clearwater Healthcare Center</t>
        </is>
      </c>
    </row>
    <row r="1502">
      <c r="A1502">
        <f>--ISNUMBER(IFERROR(SEARCH($C$5,Inputs!$D1502,1),""))</f>
        <v/>
      </c>
      <c r="B1502">
        <f>IF(A1502=1,COUNTIF($A$6:A1502,1),"")</f>
        <v/>
      </c>
      <c r="C1502">
        <f>IFERROR(INDEX($D$6:$D$1750,MATCH(ROWS($B$6:B1502),$B$6:$B$1750,0)),"")</f>
        <v/>
      </c>
      <c r="D1502">
        <f>J1502&amp;" ("&amp;E1502&amp;")"</f>
        <v/>
      </c>
      <c r="E1502" t="n">
        <v>25876</v>
      </c>
      <c r="F1502" t="inlineStr">
        <is>
          <t>Skilled Nursing and Interm. Care Facility</t>
        </is>
      </c>
      <c r="G1502" t="inlineStr">
        <is>
          <t>8778 Cuyumaca St</t>
        </is>
      </c>
      <c r="H1502" t="inlineStr">
        <is>
          <t>Santee</t>
        </is>
      </c>
      <c r="I1502" t="inlineStr">
        <is>
          <t>San Diego</t>
        </is>
      </c>
      <c r="J1502" t="inlineStr">
        <is>
          <t>Stanford Court Skilled Nursing &amp; Rehab Center</t>
        </is>
      </c>
    </row>
    <row r="1503">
      <c r="A1503">
        <f>--ISNUMBER(IFERROR(SEARCH($C$5,Inputs!$D1503,1),""))</f>
        <v/>
      </c>
      <c r="B1503">
        <f>IF(A1503=1,COUNTIF($A$6:A1503,1),"")</f>
        <v/>
      </c>
      <c r="C1503">
        <f>IFERROR(INDEX($D$6:$D$1750,MATCH(ROWS($B$6:B1503),$B$6:$B$1750,0)),"")</f>
        <v/>
      </c>
      <c r="D1503">
        <f>J1503&amp;" ("&amp;E1503&amp;")"</f>
        <v/>
      </c>
      <c r="E1503" t="n">
        <v>25909</v>
      </c>
      <c r="F1503" t="inlineStr">
        <is>
          <t>Skilled Nursing and Interm. Care Facility</t>
        </is>
      </c>
      <c r="G1503" t="inlineStr">
        <is>
          <t>1200 Springfield Dr</t>
        </is>
      </c>
      <c r="H1503" t="inlineStr">
        <is>
          <t>Chico</t>
        </is>
      </c>
      <c r="I1503" t="inlineStr">
        <is>
          <t>Butte</t>
        </is>
      </c>
      <c r="J1503" t="inlineStr">
        <is>
          <t>Arbor Post Acute</t>
        </is>
      </c>
    </row>
    <row r="1504">
      <c r="A1504">
        <f>--ISNUMBER(IFERROR(SEARCH($C$5,Inputs!$D1504,1),""))</f>
        <v/>
      </c>
      <c r="B1504">
        <f>IF(A1504=1,COUNTIF($A$6:A1504,1),"")</f>
        <v/>
      </c>
      <c r="C1504">
        <f>IFERROR(INDEX($D$6:$D$1750,MATCH(ROWS($B$6:B1504),$B$6:$B$1750,0)),"")</f>
        <v/>
      </c>
      <c r="D1504">
        <f>J1504&amp;" ("&amp;E1504&amp;")"</f>
        <v/>
      </c>
      <c r="E1504" t="n">
        <v>25920</v>
      </c>
      <c r="F1504" t="inlineStr">
        <is>
          <t>Skilled Nursing and Interm. Care Facility</t>
        </is>
      </c>
      <c r="G1504" t="inlineStr">
        <is>
          <t>16925 Hierba Dr</t>
        </is>
      </c>
      <c r="H1504" t="inlineStr">
        <is>
          <t>San Diego</t>
        </is>
      </c>
      <c r="I1504" t="inlineStr">
        <is>
          <t>San Diego</t>
        </is>
      </c>
      <c r="J1504" t="inlineStr">
        <is>
          <t>Remington Club Health Center</t>
        </is>
      </c>
    </row>
    <row r="1505">
      <c r="A1505">
        <f>--ISNUMBER(IFERROR(SEARCH($C$5,Inputs!$D1505,1),""))</f>
        <v/>
      </c>
      <c r="B1505">
        <f>IF(A1505=1,COUNTIF($A$6:A1505,1),"")</f>
        <v/>
      </c>
      <c r="C1505">
        <f>IFERROR(INDEX($D$6:$D$1750,MATCH(ROWS($B$6:B1505),$B$6:$B$1750,0)),"")</f>
        <v/>
      </c>
      <c r="D1505">
        <f>J1505&amp;" ("&amp;E1505&amp;")"</f>
        <v/>
      </c>
      <c r="E1505" t="n">
        <v>25927</v>
      </c>
      <c r="F1505" t="inlineStr">
        <is>
          <t>Skilled Nursing and Interm. Care Facility</t>
        </is>
      </c>
      <c r="G1505" t="inlineStr">
        <is>
          <t>1717 W Stetson Ave</t>
        </is>
      </c>
      <c r="H1505" t="inlineStr">
        <is>
          <t>Hemet</t>
        </is>
      </c>
      <c r="I1505" t="inlineStr">
        <is>
          <t>Riverside</t>
        </is>
      </c>
      <c r="J1505" t="inlineStr">
        <is>
          <t>Manorcare Health Services-Hemet</t>
        </is>
      </c>
    </row>
    <row r="1506">
      <c r="A1506">
        <f>--ISNUMBER(IFERROR(SEARCH($C$5,Inputs!$D1506,1),""))</f>
        <v/>
      </c>
      <c r="B1506">
        <f>IF(A1506=1,COUNTIF($A$6:A1506,1),"")</f>
        <v/>
      </c>
      <c r="C1506">
        <f>IFERROR(INDEX($D$6:$D$1750,MATCH(ROWS($B$6:B1506),$B$6:$B$1750,0)),"")</f>
        <v/>
      </c>
      <c r="D1506">
        <f>J1506&amp;" ("&amp;E1506&amp;")"</f>
        <v/>
      </c>
      <c r="E1506" t="n">
        <v>25940</v>
      </c>
      <c r="F1506" t="inlineStr">
        <is>
          <t>Skilled Nursing and Interm. Care Facility</t>
        </is>
      </c>
      <c r="G1506" t="inlineStr">
        <is>
          <t>3062 Churn Creek Rd</t>
        </is>
      </c>
      <c r="H1506" t="inlineStr">
        <is>
          <t>Redding</t>
        </is>
      </c>
      <c r="I1506" t="inlineStr">
        <is>
          <t>Shasta</t>
        </is>
      </c>
      <c r="J1506" t="inlineStr">
        <is>
          <t>Crestwood Wellness And Recovery Center</t>
        </is>
      </c>
    </row>
    <row r="1507">
      <c r="A1507">
        <f>--ISNUMBER(IFERROR(SEARCH($C$5,Inputs!$D1507,1),""))</f>
        <v/>
      </c>
      <c r="B1507">
        <f>IF(A1507=1,COUNTIF($A$6:A1507,1),"")</f>
        <v/>
      </c>
      <c r="C1507">
        <f>IFERROR(INDEX($D$6:$D$1750,MATCH(ROWS($B$6:B1507),$B$6:$B$1750,0)),"")</f>
        <v/>
      </c>
      <c r="D1507">
        <f>J1507&amp;" ("&amp;E1507&amp;")"</f>
        <v/>
      </c>
      <c r="E1507" t="n">
        <v>25945</v>
      </c>
      <c r="F1507" t="inlineStr">
        <is>
          <t>Skilled Nursing and Interm. Care Facility</t>
        </is>
      </c>
      <c r="G1507" t="inlineStr">
        <is>
          <t>820 N. Phillips Ave.</t>
        </is>
      </c>
      <c r="H1507" t="inlineStr">
        <is>
          <t>West Covina</t>
        </is>
      </c>
      <c r="I1507" t="inlineStr">
        <is>
          <t>Los Angeles</t>
        </is>
      </c>
      <c r="J1507" t="inlineStr">
        <is>
          <t>Emanate Health Hospice</t>
        </is>
      </c>
    </row>
    <row r="1508">
      <c r="A1508">
        <f>--ISNUMBER(IFERROR(SEARCH($C$5,Inputs!$D1508,1),""))</f>
        <v/>
      </c>
      <c r="B1508">
        <f>IF(A1508=1,COUNTIF($A$6:A1508,1),"")</f>
        <v/>
      </c>
      <c r="C1508">
        <f>IFERROR(INDEX($D$6:$D$1750,MATCH(ROWS($B$6:B1508),$B$6:$B$1750,0)),"")</f>
        <v/>
      </c>
      <c r="D1508">
        <f>J1508&amp;" ("&amp;E1508&amp;")"</f>
        <v/>
      </c>
      <c r="E1508" t="n">
        <v>25952</v>
      </c>
      <c r="F1508" t="inlineStr">
        <is>
          <t>Skilled Nursing and Interm. Care Facility</t>
        </is>
      </c>
      <c r="G1508" t="inlineStr">
        <is>
          <t>5800 W Wilson St</t>
        </is>
      </c>
      <c r="H1508" t="inlineStr">
        <is>
          <t>Banning</t>
        </is>
      </c>
      <c r="I1508" t="inlineStr">
        <is>
          <t>Riverside</t>
        </is>
      </c>
      <c r="J1508" t="inlineStr">
        <is>
          <t>Cherry Valley Healthcare</t>
        </is>
      </c>
    </row>
    <row r="1509">
      <c r="A1509">
        <f>--ISNUMBER(IFERROR(SEARCH($C$5,Inputs!$D1509,1),""))</f>
        <v/>
      </c>
      <c r="B1509">
        <f>IF(A1509=1,COUNTIF($A$6:A1509,1),"")</f>
        <v/>
      </c>
      <c r="C1509">
        <f>IFERROR(INDEX($D$6:$D$1750,MATCH(ROWS($B$6:B1509),$B$6:$B$1750,0)),"")</f>
        <v/>
      </c>
      <c r="D1509">
        <f>J1509&amp;" ("&amp;E1509&amp;")"</f>
        <v/>
      </c>
      <c r="E1509" t="n">
        <v>25972</v>
      </c>
      <c r="F1509" t="inlineStr">
        <is>
          <t>Skilled Nursing and Interm. Care Facility</t>
        </is>
      </c>
      <c r="G1509" t="inlineStr">
        <is>
          <t>23442 El Toro Rd</t>
        </is>
      </c>
      <c r="H1509" t="inlineStr">
        <is>
          <t>El Toro</t>
        </is>
      </c>
      <c r="I1509" t="inlineStr">
        <is>
          <t>Orange</t>
        </is>
      </c>
      <c r="J1509" t="inlineStr">
        <is>
          <t>Freedom Village Healthcare Center</t>
        </is>
      </c>
    </row>
    <row r="1510">
      <c r="A1510">
        <f>--ISNUMBER(IFERROR(SEARCH($C$5,Inputs!$D1510,1),""))</f>
        <v/>
      </c>
      <c r="B1510">
        <f>IF(A1510=1,COUNTIF($A$6:A1510,1),"")</f>
        <v/>
      </c>
      <c r="C1510">
        <f>IFERROR(INDEX($D$6:$D$1750,MATCH(ROWS($B$6:B1510),$B$6:$B$1750,0)),"")</f>
        <v/>
      </c>
      <c r="D1510">
        <f>J1510&amp;" ("&amp;E1510&amp;")"</f>
        <v/>
      </c>
      <c r="E1510" t="n">
        <v>25974</v>
      </c>
      <c r="F1510" t="inlineStr">
        <is>
          <t>Skilled Nursing and Interm. Care Facility</t>
        </is>
      </c>
      <c r="G1510" t="inlineStr">
        <is>
          <t>201 Hartnell Ave</t>
        </is>
      </c>
      <c r="H1510" t="inlineStr">
        <is>
          <t>Redding</t>
        </is>
      </c>
      <c r="I1510" t="inlineStr">
        <is>
          <t>Shasta</t>
        </is>
      </c>
      <c r="J1510" t="inlineStr">
        <is>
          <t>Copper Ridge Care Center</t>
        </is>
      </c>
    </row>
    <row r="1511">
      <c r="A1511">
        <f>--ISNUMBER(IFERROR(SEARCH($C$5,Inputs!$D1511,1),""))</f>
        <v/>
      </c>
      <c r="B1511">
        <f>IF(A1511=1,COUNTIF($A$6:A1511,1),"")</f>
        <v/>
      </c>
      <c r="C1511">
        <f>IFERROR(INDEX($D$6:$D$1750,MATCH(ROWS($B$6:B1511),$B$6:$B$1750,0)),"")</f>
        <v/>
      </c>
      <c r="D1511">
        <f>J1511&amp;" ("&amp;E1511&amp;")"</f>
        <v/>
      </c>
      <c r="E1511" t="n">
        <v>25978</v>
      </c>
      <c r="F1511" t="inlineStr">
        <is>
          <t>Skilled Nursing and Interm. Care Facility</t>
        </is>
      </c>
      <c r="G1511" t="inlineStr">
        <is>
          <t>11895 Avenue Of Industry</t>
        </is>
      </c>
      <c r="H1511" t="inlineStr">
        <is>
          <t>San Diego</t>
        </is>
      </c>
      <c r="I1511" t="inlineStr">
        <is>
          <t>San Diego</t>
        </is>
      </c>
      <c r="J1511" t="inlineStr">
        <is>
          <t>Carmel Mountain Rehabilitation &amp; Healthcare Center</t>
        </is>
      </c>
    </row>
    <row r="1512">
      <c r="A1512">
        <f>--ISNUMBER(IFERROR(SEARCH($C$5,Inputs!$D1512,1),""))</f>
        <v/>
      </c>
      <c r="B1512">
        <f>IF(A1512=1,COUNTIF($A$6:A1512,1),"")</f>
        <v/>
      </c>
      <c r="C1512">
        <f>IFERROR(INDEX($D$6:$D$1750,MATCH(ROWS($B$6:B1512),$B$6:$B$1750,0)),"")</f>
        <v/>
      </c>
      <c r="D1512">
        <f>J1512&amp;" ("&amp;E1512&amp;")"</f>
        <v/>
      </c>
      <c r="E1512" t="n">
        <v>25979</v>
      </c>
      <c r="F1512" t="inlineStr">
        <is>
          <t>Skilled Nursing and Interm. Care Facility</t>
        </is>
      </c>
      <c r="G1512" t="inlineStr">
        <is>
          <t>15720 Bernardo Center Dr</t>
        </is>
      </c>
      <c r="H1512" t="inlineStr">
        <is>
          <t>San Diego</t>
        </is>
      </c>
      <c r="I1512" t="inlineStr">
        <is>
          <t>San Diego</t>
        </is>
      </c>
      <c r="J1512" t="inlineStr">
        <is>
          <t>Villa Rancho Bernardo Care Center</t>
        </is>
      </c>
    </row>
    <row r="1513">
      <c r="A1513">
        <f>--ISNUMBER(IFERROR(SEARCH($C$5,Inputs!$D1513,1),""))</f>
        <v/>
      </c>
      <c r="B1513">
        <f>IF(A1513=1,COUNTIF($A$6:A1513,1),"")</f>
        <v/>
      </c>
      <c r="C1513">
        <f>IFERROR(INDEX($D$6:$D$1750,MATCH(ROWS($B$6:B1513),$B$6:$B$1750,0)),"")</f>
        <v/>
      </c>
      <c r="D1513">
        <f>J1513&amp;" ("&amp;E1513&amp;")"</f>
        <v/>
      </c>
      <c r="E1513" t="n">
        <v>26066</v>
      </c>
      <c r="F1513" t="inlineStr">
        <is>
          <t>Skilled Nursing and Interm. Care Facility</t>
        </is>
      </c>
      <c r="G1513" t="inlineStr">
        <is>
          <t>11680 Warner Ave</t>
        </is>
      </c>
      <c r="H1513" t="inlineStr">
        <is>
          <t>Fountain Valley</t>
        </is>
      </c>
      <c r="I1513" t="inlineStr">
        <is>
          <t>Orange</t>
        </is>
      </c>
      <c r="J1513" t="inlineStr">
        <is>
          <t>Manorcare Health Services (Fountain Valley)</t>
        </is>
      </c>
    </row>
    <row r="1514">
      <c r="A1514">
        <f>--ISNUMBER(IFERROR(SEARCH($C$5,Inputs!$D1514,1),""))</f>
        <v/>
      </c>
      <c r="B1514">
        <f>IF(A1514=1,COUNTIF($A$6:A1514,1),"")</f>
        <v/>
      </c>
      <c r="C1514">
        <f>IFERROR(INDEX($D$6:$D$1750,MATCH(ROWS($B$6:B1514),$B$6:$B$1750,0)),"")</f>
        <v/>
      </c>
      <c r="D1514">
        <f>J1514&amp;" ("&amp;E1514&amp;")"</f>
        <v/>
      </c>
      <c r="E1514" t="n">
        <v>26074</v>
      </c>
      <c r="F1514" t="inlineStr">
        <is>
          <t>Skilled Nursing and Interm. Care Facility</t>
        </is>
      </c>
      <c r="G1514" t="inlineStr">
        <is>
          <t>7807 Uplands Way</t>
        </is>
      </c>
      <c r="H1514" t="inlineStr">
        <is>
          <t>Citrus Heights</t>
        </is>
      </c>
      <c r="I1514" t="inlineStr">
        <is>
          <t>Sacramento</t>
        </is>
      </c>
      <c r="J1514" t="inlineStr">
        <is>
          <t>Manorcare Health Services (Citrus Heights)</t>
        </is>
      </c>
    </row>
    <row r="1515">
      <c r="A1515">
        <f>--ISNUMBER(IFERROR(SEARCH($C$5,Inputs!$D1515,1),""))</f>
        <v/>
      </c>
      <c r="B1515">
        <f>IF(A1515=1,COUNTIF($A$6:A1515,1),"")</f>
        <v/>
      </c>
      <c r="C1515">
        <f>IFERROR(INDEX($D$6:$D$1750,MATCH(ROWS($B$6:B1515),$B$6:$B$1750,0)),"")</f>
        <v/>
      </c>
      <c r="D1515">
        <f>J1515&amp;" ("&amp;E1515&amp;")"</f>
        <v/>
      </c>
      <c r="E1515" t="n">
        <v>26077</v>
      </c>
      <c r="F1515" t="inlineStr">
        <is>
          <t>Skilled Nursing and Interm. Care Facility</t>
        </is>
      </c>
      <c r="G1515" t="inlineStr">
        <is>
          <t>74350 Country Club Dr</t>
        </is>
      </c>
      <c r="H1515" t="inlineStr">
        <is>
          <t>Palm Desert</t>
        </is>
      </c>
      <c r="I1515" t="inlineStr">
        <is>
          <t>Riverside</t>
        </is>
      </c>
      <c r="J1515" t="inlineStr">
        <is>
          <t>Manorcare Health Services-Palm Desert</t>
        </is>
      </c>
    </row>
    <row r="1516">
      <c r="A1516">
        <f>--ISNUMBER(IFERROR(SEARCH($C$5,Inputs!$D1516,1),""))</f>
        <v/>
      </c>
      <c r="B1516">
        <f>IF(A1516=1,COUNTIF($A$6:A1516,1),"")</f>
        <v/>
      </c>
      <c r="C1516">
        <f>IFERROR(INDEX($D$6:$D$1750,MATCH(ROWS($B$6:B1516),$B$6:$B$1750,0)),"")</f>
        <v/>
      </c>
      <c r="D1516">
        <f>J1516&amp;" ("&amp;E1516&amp;")"</f>
        <v/>
      </c>
      <c r="E1516" t="n">
        <v>26080</v>
      </c>
      <c r="F1516" t="inlineStr">
        <is>
          <t>Skilled Nursing and Interm. Care Facility</t>
        </is>
      </c>
      <c r="G1516" t="inlineStr">
        <is>
          <t>18685 W Bernardo Dr</t>
        </is>
      </c>
      <c r="H1516" t="inlineStr">
        <is>
          <t>San Diego</t>
        </is>
      </c>
      <c r="I1516" t="inlineStr">
        <is>
          <t>San Diego</t>
        </is>
      </c>
      <c r="J1516" t="inlineStr">
        <is>
          <t>Casa De Las Campanas</t>
        </is>
      </c>
    </row>
    <row r="1517">
      <c r="A1517">
        <f>--ISNUMBER(IFERROR(SEARCH($C$5,Inputs!$D1517,1),""))</f>
        <v/>
      </c>
      <c r="B1517">
        <f>IF(A1517=1,COUNTIF($A$6:A1517,1),"")</f>
        <v/>
      </c>
      <c r="C1517">
        <f>IFERROR(INDEX($D$6:$D$1750,MATCH(ROWS($B$6:B1517),$B$6:$B$1750,0)),"")</f>
        <v/>
      </c>
      <c r="D1517">
        <f>J1517&amp;" ("&amp;E1517&amp;")"</f>
        <v/>
      </c>
      <c r="E1517" t="n">
        <v>26084</v>
      </c>
      <c r="F1517" t="inlineStr">
        <is>
          <t>Skilled Nursing and Interm. Care Facility</t>
        </is>
      </c>
      <c r="G1517" t="inlineStr">
        <is>
          <t>9289 Branstetter Pl</t>
        </is>
      </c>
      <c r="H1517" t="inlineStr">
        <is>
          <t>Stockton</t>
        </is>
      </c>
      <c r="I1517" t="inlineStr">
        <is>
          <t>San Joaquin</t>
        </is>
      </c>
      <c r="J1517" t="inlineStr">
        <is>
          <t>Wagner Heights Nursing And Rehabilitation Center</t>
        </is>
      </c>
    </row>
    <row r="1518">
      <c r="A1518">
        <f>--ISNUMBER(IFERROR(SEARCH($C$5,Inputs!$D1518,1),""))</f>
        <v/>
      </c>
      <c r="B1518">
        <f>IF(A1518=1,COUNTIF($A$6:A1518,1),"")</f>
        <v/>
      </c>
      <c r="C1518">
        <f>IFERROR(INDEX($D$6:$D$1750,MATCH(ROWS($B$6:B1518),$B$6:$B$1750,0)),"")</f>
        <v/>
      </c>
      <c r="D1518">
        <f>J1518&amp;" ("&amp;E1518&amp;")"</f>
        <v/>
      </c>
      <c r="E1518" t="n">
        <v>26089</v>
      </c>
      <c r="F1518" t="inlineStr">
        <is>
          <t>Skilled Nursing and Interm. Care Facility</t>
        </is>
      </c>
      <c r="G1518" t="inlineStr">
        <is>
          <t>585 Nut Tree Ct</t>
        </is>
      </c>
      <c r="H1518" t="inlineStr">
        <is>
          <t>Vacaville</t>
        </is>
      </c>
      <c r="I1518" t="inlineStr">
        <is>
          <t>Solano</t>
        </is>
      </c>
      <c r="J1518" t="inlineStr">
        <is>
          <t>Vacaville Convalescent And Rehabilitation Center</t>
        </is>
      </c>
    </row>
    <row r="1519">
      <c r="A1519">
        <f>--ISNUMBER(IFERROR(SEARCH($C$5,Inputs!$D1519,1),""))</f>
        <v/>
      </c>
      <c r="B1519">
        <f>IF(A1519=1,COUNTIF($A$6:A1519,1),"")</f>
        <v/>
      </c>
      <c r="C1519">
        <f>IFERROR(INDEX($D$6:$D$1750,MATCH(ROWS($B$6:B1519),$B$6:$B$1750,0)),"")</f>
        <v/>
      </c>
      <c r="D1519">
        <f>J1519&amp;" ("&amp;E1519&amp;")"</f>
        <v/>
      </c>
      <c r="E1519" t="n">
        <v>26090</v>
      </c>
      <c r="F1519" t="inlineStr">
        <is>
          <t>Skilled Nursing and Interm. Care Facility</t>
        </is>
      </c>
      <c r="G1519" t="inlineStr">
        <is>
          <t>57333 Joshua Ln</t>
        </is>
      </c>
      <c r="H1519" t="inlineStr">
        <is>
          <t>Yucca Valley</t>
        </is>
      </c>
      <c r="I1519" t="inlineStr">
        <is>
          <t>San Bernardino</t>
        </is>
      </c>
      <c r="J1519" t="inlineStr">
        <is>
          <t>Yucca Valley Nursing</t>
        </is>
      </c>
    </row>
    <row r="1520">
      <c r="A1520">
        <f>--ISNUMBER(IFERROR(SEARCH($C$5,Inputs!$D1520,1),""))</f>
        <v/>
      </c>
      <c r="B1520">
        <f>IF(A1520=1,COUNTIF($A$6:A1520,1),"")</f>
        <v/>
      </c>
      <c r="C1520">
        <f>IFERROR(INDEX($D$6:$D$1750,MATCH(ROWS($B$6:B1520),$B$6:$B$1750,0)),"")</f>
        <v/>
      </c>
      <c r="D1520">
        <f>J1520&amp;" ("&amp;E1520&amp;")"</f>
        <v/>
      </c>
      <c r="E1520" t="n">
        <v>26099</v>
      </c>
      <c r="F1520" t="inlineStr">
        <is>
          <t>Skilled Nursing and Interm. Care Facility</t>
        </is>
      </c>
      <c r="G1520" t="inlineStr">
        <is>
          <t>247 E Bobier Dr</t>
        </is>
      </c>
      <c r="H1520" t="inlineStr">
        <is>
          <t>Vista</t>
        </is>
      </c>
      <c r="I1520" t="inlineStr">
        <is>
          <t>San Diego</t>
        </is>
      </c>
      <c r="J1520" t="inlineStr">
        <is>
          <t>La Fuente Post Acute</t>
        </is>
      </c>
    </row>
    <row r="1521">
      <c r="A1521">
        <f>--ISNUMBER(IFERROR(SEARCH($C$5,Inputs!$D1521,1),""))</f>
        <v/>
      </c>
      <c r="B1521">
        <f>IF(A1521=1,COUNTIF($A$6:A1521,1),"")</f>
        <v/>
      </c>
      <c r="C1521">
        <f>IFERROR(INDEX($D$6:$D$1750,MATCH(ROWS($B$6:B1521),$B$6:$B$1750,0)),"")</f>
        <v/>
      </c>
      <c r="D1521">
        <f>J1521&amp;" ("&amp;E1521&amp;")"</f>
        <v/>
      </c>
      <c r="E1521" t="n">
        <v>26106</v>
      </c>
      <c r="F1521" t="inlineStr">
        <is>
          <t>Skilled Nursing and Interm. Care Facility</t>
        </is>
      </c>
      <c r="G1521" t="inlineStr">
        <is>
          <t>1618 Laurel Ave</t>
        </is>
      </c>
      <c r="H1521" t="inlineStr">
        <is>
          <t>Redlands</t>
        </is>
      </c>
      <c r="I1521" t="inlineStr">
        <is>
          <t>San Bernardino</t>
        </is>
      </c>
      <c r="J1521" t="inlineStr">
        <is>
          <t>Terracina Post Acute</t>
        </is>
      </c>
    </row>
    <row r="1522">
      <c r="A1522">
        <f>--ISNUMBER(IFERROR(SEARCH($C$5,Inputs!$D1522,1),""))</f>
        <v/>
      </c>
      <c r="B1522">
        <f>IF(A1522=1,COUNTIF($A$6:A1522,1),"")</f>
        <v/>
      </c>
      <c r="C1522">
        <f>IFERROR(INDEX($D$6:$D$1750,MATCH(ROWS($B$6:B1522),$B$6:$B$1750,0)),"")</f>
        <v/>
      </c>
      <c r="D1522">
        <f>J1522&amp;" ("&amp;E1522&amp;")"</f>
        <v/>
      </c>
      <c r="E1522" t="n">
        <v>26107</v>
      </c>
      <c r="F1522" t="inlineStr">
        <is>
          <t>Skilled Nursing and Interm. Care Facility</t>
        </is>
      </c>
      <c r="G1522" t="inlineStr">
        <is>
          <t>3620 Dale Rd</t>
        </is>
      </c>
      <c r="H1522" t="inlineStr">
        <is>
          <t>Modesto</t>
        </is>
      </c>
      <c r="I1522" t="inlineStr">
        <is>
          <t>Stanislaus</t>
        </is>
      </c>
      <c r="J1522" t="inlineStr">
        <is>
          <t>Vintage Faire Nursing &amp; Rehabilitation Center</t>
        </is>
      </c>
    </row>
    <row r="1523">
      <c r="A1523">
        <f>--ISNUMBER(IFERROR(SEARCH($C$5,Inputs!$D1523,1),""))</f>
        <v/>
      </c>
      <c r="B1523">
        <f>IF(A1523=1,COUNTIF($A$6:A1523,1),"")</f>
        <v/>
      </c>
      <c r="C1523">
        <f>IFERROR(INDEX($D$6:$D$1750,MATCH(ROWS($B$6:B1523),$B$6:$B$1750,0)),"")</f>
        <v/>
      </c>
      <c r="D1523">
        <f>J1523&amp;" ("&amp;E1523&amp;")"</f>
        <v/>
      </c>
      <c r="E1523" t="n">
        <v>26123</v>
      </c>
      <c r="F1523" t="inlineStr">
        <is>
          <t>Skilled Nursing and Interm. Care Facility</t>
        </is>
      </c>
      <c r="G1523" t="inlineStr">
        <is>
          <t>2501 Alvin Ave</t>
        </is>
      </c>
      <c r="H1523" t="inlineStr">
        <is>
          <t>San Jose</t>
        </is>
      </c>
      <c r="I1523" t="inlineStr">
        <is>
          <t>Santa Clara</t>
        </is>
      </c>
      <c r="J1523" t="inlineStr">
        <is>
          <t>Mission De La Casa Nursing &amp; Rehabilitation Center</t>
        </is>
      </c>
    </row>
    <row r="1524">
      <c r="A1524">
        <f>--ISNUMBER(IFERROR(SEARCH($C$5,Inputs!$D1524,1),""))</f>
        <v/>
      </c>
      <c r="B1524">
        <f>IF(A1524=1,COUNTIF($A$6:A1524,1),"")</f>
        <v/>
      </c>
      <c r="C1524">
        <f>IFERROR(INDEX($D$6:$D$1750,MATCH(ROWS($B$6:B1524),$B$6:$B$1750,0)),"")</f>
        <v/>
      </c>
      <c r="D1524">
        <f>J1524&amp;" ("&amp;E1524&amp;")"</f>
        <v/>
      </c>
      <c r="E1524" t="n">
        <v>26126</v>
      </c>
      <c r="F1524" t="inlineStr">
        <is>
          <t>Skilled Nursing and Interm. Care Facility</t>
        </is>
      </c>
      <c r="G1524" t="inlineStr">
        <is>
          <t>5043 Peck Rd</t>
        </is>
      </c>
      <c r="H1524" t="inlineStr">
        <is>
          <t>El Monte</t>
        </is>
      </c>
      <c r="I1524" t="inlineStr">
        <is>
          <t>Los Angeles</t>
        </is>
      </c>
      <c r="J1524" t="inlineStr">
        <is>
          <t>Mayflower Care Center</t>
        </is>
      </c>
    </row>
    <row r="1525">
      <c r="A1525">
        <f>--ISNUMBER(IFERROR(SEARCH($C$5,Inputs!$D1525,1),""))</f>
        <v/>
      </c>
      <c r="B1525">
        <f>IF(A1525=1,COUNTIF($A$6:A1525,1),"")</f>
        <v/>
      </c>
      <c r="C1525">
        <f>IFERROR(INDEX($D$6:$D$1750,MATCH(ROWS($B$6:B1525),$B$6:$B$1750,0)),"")</f>
        <v/>
      </c>
      <c r="D1525">
        <f>J1525&amp;" ("&amp;E1525&amp;")"</f>
        <v/>
      </c>
      <c r="E1525" t="n">
        <v>26127</v>
      </c>
      <c r="F1525" t="inlineStr">
        <is>
          <t>Skilled Nursing and Interm. Care Facility</t>
        </is>
      </c>
      <c r="G1525" t="inlineStr">
        <is>
          <t>2120 Benton Dr</t>
        </is>
      </c>
      <c r="H1525" t="inlineStr">
        <is>
          <t>Redding</t>
        </is>
      </c>
      <c r="I1525" t="inlineStr">
        <is>
          <t>Shasta</t>
        </is>
      </c>
      <c r="J1525" t="inlineStr">
        <is>
          <t>Quartz Hill Post Acute</t>
        </is>
      </c>
    </row>
    <row r="1526">
      <c r="A1526">
        <f>--ISNUMBER(IFERROR(SEARCH($C$5,Inputs!$D1526,1),""))</f>
        <v/>
      </c>
      <c r="B1526">
        <f>IF(A1526=1,COUNTIF($A$6:A1526,1),"")</f>
        <v/>
      </c>
      <c r="C1526">
        <f>IFERROR(INDEX($D$6:$D$1750,MATCH(ROWS($B$6:B1526),$B$6:$B$1750,0)),"")</f>
        <v/>
      </c>
      <c r="D1526">
        <f>J1526&amp;" ("&amp;E1526&amp;")"</f>
        <v/>
      </c>
      <c r="E1526" t="n">
        <v>26149</v>
      </c>
      <c r="F1526" t="inlineStr">
        <is>
          <t>Skilled Nursing and Interm. Care Facility</t>
        </is>
      </c>
      <c r="G1526" t="inlineStr">
        <is>
          <t>1875 Barton Rd</t>
        </is>
      </c>
      <c r="H1526" t="inlineStr">
        <is>
          <t>Redlands</t>
        </is>
      </c>
      <c r="I1526" t="inlineStr">
        <is>
          <t>San Bernardino</t>
        </is>
      </c>
      <c r="J1526" t="inlineStr">
        <is>
          <t>Asistencia Villa Rehabilitation And Care Center</t>
        </is>
      </c>
    </row>
    <row r="1527">
      <c r="A1527">
        <f>--ISNUMBER(IFERROR(SEARCH($C$5,Inputs!$D1527,1),""))</f>
        <v/>
      </c>
      <c r="B1527">
        <f>IF(A1527=1,COUNTIF($A$6:A1527,1),"")</f>
        <v/>
      </c>
      <c r="C1527">
        <f>IFERROR(INDEX($D$6:$D$1750,MATCH(ROWS($B$6:B1527),$B$6:$B$1750,0)),"")</f>
        <v/>
      </c>
      <c r="D1527">
        <f>J1527&amp;" ("&amp;E1527&amp;")"</f>
        <v/>
      </c>
      <c r="E1527" t="n">
        <v>26154</v>
      </c>
      <c r="F1527" t="inlineStr">
        <is>
          <t>Skilled Nursing and Interm. Care Facility</t>
        </is>
      </c>
      <c r="G1527" t="inlineStr">
        <is>
          <t>10631 Vinedale Street</t>
        </is>
      </c>
      <c r="H1527" t="inlineStr">
        <is>
          <t>Sun Valley</t>
        </is>
      </c>
      <c r="I1527" t="inlineStr">
        <is>
          <t>Los Angeles</t>
        </is>
      </c>
      <c r="J1527" t="inlineStr">
        <is>
          <t>Villa Scalabrini Special Care Unit</t>
        </is>
      </c>
    </row>
    <row r="1528">
      <c r="A1528">
        <f>--ISNUMBER(IFERROR(SEARCH($C$5,Inputs!$D1528,1),""))</f>
        <v/>
      </c>
      <c r="B1528">
        <f>IF(A1528=1,COUNTIF($A$6:A1528,1),"")</f>
        <v/>
      </c>
      <c r="C1528">
        <f>IFERROR(INDEX($D$6:$D$1750,MATCH(ROWS($B$6:B1528),$B$6:$B$1750,0)),"")</f>
        <v/>
      </c>
      <c r="D1528">
        <f>J1528&amp;" ("&amp;E1528&amp;")"</f>
        <v/>
      </c>
      <c r="E1528" t="n">
        <v>26165</v>
      </c>
      <c r="F1528" t="inlineStr">
        <is>
          <t>Skilled Nursing and Interm. Care Facility</t>
        </is>
      </c>
      <c r="G1528" t="inlineStr">
        <is>
          <t>645 S Beach Blvd</t>
        </is>
      </c>
      <c r="H1528" t="inlineStr">
        <is>
          <t>Anaheim</t>
        </is>
      </c>
      <c r="I1528" t="inlineStr">
        <is>
          <t>Orange</t>
        </is>
      </c>
      <c r="J1528" t="inlineStr">
        <is>
          <t>West Anaheim Extended Care</t>
        </is>
      </c>
    </row>
    <row r="1529">
      <c r="A1529">
        <f>--ISNUMBER(IFERROR(SEARCH($C$5,Inputs!$D1529,1),""))</f>
        <v/>
      </c>
      <c r="B1529">
        <f>IF(A1529=1,COUNTIF($A$6:A1529,1),"")</f>
        <v/>
      </c>
      <c r="C1529">
        <f>IFERROR(INDEX($D$6:$D$1750,MATCH(ROWS($B$6:B1529),$B$6:$B$1750,0)),"")</f>
        <v/>
      </c>
      <c r="D1529">
        <f>J1529&amp;" ("&amp;E1529&amp;")"</f>
        <v/>
      </c>
      <c r="E1529" t="n">
        <v>26170</v>
      </c>
      <c r="F1529" t="inlineStr">
        <is>
          <t>Skilled Nursing and Interm. Care Facility</t>
        </is>
      </c>
      <c r="G1529" t="inlineStr">
        <is>
          <t>9107 Davis Rd</t>
        </is>
      </c>
      <c r="H1529" t="inlineStr">
        <is>
          <t>Stockton</t>
        </is>
      </c>
      <c r="I1529" t="inlineStr">
        <is>
          <t>San Joaquin</t>
        </is>
      </c>
      <c r="J1529" t="inlineStr">
        <is>
          <t>Creekside Center</t>
        </is>
      </c>
    </row>
    <row r="1530">
      <c r="A1530">
        <f>--ISNUMBER(IFERROR(SEARCH($C$5,Inputs!$D1530,1),""))</f>
        <v/>
      </c>
      <c r="B1530">
        <f>IF(A1530=1,COUNTIF($A$6:A1530,1),"")</f>
        <v/>
      </c>
      <c r="C1530">
        <f>IFERROR(INDEX($D$6:$D$1750,MATCH(ROWS($B$6:B1530),$B$6:$B$1750,0)),"")</f>
        <v/>
      </c>
      <c r="D1530">
        <f>J1530&amp;" ("&amp;E1530&amp;")"</f>
        <v/>
      </c>
      <c r="E1530" t="n">
        <v>26180</v>
      </c>
      <c r="F1530" t="inlineStr">
        <is>
          <t>Skilled Nursing and Interm. Care Facility</t>
        </is>
      </c>
      <c r="G1530" t="inlineStr">
        <is>
          <t>5480 Marengo Ave</t>
        </is>
      </c>
      <c r="H1530" t="inlineStr">
        <is>
          <t>La Mesa</t>
        </is>
      </c>
      <c r="I1530" t="inlineStr">
        <is>
          <t>San Diego</t>
        </is>
      </c>
      <c r="J1530" t="inlineStr">
        <is>
          <t>Grossmont Gardens</t>
        </is>
      </c>
    </row>
    <row r="1531">
      <c r="A1531">
        <f>--ISNUMBER(IFERROR(SEARCH($C$5,Inputs!$D1531,1),""))</f>
        <v/>
      </c>
      <c r="B1531">
        <f>IF(A1531=1,COUNTIF($A$6:A1531,1),"")</f>
        <v/>
      </c>
      <c r="C1531">
        <f>IFERROR(INDEX($D$6:$D$1750,MATCH(ROWS($B$6:B1531),$B$6:$B$1750,0)),"")</f>
        <v/>
      </c>
      <c r="D1531">
        <f>J1531&amp;" ("&amp;E1531&amp;")"</f>
        <v/>
      </c>
      <c r="E1531" t="n">
        <v>26193</v>
      </c>
      <c r="F1531" t="inlineStr">
        <is>
          <t>Skilled Nursing and Interm. Care Facility</t>
        </is>
      </c>
      <c r="G1531" t="inlineStr">
        <is>
          <t>44610 Monterey Ave</t>
        </is>
      </c>
      <c r="H1531" t="inlineStr">
        <is>
          <t>Palm Desert</t>
        </is>
      </c>
      <c r="I1531" t="inlineStr">
        <is>
          <t>Riverside</t>
        </is>
      </c>
      <c r="J1531" t="inlineStr">
        <is>
          <t>Monterey Palms Health Care Center</t>
        </is>
      </c>
    </row>
    <row r="1532">
      <c r="A1532">
        <f>--ISNUMBER(IFERROR(SEARCH($C$5,Inputs!$D1532,1),""))</f>
        <v/>
      </c>
      <c r="B1532">
        <f>IF(A1532=1,COUNTIF($A$6:A1532,1),"")</f>
        <v/>
      </c>
      <c r="C1532">
        <f>IFERROR(INDEX($D$6:$D$1750,MATCH(ROWS($B$6:B1532),$B$6:$B$1750,0)),"")</f>
        <v/>
      </c>
      <c r="D1532">
        <f>J1532&amp;" ("&amp;E1532&amp;")"</f>
        <v/>
      </c>
      <c r="E1532" t="n">
        <v>26210</v>
      </c>
      <c r="F1532" t="inlineStr">
        <is>
          <t>Skilled Nursing and Interm. Care Facility</t>
        </is>
      </c>
      <c r="G1532" t="inlineStr">
        <is>
          <t>17040 Arnold Dr</t>
        </is>
      </c>
      <c r="H1532" t="inlineStr">
        <is>
          <t>Riverside</t>
        </is>
      </c>
      <c r="I1532" t="inlineStr">
        <is>
          <t>Riverside</t>
        </is>
      </c>
      <c r="J1532" t="inlineStr">
        <is>
          <t>Riverside Village Healthcare Center</t>
        </is>
      </c>
    </row>
    <row r="1533">
      <c r="A1533">
        <f>--ISNUMBER(IFERROR(SEARCH($C$5,Inputs!$D1533,1),""))</f>
        <v/>
      </c>
      <c r="B1533">
        <f>IF(A1533=1,COUNTIF($A$6:A1533,1),"")</f>
        <v/>
      </c>
      <c r="C1533">
        <f>IFERROR(INDEX($D$6:$D$1750,MATCH(ROWS($B$6:B1533),$B$6:$B$1750,0)),"")</f>
        <v/>
      </c>
      <c r="D1533">
        <f>J1533&amp;" ("&amp;E1533&amp;")"</f>
        <v/>
      </c>
      <c r="E1533" t="n">
        <v>26211</v>
      </c>
      <c r="F1533" t="inlineStr">
        <is>
          <t>Skilled Nursing and Interm. Care Facility</t>
        </is>
      </c>
      <c r="G1533" t="inlineStr">
        <is>
          <t>371 Weston Pl</t>
        </is>
      </c>
      <c r="H1533" t="inlineStr">
        <is>
          <t>Hemet</t>
        </is>
      </c>
      <c r="I1533" t="inlineStr">
        <is>
          <t>Riverside</t>
        </is>
      </c>
      <c r="J1533" t="inlineStr">
        <is>
          <t>Hemet Valley Healthcare Center D/P SNF</t>
        </is>
      </c>
    </row>
    <row r="1534">
      <c r="A1534">
        <f>--ISNUMBER(IFERROR(SEARCH($C$5,Inputs!$D1534,1),""))</f>
        <v/>
      </c>
      <c r="B1534">
        <f>IF(A1534=1,COUNTIF($A$6:A1534,1),"")</f>
        <v/>
      </c>
      <c r="C1534">
        <f>IFERROR(INDEX($D$6:$D$1750,MATCH(ROWS($B$6:B1534),$B$6:$B$1750,0)),"")</f>
        <v/>
      </c>
      <c r="D1534">
        <f>J1534&amp;" ("&amp;E1534&amp;")"</f>
        <v/>
      </c>
      <c r="E1534" t="n">
        <v>26223</v>
      </c>
      <c r="F1534" t="inlineStr">
        <is>
          <t>Skilled Nursing and Interm. Care Facility</t>
        </is>
      </c>
      <c r="G1534" t="inlineStr">
        <is>
          <t>2000 Westwood Road</t>
        </is>
      </c>
      <c r="H1534" t="inlineStr">
        <is>
          <t>Vista</t>
        </is>
      </c>
      <c r="I1534" t="inlineStr">
        <is>
          <t>San Diego</t>
        </is>
      </c>
      <c r="J1534" t="inlineStr">
        <is>
          <t>Vista Knoll Specialized Care Facility</t>
        </is>
      </c>
    </row>
    <row r="1535">
      <c r="A1535">
        <f>--ISNUMBER(IFERROR(SEARCH($C$5,Inputs!$D1535,1),""))</f>
        <v/>
      </c>
      <c r="B1535">
        <f>IF(A1535=1,COUNTIF($A$6:A1535,1),"")</f>
        <v/>
      </c>
      <c r="C1535">
        <f>IFERROR(INDEX($D$6:$D$1750,MATCH(ROWS($B$6:B1535),$B$6:$B$1750,0)),"")</f>
        <v/>
      </c>
      <c r="D1535">
        <f>J1535&amp;" ("&amp;E1535&amp;")"</f>
        <v/>
      </c>
      <c r="E1535" t="n">
        <v>26235</v>
      </c>
      <c r="F1535" t="inlineStr">
        <is>
          <t>Skilled Nursing and Interm. Care Facility</t>
        </is>
      </c>
      <c r="G1535" t="inlineStr">
        <is>
          <t>1586 W San Marcos Blvd</t>
        </is>
      </c>
      <c r="H1535" t="inlineStr">
        <is>
          <t>San Marcos</t>
        </is>
      </c>
      <c r="I1535" t="inlineStr">
        <is>
          <t>San Diego</t>
        </is>
      </c>
      <c r="J1535" t="inlineStr">
        <is>
          <t>Village Square Healthcare Center</t>
        </is>
      </c>
    </row>
    <row r="1536">
      <c r="A1536">
        <f>--ISNUMBER(IFERROR(SEARCH($C$5,Inputs!$D1536,1),""))</f>
        <v/>
      </c>
      <c r="B1536">
        <f>IF(A1536=1,COUNTIF($A$6:A1536,1),"")</f>
        <v/>
      </c>
      <c r="C1536">
        <f>IFERROR(INDEX($D$6:$D$1750,MATCH(ROWS($B$6:B1536),$B$6:$B$1750,0)),"")</f>
        <v/>
      </c>
      <c r="D1536">
        <f>J1536&amp;" ("&amp;E1536&amp;")"</f>
        <v/>
      </c>
      <c r="E1536" t="n">
        <v>26241</v>
      </c>
      <c r="F1536" t="inlineStr">
        <is>
          <t>Skilled Nursing and Interm. Care Facility</t>
        </is>
      </c>
      <c r="G1536" t="inlineStr">
        <is>
          <t>401 W Ada Ave</t>
        </is>
      </c>
      <c r="H1536" t="inlineStr">
        <is>
          <t>Glendora</t>
        </is>
      </c>
      <c r="I1536" t="inlineStr">
        <is>
          <t>Los Angeles</t>
        </is>
      </c>
      <c r="J1536" t="inlineStr">
        <is>
          <t>Glendora Canyon Transitional Care Unit</t>
        </is>
      </c>
    </row>
    <row r="1537">
      <c r="A1537">
        <f>--ISNUMBER(IFERROR(SEARCH($C$5,Inputs!$D1537,1),""))</f>
        <v/>
      </c>
      <c r="B1537">
        <f>IF(A1537=1,COUNTIF($A$6:A1537,1),"")</f>
        <v/>
      </c>
      <c r="C1537">
        <f>IFERROR(INDEX($D$6:$D$1750,MATCH(ROWS($B$6:B1537),$B$6:$B$1750,0)),"")</f>
        <v/>
      </c>
      <c r="D1537">
        <f>J1537&amp;" ("&amp;E1537&amp;")"</f>
        <v/>
      </c>
      <c r="E1537" t="n">
        <v>26264</v>
      </c>
      <c r="F1537" t="inlineStr">
        <is>
          <t>Skilled Nursing and Interm. Care Facility</t>
        </is>
      </c>
      <c r="G1537" t="inlineStr">
        <is>
          <t>1770 W La Habra Blvd</t>
        </is>
      </c>
      <c r="H1537" t="inlineStr">
        <is>
          <t>La Habra</t>
        </is>
      </c>
      <c r="I1537" t="inlineStr">
        <is>
          <t>Orange</t>
        </is>
      </c>
      <c r="J1537" t="inlineStr">
        <is>
          <t>Park Regency Care Center</t>
        </is>
      </c>
    </row>
    <row r="1538">
      <c r="A1538">
        <f>--ISNUMBER(IFERROR(SEARCH($C$5,Inputs!$D1538,1),""))</f>
        <v/>
      </c>
      <c r="B1538">
        <f>IF(A1538=1,COUNTIF($A$6:A1538,1),"")</f>
        <v/>
      </c>
      <c r="C1538">
        <f>IFERROR(INDEX($D$6:$D$1750,MATCH(ROWS($B$6:B1538),$B$6:$B$1750,0)),"")</f>
        <v/>
      </c>
      <c r="D1538">
        <f>J1538&amp;" ("&amp;E1538&amp;")"</f>
        <v/>
      </c>
      <c r="E1538" t="n">
        <v>26265</v>
      </c>
      <c r="F1538" t="inlineStr">
        <is>
          <t>Skilled Nursing and Interm. Care Facility</t>
        </is>
      </c>
      <c r="G1538" t="inlineStr">
        <is>
          <t>211 Saxony Rd</t>
        </is>
      </c>
      <c r="H1538" t="inlineStr">
        <is>
          <t>Encinitas</t>
        </is>
      </c>
      <c r="I1538" t="inlineStr">
        <is>
          <t>San Diego</t>
        </is>
      </c>
      <c r="J1538" t="inlineStr">
        <is>
          <t>The Dorothy and Joseph Goldberg Healthcare Center</t>
        </is>
      </c>
    </row>
    <row r="1539">
      <c r="A1539">
        <f>--ISNUMBER(IFERROR(SEARCH($C$5,Inputs!$D1539,1),""))</f>
        <v/>
      </c>
      <c r="B1539">
        <f>IF(A1539=1,COUNTIF($A$6:A1539,1),"")</f>
        <v/>
      </c>
      <c r="C1539">
        <f>IFERROR(INDEX($D$6:$D$1750,MATCH(ROWS($B$6:B1539),$B$6:$B$1750,0)),"")</f>
        <v/>
      </c>
      <c r="D1539">
        <f>J1539&amp;" ("&amp;E1539&amp;")"</f>
        <v/>
      </c>
      <c r="E1539" t="n">
        <v>26310</v>
      </c>
      <c r="F1539" t="inlineStr">
        <is>
          <t>Skilled Nursing and Interm. Care Facility</t>
        </is>
      </c>
      <c r="G1539" t="inlineStr">
        <is>
          <t>1580 Broadway</t>
        </is>
      </c>
      <c r="H1539" t="inlineStr">
        <is>
          <t>El Cajon</t>
        </is>
      </c>
      <c r="I1539" t="inlineStr">
        <is>
          <t>San Diego</t>
        </is>
      </c>
      <c r="J1539" t="inlineStr">
        <is>
          <t>Country Hills Post Acute</t>
        </is>
      </c>
    </row>
    <row r="1540">
      <c r="A1540">
        <f>--ISNUMBER(IFERROR(SEARCH($C$5,Inputs!$D1540,1),""))</f>
        <v/>
      </c>
      <c r="B1540">
        <f>IF(A1540=1,COUNTIF($A$6:A1540,1),"")</f>
        <v/>
      </c>
      <c r="C1540">
        <f>IFERROR(INDEX($D$6:$D$1750,MATCH(ROWS($B$6:B1540),$B$6:$B$1750,0)),"")</f>
        <v/>
      </c>
      <c r="D1540">
        <f>J1540&amp;" ("&amp;E1540&amp;")"</f>
        <v/>
      </c>
      <c r="E1540" t="n">
        <v>26326</v>
      </c>
      <c r="F1540" t="inlineStr">
        <is>
          <t>Skilled Nursing and Interm. Care Facility</t>
        </is>
      </c>
      <c r="G1540" t="inlineStr">
        <is>
          <t>1350 Reche Canyon Rd</t>
        </is>
      </c>
      <c r="H1540" t="inlineStr">
        <is>
          <t>Colton</t>
        </is>
      </c>
      <c r="I1540" t="inlineStr">
        <is>
          <t>San Bernardino</t>
        </is>
      </c>
      <c r="J1540" t="inlineStr">
        <is>
          <t>Reche Canyon Regional Rehab Center</t>
        </is>
      </c>
    </row>
    <row r="1541">
      <c r="A1541">
        <f>--ISNUMBER(IFERROR(SEARCH($C$5,Inputs!$D1541,1),""))</f>
        <v/>
      </c>
      <c r="B1541">
        <f>IF(A1541=1,COUNTIF($A$6:A1541,1),"")</f>
        <v/>
      </c>
      <c r="C1541">
        <f>IFERROR(INDEX($D$6:$D$1750,MATCH(ROWS($B$6:B1541),$B$6:$B$1750,0)),"")</f>
        <v/>
      </c>
      <c r="D1541">
        <f>J1541&amp;" ("&amp;E1541&amp;")"</f>
        <v/>
      </c>
      <c r="E1541" t="n">
        <v>26337</v>
      </c>
      <c r="F1541" t="inlineStr">
        <is>
          <t>Skilled Nursing and Interm. Care Facility</t>
        </is>
      </c>
      <c r="G1541" t="inlineStr">
        <is>
          <t>1150 Tilton Dr</t>
        </is>
      </c>
      <c r="H1541" t="inlineStr">
        <is>
          <t>Sunnyvale</t>
        </is>
      </c>
      <c r="I1541" t="inlineStr">
        <is>
          <t>Santa Clara</t>
        </is>
      </c>
      <c r="J1541" t="inlineStr">
        <is>
          <t>Manorcare Health Services (Sunnyvale)</t>
        </is>
      </c>
    </row>
    <row r="1542">
      <c r="A1542">
        <f>--ISNUMBER(IFERROR(SEARCH($C$5,Inputs!$D1542,1),""))</f>
        <v/>
      </c>
      <c r="B1542">
        <f>IF(A1542=1,COUNTIF($A$6:A1542,1),"")</f>
        <v/>
      </c>
      <c r="C1542">
        <f>IFERROR(INDEX($D$6:$D$1750,MATCH(ROWS($B$6:B1542),$B$6:$B$1750,0)),"")</f>
        <v/>
      </c>
      <c r="D1542">
        <f>J1542&amp;" ("&amp;E1542&amp;")"</f>
        <v/>
      </c>
      <c r="E1542" t="n">
        <v>26342</v>
      </c>
      <c r="F1542" t="inlineStr">
        <is>
          <t>Skilled Nursing and Interm. Care Facility</t>
        </is>
      </c>
      <c r="G1542" t="inlineStr">
        <is>
          <t>1260 Williams Way</t>
        </is>
      </c>
      <c r="H1542" t="inlineStr">
        <is>
          <t>Yuba City</t>
        </is>
      </c>
      <c r="I1542" t="inlineStr">
        <is>
          <t>Sutter</t>
        </is>
      </c>
      <c r="J1542" t="inlineStr">
        <is>
          <t>The Fountains</t>
        </is>
      </c>
    </row>
    <row r="1543">
      <c r="A1543">
        <f>--ISNUMBER(IFERROR(SEARCH($C$5,Inputs!$D1543,1),""))</f>
        <v/>
      </c>
      <c r="B1543">
        <f>IF(A1543=1,COUNTIF($A$6:A1543,1),"")</f>
        <v/>
      </c>
      <c r="C1543">
        <f>IFERROR(INDEX($D$6:$D$1750,MATCH(ROWS($B$6:B1543),$B$6:$B$1750,0)),"")</f>
        <v/>
      </c>
      <c r="D1543">
        <f>J1543&amp;" ("&amp;E1543&amp;")"</f>
        <v/>
      </c>
      <c r="E1543" t="n">
        <v>26351</v>
      </c>
      <c r="F1543" t="inlineStr">
        <is>
          <t>Skilled Nursing and Interm. Care Facility</t>
        </is>
      </c>
      <c r="G1543" t="inlineStr">
        <is>
          <t>4367 Concord Blvd</t>
        </is>
      </c>
      <c r="H1543" t="inlineStr">
        <is>
          <t>Concord</t>
        </is>
      </c>
      <c r="I1543" t="inlineStr">
        <is>
          <t>Contra Costa</t>
        </is>
      </c>
      <c r="J1543" t="inlineStr">
        <is>
          <t>Stonebrook Healthcare Center</t>
        </is>
      </c>
    </row>
    <row r="1544">
      <c r="A1544">
        <f>--ISNUMBER(IFERROR(SEARCH($C$5,Inputs!$D1544,1),""))</f>
        <v/>
      </c>
      <c r="B1544">
        <f>IF(A1544=1,COUNTIF($A$6:A1544,1),"")</f>
        <v/>
      </c>
      <c r="C1544">
        <f>IFERROR(INDEX($D$6:$D$1750,MATCH(ROWS($B$6:B1544),$B$6:$B$1750,0)),"")</f>
        <v/>
      </c>
      <c r="D1544">
        <f>J1544&amp;" ("&amp;E1544&amp;")"</f>
        <v/>
      </c>
      <c r="E1544" t="n">
        <v>26352</v>
      </c>
      <c r="F1544" t="inlineStr">
        <is>
          <t>Skilled Nursing and Interm. Care Facility</t>
        </is>
      </c>
      <c r="G1544" t="inlineStr">
        <is>
          <t>1226 Rossmoor Parkway</t>
        </is>
      </c>
      <c r="H1544" t="inlineStr">
        <is>
          <t>Walnut Creek</t>
        </is>
      </c>
      <c r="I1544" t="inlineStr">
        <is>
          <t>Contra Costa</t>
        </is>
      </c>
      <c r="J1544" t="inlineStr">
        <is>
          <t>Manorcare Health Services - Rossmoor</t>
        </is>
      </c>
    </row>
    <row r="1545">
      <c r="A1545">
        <f>--ISNUMBER(IFERROR(SEARCH($C$5,Inputs!$D1545,1),""))</f>
        <v/>
      </c>
      <c r="B1545">
        <f>IF(A1545=1,COUNTIF($A$6:A1545,1),"")</f>
        <v/>
      </c>
      <c r="C1545">
        <f>IFERROR(INDEX($D$6:$D$1750,MATCH(ROWS($B$6:B1545),$B$6:$B$1750,0)),"")</f>
        <v/>
      </c>
      <c r="D1545">
        <f>J1545&amp;" ("&amp;E1545&amp;")"</f>
        <v/>
      </c>
      <c r="E1545" t="n">
        <v>26392</v>
      </c>
      <c r="F1545" t="inlineStr">
        <is>
          <t>Skilled Nursing and Interm. Care Facility</t>
        </is>
      </c>
      <c r="G1545" t="inlineStr">
        <is>
          <t>2400 W Acacia Ave</t>
        </is>
      </c>
      <c r="H1545" t="inlineStr">
        <is>
          <t>Hemet</t>
        </is>
      </c>
      <c r="I1545" t="inlineStr">
        <is>
          <t>Riverside</t>
        </is>
      </c>
      <c r="J1545" t="inlineStr">
        <is>
          <t>The Village Healthcare Center</t>
        </is>
      </c>
    </row>
    <row r="1546">
      <c r="A1546">
        <f>--ISNUMBER(IFERROR(SEARCH($C$5,Inputs!$D1546,1),""))</f>
        <v/>
      </c>
      <c r="B1546">
        <f>IF(A1546=1,COUNTIF($A$6:A1546,1),"")</f>
        <v/>
      </c>
      <c r="C1546">
        <f>IFERROR(INDEX($D$6:$D$1750,MATCH(ROWS($B$6:B1546),$B$6:$B$1750,0)),"")</f>
        <v/>
      </c>
      <c r="D1546">
        <f>J1546&amp;" ("&amp;E1546&amp;")"</f>
        <v/>
      </c>
      <c r="E1546" t="n">
        <v>26421</v>
      </c>
      <c r="F1546" t="inlineStr">
        <is>
          <t>Skilled Nursing and Interm. Care Facility</t>
        </is>
      </c>
      <c r="G1546" t="inlineStr">
        <is>
          <t>2221 Lincoln Park Ave</t>
        </is>
      </c>
      <c r="H1546" t="inlineStr">
        <is>
          <t>Los Angeles</t>
        </is>
      </c>
      <c r="I1546" t="inlineStr">
        <is>
          <t>Los Angeles</t>
        </is>
      </c>
      <c r="J1546" t="inlineStr">
        <is>
          <t>Kei-Ai Los Angeles Healthcare Center</t>
        </is>
      </c>
    </row>
    <row r="1547">
      <c r="A1547">
        <f>--ISNUMBER(IFERROR(SEARCH($C$5,Inputs!$D1547,1),""))</f>
        <v/>
      </c>
      <c r="B1547">
        <f>IF(A1547=1,COUNTIF($A$6:A1547,1),"")</f>
        <v/>
      </c>
      <c r="C1547">
        <f>IFERROR(INDEX($D$6:$D$1750,MATCH(ROWS($B$6:B1547),$B$6:$B$1750,0)),"")</f>
        <v/>
      </c>
      <c r="D1547">
        <f>J1547&amp;" ("&amp;E1547&amp;")"</f>
        <v/>
      </c>
      <c r="E1547" t="n">
        <v>26435</v>
      </c>
      <c r="F1547" t="inlineStr">
        <is>
          <t>Skilled Nursing and Interm. Care Facility</t>
        </is>
      </c>
      <c r="G1547" t="inlineStr">
        <is>
          <t>44567 North 15th Street West</t>
        </is>
      </c>
      <c r="H1547" t="inlineStr">
        <is>
          <t>Lancaster</t>
        </is>
      </c>
      <c r="I1547" t="inlineStr">
        <is>
          <t>Los Angeles</t>
        </is>
      </c>
      <c r="J1547" t="inlineStr">
        <is>
          <t>Antelope Valley Care Center</t>
        </is>
      </c>
    </row>
    <row r="1548">
      <c r="A1548">
        <f>--ISNUMBER(IFERROR(SEARCH($C$5,Inputs!$D1548,1),""))</f>
        <v/>
      </c>
      <c r="B1548">
        <f>IF(A1548=1,COUNTIF($A$6:A1548,1),"")</f>
        <v/>
      </c>
      <c r="C1548">
        <f>IFERROR(INDEX($D$6:$D$1750,MATCH(ROWS($B$6:B1548),$B$6:$B$1750,0)),"")</f>
        <v/>
      </c>
      <c r="D1548">
        <f>J1548&amp;" ("&amp;E1548&amp;")"</f>
        <v/>
      </c>
      <c r="E1548" t="n">
        <v>26465</v>
      </c>
      <c r="F1548" t="inlineStr">
        <is>
          <t>Skilled Nursing and Interm. Care Facility</t>
        </is>
      </c>
      <c r="G1548" t="inlineStr">
        <is>
          <t>2200 Gramercy Drive</t>
        </is>
      </c>
      <c r="H1548" t="inlineStr">
        <is>
          <t>Sacramento</t>
        </is>
      </c>
      <c r="I1548" t="inlineStr">
        <is>
          <t>Sacramento</t>
        </is>
      </c>
      <c r="J1548" t="inlineStr">
        <is>
          <t>Gramercy Court</t>
        </is>
      </c>
    </row>
    <row r="1549">
      <c r="A1549">
        <f>--ISNUMBER(IFERROR(SEARCH($C$5,Inputs!$D1549,1),""))</f>
        <v/>
      </c>
      <c r="B1549">
        <f>IF(A1549=1,COUNTIF($A$6:A1549,1),"")</f>
        <v/>
      </c>
      <c r="C1549">
        <f>IFERROR(INDEX($D$6:$D$1750,MATCH(ROWS($B$6:B1549),$B$6:$B$1750,0)),"")</f>
        <v/>
      </c>
      <c r="D1549">
        <f>J1549&amp;" ("&amp;E1549&amp;")"</f>
        <v/>
      </c>
      <c r="E1549" t="n">
        <v>26466</v>
      </c>
      <c r="F1549" t="inlineStr">
        <is>
          <t>Skilled Nursing and Interm. Care Facility</t>
        </is>
      </c>
      <c r="G1549" t="inlineStr">
        <is>
          <t>3900 Garfield Ave</t>
        </is>
      </c>
      <c r="H1549" t="inlineStr">
        <is>
          <t>Carmichael</t>
        </is>
      </c>
      <c r="I1549" t="inlineStr">
        <is>
          <t>Sacramento</t>
        </is>
      </c>
      <c r="J1549" t="inlineStr">
        <is>
          <t>American River Center</t>
        </is>
      </c>
    </row>
    <row r="1550">
      <c r="A1550">
        <f>--ISNUMBER(IFERROR(SEARCH($C$5,Inputs!$D1550,1),""))</f>
        <v/>
      </c>
      <c r="B1550">
        <f>IF(A1550=1,COUNTIF($A$6:A1550,1),"")</f>
        <v/>
      </c>
      <c r="C1550">
        <f>IFERROR(INDEX($D$6:$D$1750,MATCH(ROWS($B$6:B1550),$B$6:$B$1750,0)),"")</f>
        <v/>
      </c>
      <c r="D1550">
        <f>J1550&amp;" ("&amp;E1550&amp;")"</f>
        <v/>
      </c>
      <c r="E1550" t="n">
        <v>26478</v>
      </c>
      <c r="F1550" t="inlineStr">
        <is>
          <t>Skilled Nursing and Interm. Care Facility</t>
        </is>
      </c>
      <c r="G1550" t="inlineStr">
        <is>
          <t>24552 Paseo De Valencia</t>
        </is>
      </c>
      <c r="H1550" t="inlineStr">
        <is>
          <t>Laguna Hills</t>
        </is>
      </c>
      <c r="I1550" t="inlineStr">
        <is>
          <t>Orange</t>
        </is>
      </c>
      <c r="J1550" t="inlineStr">
        <is>
          <t>Villa Valencia Healthcare Center</t>
        </is>
      </c>
    </row>
    <row r="1551">
      <c r="A1551">
        <f>--ISNUMBER(IFERROR(SEARCH($C$5,Inputs!$D1551,1),""))</f>
        <v/>
      </c>
      <c r="B1551">
        <f>IF(A1551=1,COUNTIF($A$6:A1551,1),"")</f>
        <v/>
      </c>
      <c r="C1551">
        <f>IFERROR(INDEX($D$6:$D$1750,MATCH(ROWS($B$6:B1551),$B$6:$B$1750,0)),"")</f>
        <v/>
      </c>
      <c r="D1551">
        <f>J1551&amp;" ("&amp;E1551&amp;")"</f>
        <v/>
      </c>
      <c r="E1551" t="n">
        <v>26534</v>
      </c>
      <c r="F1551" t="inlineStr">
        <is>
          <t>Skilled Nursing and Interm. Care Facility</t>
        </is>
      </c>
      <c r="G1551" t="inlineStr">
        <is>
          <t>5445 Everglades Street</t>
        </is>
      </c>
      <c r="H1551" t="inlineStr">
        <is>
          <t>Ventura</t>
        </is>
      </c>
      <c r="I1551" t="inlineStr">
        <is>
          <t>Ventura</t>
        </is>
      </c>
      <c r="J1551" t="inlineStr">
        <is>
          <t>Victoria Care Center</t>
        </is>
      </c>
    </row>
    <row r="1552">
      <c r="A1552">
        <f>--ISNUMBER(IFERROR(SEARCH($C$5,Inputs!$D1552,1),""))</f>
        <v/>
      </c>
      <c r="B1552">
        <f>IF(A1552=1,COUNTIF($A$6:A1552,1),"")</f>
        <v/>
      </c>
      <c r="C1552">
        <f>IFERROR(INDEX($D$6:$D$1750,MATCH(ROWS($B$6:B1552),$B$6:$B$1750,0)),"")</f>
        <v/>
      </c>
      <c r="D1552">
        <f>J1552&amp;" ("&amp;E1552&amp;")"</f>
        <v/>
      </c>
      <c r="E1552" t="n">
        <v>26564</v>
      </c>
      <c r="F1552" t="inlineStr">
        <is>
          <t>Skilled Nursing and Interm. Care Facility</t>
        </is>
      </c>
      <c r="G1552" t="inlineStr">
        <is>
          <t>11959 Apple Valley Rd</t>
        </is>
      </c>
      <c r="H1552" t="inlineStr">
        <is>
          <t>Apple Valley</t>
        </is>
      </c>
      <c r="I1552" t="inlineStr">
        <is>
          <t>San Bernardino</t>
        </is>
      </c>
      <c r="J1552" t="inlineStr">
        <is>
          <t>Apple Valley Care Center</t>
        </is>
      </c>
    </row>
    <row r="1553">
      <c r="A1553">
        <f>--ISNUMBER(IFERROR(SEARCH($C$5,Inputs!$D1553,1),""))</f>
        <v/>
      </c>
      <c r="B1553">
        <f>IF(A1553=1,COUNTIF($A$6:A1553,1),"")</f>
        <v/>
      </c>
      <c r="C1553">
        <f>IFERROR(INDEX($D$6:$D$1750,MATCH(ROWS($B$6:B1553),$B$6:$B$1750,0)),"")</f>
        <v/>
      </c>
      <c r="D1553">
        <f>J1553&amp;" ("&amp;E1553&amp;")"</f>
        <v/>
      </c>
      <c r="E1553" t="n">
        <v>26603</v>
      </c>
      <c r="F1553" t="inlineStr">
        <is>
          <t>Skilled Nursing and Interm. Care Facility</t>
        </is>
      </c>
      <c r="G1553" t="inlineStr">
        <is>
          <t>1509 Tokay St</t>
        </is>
      </c>
      <c r="H1553" t="inlineStr">
        <is>
          <t>Delano</t>
        </is>
      </c>
      <c r="I1553" t="inlineStr">
        <is>
          <t>Kern</t>
        </is>
      </c>
      <c r="J1553" t="inlineStr">
        <is>
          <t>Delano District Skilled Nursing Facility</t>
        </is>
      </c>
    </row>
    <row r="1554">
      <c r="A1554">
        <f>--ISNUMBER(IFERROR(SEARCH($C$5,Inputs!$D1554,1),""))</f>
        <v/>
      </c>
      <c r="B1554">
        <f>IF(A1554=1,COUNTIF($A$6:A1554,1),"")</f>
        <v/>
      </c>
      <c r="C1554">
        <f>IFERROR(INDEX($D$6:$D$1750,MATCH(ROWS($B$6:B1554),$B$6:$B$1750,0)),"")</f>
        <v/>
      </c>
      <c r="D1554">
        <f>J1554&amp;" ("&amp;E1554&amp;")"</f>
        <v/>
      </c>
      <c r="E1554" t="n">
        <v>26661</v>
      </c>
      <c r="F1554" t="inlineStr">
        <is>
          <t>Skilled Nursing and Interm. Care Facility</t>
        </is>
      </c>
      <c r="G1554" t="inlineStr">
        <is>
          <t>11970 4th St</t>
        </is>
      </c>
      <c r="H1554" t="inlineStr">
        <is>
          <t>Yucaipa</t>
        </is>
      </c>
      <c r="I1554" t="inlineStr">
        <is>
          <t>San Bernardino</t>
        </is>
      </c>
      <c r="J1554" t="inlineStr">
        <is>
          <t>Cedar Mountain Post Acute</t>
        </is>
      </c>
    </row>
    <row r="1555">
      <c r="A1555">
        <f>--ISNUMBER(IFERROR(SEARCH($C$5,Inputs!$D1555,1),""))</f>
        <v/>
      </c>
      <c r="B1555">
        <f>IF(A1555=1,COUNTIF($A$6:A1555,1),"")</f>
        <v/>
      </c>
      <c r="C1555">
        <f>IFERROR(INDEX($D$6:$D$1750,MATCH(ROWS($B$6:B1555),$B$6:$B$1750,0)),"")</f>
        <v/>
      </c>
      <c r="D1555">
        <f>J1555&amp;" ("&amp;E1555&amp;")"</f>
        <v/>
      </c>
      <c r="E1555" t="n">
        <v>26667</v>
      </c>
      <c r="F1555" t="inlineStr">
        <is>
          <t>Skilled Nursing and Interm. Care Facility</t>
        </is>
      </c>
      <c r="G1555" t="inlineStr">
        <is>
          <t>3884 Nobel Dr.</t>
        </is>
      </c>
      <c r="H1555" t="inlineStr">
        <is>
          <t>San Diego</t>
        </is>
      </c>
      <c r="I1555" t="inlineStr">
        <is>
          <t>San Diego</t>
        </is>
      </c>
      <c r="J1555" t="inlineStr">
        <is>
          <t>The Springs At Pacific Regent</t>
        </is>
      </c>
    </row>
    <row r="1556">
      <c r="A1556">
        <f>--ISNUMBER(IFERROR(SEARCH($C$5,Inputs!$D1556,1),""))</f>
        <v/>
      </c>
      <c r="B1556">
        <f>IF(A1556=1,COUNTIF($A$6:A1556,1),"")</f>
        <v/>
      </c>
      <c r="C1556">
        <f>IFERROR(INDEX($D$6:$D$1750,MATCH(ROWS($B$6:B1556),$B$6:$B$1750,0)),"")</f>
        <v/>
      </c>
      <c r="D1556">
        <f>J1556&amp;" ("&amp;E1556&amp;")"</f>
        <v/>
      </c>
      <c r="E1556" t="n">
        <v>26684</v>
      </c>
      <c r="F1556" t="inlineStr">
        <is>
          <t>Skilled Nursing and Interm. Care Facility</t>
        </is>
      </c>
      <c r="G1556" t="inlineStr">
        <is>
          <t>494 Blossom Way</t>
        </is>
      </c>
      <c r="H1556" t="inlineStr">
        <is>
          <t>Hayward</t>
        </is>
      </c>
      <c r="I1556" t="inlineStr">
        <is>
          <t>Alameda</t>
        </is>
      </c>
      <c r="J1556" t="inlineStr">
        <is>
          <t>Morton Bakar Center</t>
        </is>
      </c>
    </row>
    <row r="1557">
      <c r="A1557">
        <f>--ISNUMBER(IFERROR(SEARCH($C$5,Inputs!$D1557,1),""))</f>
        <v/>
      </c>
      <c r="B1557">
        <f>IF(A1557=1,COUNTIF($A$6:A1557,1),"")</f>
        <v/>
      </c>
      <c r="C1557">
        <f>IFERROR(INDEX($D$6:$D$1750,MATCH(ROWS($B$6:B1557),$B$6:$B$1750,0)),"")</f>
        <v/>
      </c>
      <c r="D1557">
        <f>J1557&amp;" ("&amp;E1557&amp;")"</f>
        <v/>
      </c>
      <c r="E1557" t="n">
        <v>26687</v>
      </c>
      <c r="F1557" t="inlineStr">
        <is>
          <t>Skilled Nursing and Interm. Care Facility</t>
        </is>
      </c>
      <c r="G1557" t="inlineStr">
        <is>
          <t>3805 Dexter Lane</t>
        </is>
      </c>
      <c r="H1557" t="inlineStr">
        <is>
          <t>Clearlake</t>
        </is>
      </c>
      <c r="I1557" t="inlineStr">
        <is>
          <t>Lake</t>
        </is>
      </c>
      <c r="J1557" t="inlineStr">
        <is>
          <t>Meadowood Nursing Center</t>
        </is>
      </c>
    </row>
    <row r="1558">
      <c r="A1558">
        <f>--ISNUMBER(IFERROR(SEARCH($C$5,Inputs!$D1558,1),""))</f>
        <v/>
      </c>
      <c r="B1558">
        <f>IF(A1558=1,COUNTIF($A$6:A1558,1),"")</f>
        <v/>
      </c>
      <c r="C1558">
        <f>IFERROR(INDEX($D$6:$D$1750,MATCH(ROWS($B$6:B1558),$B$6:$B$1750,0)),"")</f>
        <v/>
      </c>
      <c r="D1558">
        <f>J1558&amp;" ("&amp;E1558&amp;")"</f>
        <v/>
      </c>
      <c r="E1558" t="n">
        <v>26699</v>
      </c>
      <c r="F1558" t="inlineStr">
        <is>
          <t>Skilled Nursing and Interm. Care Facility</t>
        </is>
      </c>
      <c r="G1558" t="inlineStr">
        <is>
          <t>1763 Royal Oaks Dr</t>
        </is>
      </c>
      <c r="H1558" t="inlineStr">
        <is>
          <t>Duarte</t>
        </is>
      </c>
      <c r="I1558" t="inlineStr">
        <is>
          <t>Los Angeles</t>
        </is>
      </c>
      <c r="J1558" t="inlineStr">
        <is>
          <t>Royal Oaks Manor - Bradbury Oaks</t>
        </is>
      </c>
    </row>
    <row r="1559">
      <c r="A1559">
        <f>--ISNUMBER(IFERROR(SEARCH($C$5,Inputs!$D1559,1),""))</f>
        <v/>
      </c>
      <c r="B1559">
        <f>IF(A1559=1,COUNTIF($A$6:A1559,1),"")</f>
        <v/>
      </c>
      <c r="C1559">
        <f>IFERROR(INDEX($D$6:$D$1750,MATCH(ROWS($B$6:B1559),$B$6:$B$1750,0)),"")</f>
        <v/>
      </c>
      <c r="D1559">
        <f>J1559&amp;" ("&amp;E1559&amp;")"</f>
        <v/>
      </c>
      <c r="E1559" t="n">
        <v>26754</v>
      </c>
      <c r="F1559" t="inlineStr">
        <is>
          <t>Skilled Nursing and Interm. Care Facility</t>
        </is>
      </c>
      <c r="G1559" t="inlineStr">
        <is>
          <t>2525 Brea Blvd</t>
        </is>
      </c>
      <c r="H1559" t="inlineStr">
        <is>
          <t>Fullerton</t>
        </is>
      </c>
      <c r="I1559" t="inlineStr">
        <is>
          <t>Orange</t>
        </is>
      </c>
      <c r="J1559" t="inlineStr">
        <is>
          <t>Park Vista At Morningside</t>
        </is>
      </c>
    </row>
    <row r="1560">
      <c r="A1560">
        <f>--ISNUMBER(IFERROR(SEARCH($C$5,Inputs!$D1560,1),""))</f>
        <v/>
      </c>
      <c r="B1560">
        <f>IF(A1560=1,COUNTIF($A$6:A1560,1),"")</f>
        <v/>
      </c>
      <c r="C1560">
        <f>IFERROR(INDEX($D$6:$D$1750,MATCH(ROWS($B$6:B1560),$B$6:$B$1750,0)),"")</f>
        <v/>
      </c>
      <c r="D1560">
        <f>J1560&amp;" ("&amp;E1560&amp;")"</f>
        <v/>
      </c>
      <c r="E1560" t="n">
        <v>26768</v>
      </c>
      <c r="F1560" t="inlineStr">
        <is>
          <t>Skilled Nursing and Interm. Care Facility</t>
        </is>
      </c>
      <c r="G1560" t="inlineStr">
        <is>
          <t>275 Garnet Way</t>
        </is>
      </c>
      <c r="H1560" t="inlineStr">
        <is>
          <t>Upland</t>
        </is>
      </c>
      <c r="I1560" t="inlineStr">
        <is>
          <t>San Bernardino</t>
        </is>
      </c>
      <c r="J1560" t="inlineStr">
        <is>
          <t>Heritage Park Nursing Center</t>
        </is>
      </c>
    </row>
    <row r="1561">
      <c r="A1561">
        <f>--ISNUMBER(IFERROR(SEARCH($C$5,Inputs!$D1561,1),""))</f>
        <v/>
      </c>
      <c r="B1561">
        <f>IF(A1561=1,COUNTIF($A$6:A1561,1),"")</f>
        <v/>
      </c>
      <c r="C1561">
        <f>IFERROR(INDEX($D$6:$D$1750,MATCH(ROWS($B$6:B1561),$B$6:$B$1750,0)),"")</f>
        <v/>
      </c>
      <c r="D1561">
        <f>J1561&amp;" ("&amp;E1561&amp;")"</f>
        <v/>
      </c>
      <c r="E1561" t="n">
        <v>26772</v>
      </c>
      <c r="F1561" t="inlineStr">
        <is>
          <t>Skilled Nursing and Interm. Care Facility</t>
        </is>
      </c>
      <c r="G1561" t="inlineStr">
        <is>
          <t>23600 Via Esplendor</t>
        </is>
      </c>
      <c r="H1561" t="inlineStr">
        <is>
          <t>Cupertino</t>
        </is>
      </c>
      <c r="I1561" t="inlineStr">
        <is>
          <t>Santa Clara</t>
        </is>
      </c>
      <c r="J1561" t="inlineStr">
        <is>
          <t>Health Care Ctr At The Forum At Rancho San Antonio</t>
        </is>
      </c>
    </row>
    <row r="1562">
      <c r="A1562">
        <f>--ISNUMBER(IFERROR(SEARCH($C$5,Inputs!$D1562,1),""))</f>
        <v/>
      </c>
      <c r="B1562">
        <f>IF(A1562=1,COUNTIF($A$6:A1562,1),"")</f>
        <v/>
      </c>
      <c r="C1562">
        <f>IFERROR(INDEX($D$6:$D$1750,MATCH(ROWS($B$6:B1562),$B$6:$B$1750,0)),"")</f>
        <v/>
      </c>
      <c r="D1562">
        <f>J1562&amp;" ("&amp;E1562&amp;")"</f>
        <v/>
      </c>
      <c r="E1562" t="n">
        <v>26819</v>
      </c>
      <c r="F1562" t="inlineStr">
        <is>
          <t>Skilled Nursing and Interm. Care Facility</t>
        </is>
      </c>
      <c r="G1562" t="inlineStr">
        <is>
          <t>612 Main St</t>
        </is>
      </c>
      <c r="H1562" t="inlineStr">
        <is>
          <t>Soledad</t>
        </is>
      </c>
      <c r="I1562" t="inlineStr">
        <is>
          <t>Monterey</t>
        </is>
      </c>
      <c r="J1562" t="inlineStr">
        <is>
          <t>Eden Valley Care Center</t>
        </is>
      </c>
    </row>
    <row r="1563">
      <c r="A1563">
        <f>--ISNUMBER(IFERROR(SEARCH($C$5,Inputs!$D1563,1),""))</f>
        <v/>
      </c>
      <c r="B1563">
        <f>IF(A1563=1,COUNTIF($A$6:A1563,1),"")</f>
        <v/>
      </c>
      <c r="C1563">
        <f>IFERROR(INDEX($D$6:$D$1750,MATCH(ROWS($B$6:B1563),$B$6:$B$1750,0)),"")</f>
        <v/>
      </c>
      <c r="D1563">
        <f>J1563&amp;" ("&amp;E1563&amp;")"</f>
        <v/>
      </c>
      <c r="E1563" t="n">
        <v>26854</v>
      </c>
      <c r="F1563" t="inlineStr">
        <is>
          <t>Skilled Nursing and Interm. Care Facility</t>
        </is>
      </c>
      <c r="G1563" t="inlineStr">
        <is>
          <t>9000 Larkin Rd</t>
        </is>
      </c>
      <c r="H1563" t="inlineStr">
        <is>
          <t>Live Oak</t>
        </is>
      </c>
      <c r="I1563" t="inlineStr">
        <is>
          <t>Sutter</t>
        </is>
      </c>
      <c r="J1563" t="inlineStr">
        <is>
          <t>River Valley Care Center</t>
        </is>
      </c>
    </row>
    <row r="1564">
      <c r="A1564">
        <f>--ISNUMBER(IFERROR(SEARCH($C$5,Inputs!$D1564,1),""))</f>
        <v/>
      </c>
      <c r="B1564">
        <f>IF(A1564=1,COUNTIF($A$6:A1564,1),"")</f>
        <v/>
      </c>
      <c r="C1564">
        <f>IFERROR(INDEX($D$6:$D$1750,MATCH(ROWS($B$6:B1564),$B$6:$B$1750,0)),"")</f>
        <v/>
      </c>
      <c r="D1564">
        <f>J1564&amp;" ("&amp;E1564&amp;")"</f>
        <v/>
      </c>
      <c r="E1564" t="n">
        <v>26855</v>
      </c>
      <c r="F1564" t="inlineStr">
        <is>
          <t>Skilled Nursing and Interm. Care Facility</t>
        </is>
      </c>
      <c r="G1564" t="inlineStr">
        <is>
          <t>800 Blossom Hill Rd</t>
        </is>
      </c>
      <c r="H1564" t="inlineStr">
        <is>
          <t>Los Gatos</t>
        </is>
      </c>
      <c r="I1564" t="inlineStr">
        <is>
          <t>Santa Clara</t>
        </is>
      </c>
      <c r="J1564" t="inlineStr">
        <is>
          <t>The Terraces Of Los Gatos</t>
        </is>
      </c>
    </row>
    <row r="1565">
      <c r="A1565">
        <f>--ISNUMBER(IFERROR(SEARCH($C$5,Inputs!$D1565,1),""))</f>
        <v/>
      </c>
      <c r="B1565">
        <f>IF(A1565=1,COUNTIF($A$6:A1565,1),"")</f>
        <v/>
      </c>
      <c r="C1565">
        <f>IFERROR(INDEX($D$6:$D$1750,MATCH(ROWS($B$6:B1565),$B$6:$B$1750,0)),"")</f>
        <v/>
      </c>
      <c r="D1565">
        <f>J1565&amp;" ("&amp;E1565&amp;")"</f>
        <v/>
      </c>
      <c r="E1565" t="n">
        <v>27068</v>
      </c>
      <c r="F1565" t="inlineStr">
        <is>
          <t>Skilled Nursing and Interm. Care Facility</t>
        </is>
      </c>
      <c r="G1565" t="inlineStr">
        <is>
          <t>15125 Gale Ave</t>
        </is>
      </c>
      <c r="H1565" t="inlineStr">
        <is>
          <t>Hacienda Heights</t>
        </is>
      </c>
      <c r="I1565" t="inlineStr">
        <is>
          <t>Los Angeles</t>
        </is>
      </c>
      <c r="J1565" t="inlineStr">
        <is>
          <t>Helen Evans Home</t>
        </is>
      </c>
    </row>
    <row r="1566">
      <c r="A1566">
        <f>--ISNUMBER(IFERROR(SEARCH($C$5,Inputs!$D1566,1),""))</f>
        <v/>
      </c>
      <c r="B1566">
        <f>IF(A1566=1,COUNTIF($A$6:A1566,1),"")</f>
        <v/>
      </c>
      <c r="C1566">
        <f>IFERROR(INDEX($D$6:$D$1750,MATCH(ROWS($B$6:B1566),$B$6:$B$1750,0)),"")</f>
        <v/>
      </c>
      <c r="D1566">
        <f>J1566&amp;" ("&amp;E1566&amp;")"</f>
        <v/>
      </c>
      <c r="E1566" t="n">
        <v>27096</v>
      </c>
      <c r="F1566" t="inlineStr">
        <is>
          <t>Skilled Nursing and Interm. Care Facility</t>
        </is>
      </c>
      <c r="G1566" t="inlineStr">
        <is>
          <t>2800 Estates Dr</t>
        </is>
      </c>
      <c r="H1566" t="inlineStr">
        <is>
          <t>Fairfield</t>
        </is>
      </c>
      <c r="I1566" t="inlineStr">
        <is>
          <t>Solano</t>
        </is>
      </c>
      <c r="J1566" t="inlineStr">
        <is>
          <t>Laurel Creek Health Center</t>
        </is>
      </c>
    </row>
    <row r="1567">
      <c r="A1567">
        <f>--ISNUMBER(IFERROR(SEARCH($C$5,Inputs!$D1567,1),""))</f>
        <v/>
      </c>
      <c r="B1567">
        <f>IF(A1567=1,COUNTIF($A$6:A1567,1),"")</f>
        <v/>
      </c>
      <c r="C1567">
        <f>IFERROR(INDEX($D$6:$D$1750,MATCH(ROWS($B$6:B1567),$B$6:$B$1750,0)),"")</f>
        <v/>
      </c>
      <c r="D1567">
        <f>J1567&amp;" ("&amp;E1567&amp;")"</f>
        <v/>
      </c>
      <c r="E1567" t="n">
        <v>27105</v>
      </c>
      <c r="F1567" t="inlineStr">
        <is>
          <t>Skilled Nursing and Interm. Care Facility</t>
        </is>
      </c>
      <c r="G1567" t="inlineStr">
        <is>
          <t>2725 Pacific Ave</t>
        </is>
      </c>
      <c r="H1567" t="inlineStr">
        <is>
          <t>Long Beach</t>
        </is>
      </c>
      <c r="I1567" t="inlineStr">
        <is>
          <t>Los Angeles</t>
        </is>
      </c>
      <c r="J1567" t="inlineStr">
        <is>
          <t>Royal Care Skilled Nursing Center</t>
        </is>
      </c>
    </row>
    <row r="1568">
      <c r="A1568">
        <f>--ISNUMBER(IFERROR(SEARCH($C$5,Inputs!$D1568,1),""))</f>
        <v/>
      </c>
      <c r="B1568">
        <f>IF(A1568=1,COUNTIF($A$6:A1568,1),"")</f>
        <v/>
      </c>
      <c r="C1568">
        <f>IFERROR(INDEX($D$6:$D$1750,MATCH(ROWS($B$6:B1568),$B$6:$B$1750,0)),"")</f>
        <v/>
      </c>
      <c r="D1568">
        <f>J1568&amp;" ("&amp;E1568&amp;")"</f>
        <v/>
      </c>
      <c r="E1568" t="n">
        <v>27177</v>
      </c>
      <c r="F1568" t="inlineStr">
        <is>
          <t>Skilled Nursing and Interm. Care Facility</t>
        </is>
      </c>
      <c r="G1568" t="inlineStr">
        <is>
          <t>2855 Carlsbad Blvd</t>
        </is>
      </c>
      <c r="H1568" t="inlineStr">
        <is>
          <t>Carlsbad</t>
        </is>
      </c>
      <c r="I1568" t="inlineStr">
        <is>
          <t>San Diego</t>
        </is>
      </c>
      <c r="J1568" t="inlineStr">
        <is>
          <t>Carlsbad by the Sea</t>
        </is>
      </c>
    </row>
    <row r="1569">
      <c r="A1569">
        <f>--ISNUMBER(IFERROR(SEARCH($C$5,Inputs!$D1569,1),""))</f>
        <v/>
      </c>
      <c r="B1569">
        <f>IF(A1569=1,COUNTIF($A$6:A1569,1),"")</f>
        <v/>
      </c>
      <c r="C1569">
        <f>IFERROR(INDEX($D$6:$D$1750,MATCH(ROWS($B$6:B1569),$B$6:$B$1750,0)),"")</f>
        <v/>
      </c>
      <c r="D1569">
        <f>J1569&amp;" ("&amp;E1569&amp;")"</f>
        <v/>
      </c>
      <c r="E1569" t="n">
        <v>27212</v>
      </c>
      <c r="F1569" t="inlineStr">
        <is>
          <t>Skilled Nursing and Interm. Care Facility</t>
        </is>
      </c>
      <c r="G1569" t="inlineStr">
        <is>
          <t>11600 Education St</t>
        </is>
      </c>
      <c r="H1569" t="inlineStr">
        <is>
          <t>Auburn</t>
        </is>
      </c>
      <c r="I1569" t="inlineStr">
        <is>
          <t>Placer</t>
        </is>
      </c>
      <c r="J1569" t="inlineStr">
        <is>
          <t>Siena Skilled Nursing &amp; Rehabilitation Center</t>
        </is>
      </c>
    </row>
    <row r="1570">
      <c r="A1570">
        <f>--ISNUMBER(IFERROR(SEARCH($C$5,Inputs!$D1570,1),""))</f>
        <v/>
      </c>
      <c r="B1570">
        <f>IF(A1570=1,COUNTIF($A$6:A1570,1),"")</f>
        <v/>
      </c>
      <c r="C1570">
        <f>IFERROR(INDEX($D$6:$D$1750,MATCH(ROWS($B$6:B1570),$B$6:$B$1750,0)),"")</f>
        <v/>
      </c>
      <c r="D1570">
        <f>J1570&amp;" ("&amp;E1570&amp;")"</f>
        <v/>
      </c>
      <c r="E1570" t="n">
        <v>27267</v>
      </c>
      <c r="F1570" t="inlineStr">
        <is>
          <t>Skilled Nursing and Interm. Care Facility</t>
        </is>
      </c>
      <c r="G1570" t="inlineStr">
        <is>
          <t>1740 San Dimas Ave</t>
        </is>
      </c>
      <c r="H1570" t="inlineStr">
        <is>
          <t>San Dimas</t>
        </is>
      </c>
      <c r="I1570" t="inlineStr">
        <is>
          <t>Los Angeles</t>
        </is>
      </c>
      <c r="J1570" t="inlineStr">
        <is>
          <t>Serento Casa</t>
        </is>
      </c>
    </row>
    <row r="1571">
      <c r="A1571">
        <f>--ISNUMBER(IFERROR(SEARCH($C$5,Inputs!$D1571,1),""))</f>
        <v/>
      </c>
      <c r="B1571">
        <f>IF(A1571=1,COUNTIF($A$6:A1571,1),"")</f>
        <v/>
      </c>
      <c r="C1571">
        <f>IFERROR(INDEX($D$6:$D$1750,MATCH(ROWS($B$6:B1571),$B$6:$B$1750,0)),"")</f>
        <v/>
      </c>
      <c r="D1571">
        <f>J1571&amp;" ("&amp;E1571&amp;")"</f>
        <v/>
      </c>
      <c r="E1571" t="n">
        <v>27290</v>
      </c>
      <c r="F1571" t="inlineStr">
        <is>
          <t>Skilled Nursing and Interm. Care Facility</t>
        </is>
      </c>
      <c r="G1571" t="inlineStr">
        <is>
          <t>19929 Greenley Rd.</t>
        </is>
      </c>
      <c r="H1571" t="inlineStr">
        <is>
          <t>Sonora</t>
        </is>
      </c>
      <c r="I1571" t="inlineStr">
        <is>
          <t>Tuolumne</t>
        </is>
      </c>
      <c r="J1571" t="inlineStr">
        <is>
          <t>Avalon Care Center - Sonora</t>
        </is>
      </c>
    </row>
    <row r="1572">
      <c r="A1572">
        <f>--ISNUMBER(IFERROR(SEARCH($C$5,Inputs!$D1572,1),""))</f>
        <v/>
      </c>
      <c r="B1572">
        <f>IF(A1572=1,COUNTIF($A$6:A1572,1),"")</f>
        <v/>
      </c>
      <c r="C1572">
        <f>IFERROR(INDEX($D$6:$D$1750,MATCH(ROWS($B$6:B1572),$B$6:$B$1750,0)),"")</f>
        <v/>
      </c>
      <c r="D1572">
        <f>J1572&amp;" ("&amp;E1572&amp;")"</f>
        <v/>
      </c>
      <c r="E1572" t="n">
        <v>27294</v>
      </c>
      <c r="F1572" t="inlineStr">
        <is>
          <t>Skilled Nursing and Interm. Care Facility</t>
        </is>
      </c>
      <c r="G1572" t="inlineStr">
        <is>
          <t>7447 Sepulveda Blvd.</t>
        </is>
      </c>
      <c r="H1572" t="inlineStr">
        <is>
          <t>Van Nuys</t>
        </is>
      </c>
      <c r="I1572" t="inlineStr">
        <is>
          <t>Los Angeles</t>
        </is>
      </c>
      <c r="J1572" t="inlineStr">
        <is>
          <t>Windsor Terrace Healthcare Center</t>
        </is>
      </c>
    </row>
    <row r="1573">
      <c r="A1573">
        <f>--ISNUMBER(IFERROR(SEARCH($C$5,Inputs!$D1573,1),""))</f>
        <v/>
      </c>
      <c r="B1573">
        <f>IF(A1573=1,COUNTIF($A$6:A1573,1),"")</f>
        <v/>
      </c>
      <c r="C1573">
        <f>IFERROR(INDEX($D$6:$D$1750,MATCH(ROWS($B$6:B1573),$B$6:$B$1750,0)),"")</f>
        <v/>
      </c>
      <c r="D1573">
        <f>J1573&amp;" ("&amp;E1573&amp;")"</f>
        <v/>
      </c>
      <c r="E1573" t="n">
        <v>27354</v>
      </c>
      <c r="F1573" t="inlineStr">
        <is>
          <t>Skilled Nursing and Interm. Care Facility</t>
        </is>
      </c>
      <c r="G1573" t="inlineStr">
        <is>
          <t>1441 Berkeley Drive</t>
        </is>
      </c>
      <c r="H1573" t="inlineStr">
        <is>
          <t>Los Banos</t>
        </is>
      </c>
      <c r="I1573" t="inlineStr">
        <is>
          <t>Merced</t>
        </is>
      </c>
      <c r="J1573" t="inlineStr">
        <is>
          <t>New Bethany</t>
        </is>
      </c>
    </row>
    <row r="1574">
      <c r="A1574">
        <f>--ISNUMBER(IFERROR(SEARCH($C$5,Inputs!$D1574,1),""))</f>
        <v/>
      </c>
      <c r="B1574">
        <f>IF(A1574=1,COUNTIF($A$6:A1574,1),"")</f>
        <v/>
      </c>
      <c r="C1574">
        <f>IFERROR(INDEX($D$6:$D$1750,MATCH(ROWS($B$6:B1574),$B$6:$B$1750,0)),"")</f>
        <v/>
      </c>
      <c r="D1574">
        <f>J1574&amp;" ("&amp;E1574&amp;")"</f>
        <v/>
      </c>
      <c r="E1574" t="n">
        <v>27355</v>
      </c>
      <c r="F1574" t="inlineStr">
        <is>
          <t>Skilled Nursing and Interm. Care Facility</t>
        </is>
      </c>
      <c r="G1574" t="inlineStr">
        <is>
          <t>3140 El Camino Real</t>
        </is>
      </c>
      <c r="H1574" t="inlineStr">
        <is>
          <t>Carlsbad</t>
        </is>
      </c>
      <c r="I1574" t="inlineStr">
        <is>
          <t>San Diego</t>
        </is>
      </c>
      <c r="J1574" t="inlineStr">
        <is>
          <t>Bayshire Carlsbad</t>
        </is>
      </c>
    </row>
    <row r="1575">
      <c r="A1575">
        <f>--ISNUMBER(IFERROR(SEARCH($C$5,Inputs!$D1575,1),""))</f>
        <v/>
      </c>
      <c r="B1575">
        <f>IF(A1575=1,COUNTIF($A$6:A1575,1),"")</f>
        <v/>
      </c>
      <c r="C1575">
        <f>IFERROR(INDEX($D$6:$D$1750,MATCH(ROWS($B$6:B1575),$B$6:$B$1750,0)),"")</f>
        <v/>
      </c>
      <c r="D1575">
        <f>J1575&amp;" ("&amp;E1575&amp;")"</f>
        <v/>
      </c>
      <c r="E1575" t="n">
        <v>27356</v>
      </c>
      <c r="F1575" t="inlineStr">
        <is>
          <t>Skilled Nursing and Interm. Care Facility</t>
        </is>
      </c>
      <c r="G1575" t="inlineStr">
        <is>
          <t>13101 Hartfield Ave.</t>
        </is>
      </c>
      <c r="H1575" t="inlineStr">
        <is>
          <t>San Diego</t>
        </is>
      </c>
      <c r="I1575" t="inlineStr">
        <is>
          <t>San Diego</t>
        </is>
      </c>
      <c r="J1575" t="inlineStr">
        <is>
          <t>Torrey Pines Senior Living</t>
        </is>
      </c>
    </row>
    <row r="1576">
      <c r="A1576">
        <f>--ISNUMBER(IFERROR(SEARCH($C$5,Inputs!$D1576,1),""))</f>
        <v/>
      </c>
      <c r="B1576">
        <f>IF(A1576=1,COUNTIF($A$6:A1576,1),"")</f>
        <v/>
      </c>
      <c r="C1576">
        <f>IFERROR(INDEX($D$6:$D$1750,MATCH(ROWS($B$6:B1576),$B$6:$B$1750,0)),"")</f>
        <v/>
      </c>
      <c r="D1576">
        <f>J1576&amp;" ("&amp;E1576&amp;")"</f>
        <v/>
      </c>
      <c r="E1576" t="n">
        <v>27357</v>
      </c>
      <c r="F1576" t="inlineStr">
        <is>
          <t>Skilled Nursing and Interm. Care Facility</t>
        </is>
      </c>
      <c r="G1576" t="inlineStr">
        <is>
          <t>2125 North Olive Avenue</t>
        </is>
      </c>
      <c r="H1576" t="inlineStr">
        <is>
          <t>Turlock</t>
        </is>
      </c>
      <c r="I1576" t="inlineStr">
        <is>
          <t>Stanislaus</t>
        </is>
      </c>
      <c r="J1576" t="inlineStr">
        <is>
          <t>Covenant Village Care Center</t>
        </is>
      </c>
    </row>
    <row r="1577">
      <c r="A1577">
        <f>--ISNUMBER(IFERROR(SEARCH($C$5,Inputs!$D1577,1),""))</f>
        <v/>
      </c>
      <c r="B1577">
        <f>IF(A1577=1,COUNTIF($A$6:A1577,1),"")</f>
        <v/>
      </c>
      <c r="C1577">
        <f>IFERROR(INDEX($D$6:$D$1750,MATCH(ROWS($B$6:B1577),$B$6:$B$1750,0)),"")</f>
        <v/>
      </c>
      <c r="D1577">
        <f>J1577&amp;" ("&amp;E1577&amp;")"</f>
        <v/>
      </c>
      <c r="E1577" t="n">
        <v>27370</v>
      </c>
      <c r="F1577" t="inlineStr">
        <is>
          <t>Skilled Nursing and Interm. Care Facility</t>
        </is>
      </c>
      <c r="G1577" t="inlineStr">
        <is>
          <t>4000 Camino Tassajara</t>
        </is>
      </c>
      <c r="H1577" t="inlineStr">
        <is>
          <t>Danville</t>
        </is>
      </c>
      <c r="I1577" t="inlineStr">
        <is>
          <t>Contra Costa</t>
        </is>
      </c>
      <c r="J1577" t="inlineStr">
        <is>
          <t>The Reutlinger Community</t>
        </is>
      </c>
    </row>
    <row r="1578">
      <c r="A1578">
        <f>--ISNUMBER(IFERROR(SEARCH($C$5,Inputs!$D1578,1),""))</f>
        <v/>
      </c>
      <c r="B1578">
        <f>IF(A1578=1,COUNTIF($A$6:A1578,1),"")</f>
        <v/>
      </c>
      <c r="C1578">
        <f>IFERROR(INDEX($D$6:$D$1750,MATCH(ROWS($B$6:B1578),$B$6:$B$1750,0)),"")</f>
        <v/>
      </c>
      <c r="D1578">
        <f>J1578&amp;" ("&amp;E1578&amp;")"</f>
        <v/>
      </c>
      <c r="E1578" t="n">
        <v>27411</v>
      </c>
      <c r="F1578" t="inlineStr">
        <is>
          <t>Skilled Nursing and Interm. Care Facility</t>
        </is>
      </c>
      <c r="G1578" t="inlineStr">
        <is>
          <t>24100 Monroe Ave</t>
        </is>
      </c>
      <c r="H1578" t="inlineStr">
        <is>
          <t>Murrieta</t>
        </is>
      </c>
      <c r="I1578" t="inlineStr">
        <is>
          <t>Riverside</t>
        </is>
      </c>
      <c r="J1578" t="inlineStr">
        <is>
          <t>Murrieta Health And Rehabilitation Center</t>
        </is>
      </c>
    </row>
    <row r="1579">
      <c r="A1579">
        <f>--ISNUMBER(IFERROR(SEARCH($C$5,Inputs!$D1579,1),""))</f>
        <v/>
      </c>
      <c r="B1579">
        <f>IF(A1579=1,COUNTIF($A$6:A1579,1),"")</f>
        <v/>
      </c>
      <c r="C1579">
        <f>IFERROR(INDEX($D$6:$D$1750,MATCH(ROWS($B$6:B1579),$B$6:$B$1750,0)),"")</f>
        <v/>
      </c>
      <c r="D1579">
        <f>J1579&amp;" ("&amp;E1579&amp;")"</f>
        <v/>
      </c>
      <c r="E1579" t="n">
        <v>27439</v>
      </c>
      <c r="F1579" t="inlineStr">
        <is>
          <t>Skilled Nursing and Interm. Care Facility</t>
        </is>
      </c>
      <c r="G1579" t="inlineStr">
        <is>
          <t>31741 Rancho Viejo Rd</t>
        </is>
      </c>
      <c r="H1579" t="inlineStr">
        <is>
          <t>San Juan Capistrano</t>
        </is>
      </c>
      <c r="I1579" t="inlineStr">
        <is>
          <t>Orange</t>
        </is>
      </c>
      <c r="J1579" t="inlineStr">
        <is>
          <t>Mission Capistrano Healthcare Center</t>
        </is>
      </c>
    </row>
    <row r="1580">
      <c r="A1580">
        <f>--ISNUMBER(IFERROR(SEARCH($C$5,Inputs!$D1580,1),""))</f>
        <v/>
      </c>
      <c r="B1580">
        <f>IF(A1580=1,COUNTIF($A$6:A1580,1),"")</f>
        <v/>
      </c>
      <c r="C1580">
        <f>IFERROR(INDEX($D$6:$D$1750,MATCH(ROWS($B$6:B1580),$B$6:$B$1750,0)),"")</f>
        <v/>
      </c>
      <c r="D1580">
        <f>J1580&amp;" ("&amp;E1580&amp;")"</f>
        <v/>
      </c>
      <c r="E1580" t="n">
        <v>27494</v>
      </c>
      <c r="F1580" t="inlineStr">
        <is>
          <t>Skilled Nursing and Interm. Care Facility</t>
        </is>
      </c>
      <c r="G1580" t="inlineStr">
        <is>
          <t>1515 Shasta Dr</t>
        </is>
      </c>
      <c r="H1580" t="inlineStr">
        <is>
          <t>Davis</t>
        </is>
      </c>
      <c r="I1580" t="inlineStr">
        <is>
          <t>Yolo</t>
        </is>
      </c>
      <c r="J1580" t="inlineStr">
        <is>
          <t>University Retirement Community at Davis</t>
        </is>
      </c>
    </row>
    <row r="1581">
      <c r="A1581">
        <f>--ISNUMBER(IFERROR(SEARCH($C$5,Inputs!$D1581,1),""))</f>
        <v/>
      </c>
      <c r="B1581">
        <f>IF(A1581=1,COUNTIF($A$6:A1581,1),"")</f>
        <v/>
      </c>
      <c r="C1581">
        <f>IFERROR(INDEX($D$6:$D$1750,MATCH(ROWS($B$6:B1581),$B$6:$B$1750,0)),"")</f>
        <v/>
      </c>
      <c r="D1581">
        <f>J1581&amp;" ("&amp;E1581&amp;")"</f>
        <v/>
      </c>
      <c r="E1581" t="n">
        <v>27522</v>
      </c>
      <c r="F1581" t="inlineStr">
        <is>
          <t>Skilled Nursing and Interm. Care Facility</t>
        </is>
      </c>
      <c r="G1581" t="inlineStr">
        <is>
          <t>1575 Bishop St.</t>
        </is>
      </c>
      <c r="H1581" t="inlineStr">
        <is>
          <t>San Luis Obispo</t>
        </is>
      </c>
      <c r="I1581" t="inlineStr">
        <is>
          <t>San Luis Obispo</t>
        </is>
      </c>
      <c r="J1581" t="inlineStr">
        <is>
          <t>San Luis Transitional Care</t>
        </is>
      </c>
    </row>
    <row r="1582">
      <c r="A1582">
        <f>--ISNUMBER(IFERROR(SEARCH($C$5,Inputs!$D1582,1),""))</f>
        <v/>
      </c>
      <c r="B1582">
        <f>IF(A1582=1,COUNTIF($A$6:A1582,1),"")</f>
        <v/>
      </c>
      <c r="C1582">
        <f>IFERROR(INDEX($D$6:$D$1750,MATCH(ROWS($B$6:B1582),$B$6:$B$1750,0)),"")</f>
        <v/>
      </c>
      <c r="D1582">
        <f>J1582&amp;" ("&amp;E1582&amp;")"</f>
        <v/>
      </c>
      <c r="E1582" t="n">
        <v>27570</v>
      </c>
      <c r="F1582" t="inlineStr">
        <is>
          <t>Skilled Nursing and Interm. Care Facility</t>
        </is>
      </c>
      <c r="G1582" t="inlineStr">
        <is>
          <t>6000 Santa Rosa Rd</t>
        </is>
      </c>
      <c r="H1582" t="inlineStr">
        <is>
          <t>Camarillo</t>
        </is>
      </c>
      <c r="I1582" t="inlineStr">
        <is>
          <t>Ventura</t>
        </is>
      </c>
      <c r="J1582" t="inlineStr">
        <is>
          <t>Camarillo Senior Living</t>
        </is>
      </c>
    </row>
    <row r="1583">
      <c r="A1583">
        <f>--ISNUMBER(IFERROR(SEARCH($C$5,Inputs!$D1583,1),""))</f>
        <v/>
      </c>
      <c r="B1583">
        <f>IF(A1583=1,COUNTIF($A$6:A1583,1),"")</f>
        <v/>
      </c>
      <c r="C1583">
        <f>IFERROR(INDEX($D$6:$D$1750,MATCH(ROWS($B$6:B1583),$B$6:$B$1750,0)),"")</f>
        <v/>
      </c>
      <c r="D1583">
        <f>J1583&amp;" ("&amp;E1583&amp;")"</f>
        <v/>
      </c>
      <c r="E1583" t="n">
        <v>27571</v>
      </c>
      <c r="F1583" t="inlineStr">
        <is>
          <t>Skilled Nursing and Interm. Care Facility</t>
        </is>
      </c>
      <c r="G1583" t="inlineStr">
        <is>
          <t>17803 Imperial Hwy</t>
        </is>
      </c>
      <c r="H1583" t="inlineStr">
        <is>
          <t>Yorba Linda</t>
        </is>
      </c>
      <c r="I1583" t="inlineStr">
        <is>
          <t>Orange</t>
        </is>
      </c>
      <c r="J1583" t="inlineStr">
        <is>
          <t>Serento Rosa</t>
        </is>
      </c>
    </row>
    <row r="1584">
      <c r="A1584">
        <f>--ISNUMBER(IFERROR(SEARCH($C$5,Inputs!$D1584,1),""))</f>
        <v/>
      </c>
      <c r="B1584">
        <f>IF(A1584=1,COUNTIF($A$6:A1584,1),"")</f>
        <v/>
      </c>
      <c r="C1584">
        <f>IFERROR(INDEX($D$6:$D$1750,MATCH(ROWS($B$6:B1584),$B$6:$B$1750,0)),"")</f>
        <v/>
      </c>
      <c r="D1584">
        <f>J1584&amp;" ("&amp;E1584&amp;")"</f>
        <v/>
      </c>
      <c r="E1584" t="n">
        <v>27594</v>
      </c>
      <c r="F1584" t="inlineStr">
        <is>
          <t>Skilled Nursing and Interm. Care Facility</t>
        </is>
      </c>
      <c r="G1584" t="inlineStr">
        <is>
          <t>72201 Country Club Dr</t>
        </is>
      </c>
      <c r="H1584" t="inlineStr">
        <is>
          <t>Rancho Mirage</t>
        </is>
      </c>
      <c r="I1584" t="inlineStr">
        <is>
          <t>Riverside</t>
        </is>
      </c>
      <c r="J1584" t="inlineStr">
        <is>
          <t>Bayshire Rancho Mirage</t>
        </is>
      </c>
    </row>
    <row r="1585">
      <c r="A1585">
        <f>--ISNUMBER(IFERROR(SEARCH($C$5,Inputs!$D1585,1),""))</f>
        <v/>
      </c>
      <c r="B1585">
        <f>IF(A1585=1,COUNTIF($A$6:A1585,1),"")</f>
        <v/>
      </c>
      <c r="C1585">
        <f>IFERROR(INDEX($D$6:$D$1750,MATCH(ROWS($B$6:B1585),$B$6:$B$1750,0)),"")</f>
        <v/>
      </c>
      <c r="D1585">
        <f>J1585&amp;" ("&amp;E1585&amp;")"</f>
        <v/>
      </c>
      <c r="E1585" t="n">
        <v>27644</v>
      </c>
      <c r="F1585" t="inlineStr">
        <is>
          <t>Skilled Nursing and Interm. Care Facility</t>
        </is>
      </c>
      <c r="G1585" t="inlineStr">
        <is>
          <t>350 Calloway Dr, Building C</t>
        </is>
      </c>
      <c r="H1585" t="inlineStr">
        <is>
          <t>Bakersfield</t>
        </is>
      </c>
      <c r="I1585" t="inlineStr">
        <is>
          <t>Kern</t>
        </is>
      </c>
      <c r="J1585" t="inlineStr">
        <is>
          <t>Brookdale Riverwalk SNF (CA)</t>
        </is>
      </c>
    </row>
    <row r="1586">
      <c r="A1586">
        <f>--ISNUMBER(IFERROR(SEARCH($C$5,Inputs!$D1586,1),""))</f>
        <v/>
      </c>
      <c r="B1586">
        <f>IF(A1586=1,COUNTIF($A$6:A1586,1),"")</f>
        <v/>
      </c>
      <c r="C1586">
        <f>IFERROR(INDEX($D$6:$D$1750,MATCH(ROWS($B$6:B1586),$B$6:$B$1750,0)),"")</f>
        <v/>
      </c>
      <c r="D1586">
        <f>J1586&amp;" ("&amp;E1586&amp;")"</f>
        <v/>
      </c>
      <c r="E1586" t="n">
        <v>27677</v>
      </c>
      <c r="F1586" t="inlineStr">
        <is>
          <t>Skilled Nursing and Interm. Care Facility</t>
        </is>
      </c>
      <c r="G1586" t="inlineStr">
        <is>
          <t>300 Fountaingrove Pkwy</t>
        </is>
      </c>
      <c r="H1586" t="inlineStr">
        <is>
          <t>Santa Rosa</t>
        </is>
      </c>
      <c r="I1586" t="inlineStr">
        <is>
          <t>Sonoma</t>
        </is>
      </c>
      <c r="J1586" t="inlineStr">
        <is>
          <t>Arbol Residences Of Santa Rosa</t>
        </is>
      </c>
    </row>
    <row r="1587">
      <c r="A1587">
        <f>--ISNUMBER(IFERROR(SEARCH($C$5,Inputs!$D1587,1),""))</f>
        <v/>
      </c>
      <c r="B1587">
        <f>IF(A1587=1,COUNTIF($A$6:A1587,1),"")</f>
        <v/>
      </c>
      <c r="C1587">
        <f>IFERROR(INDEX($D$6:$D$1750,MATCH(ROWS($B$6:B1587),$B$6:$B$1750,0)),"")</f>
        <v/>
      </c>
      <c r="D1587">
        <f>J1587&amp;" ("&amp;E1587&amp;")"</f>
        <v/>
      </c>
      <c r="E1587" t="n">
        <v>27708</v>
      </c>
      <c r="F1587" t="inlineStr">
        <is>
          <t>Skilled Nursing and Interm. Care Facility</t>
        </is>
      </c>
      <c r="G1587" t="inlineStr">
        <is>
          <t>621 W Bonita Ave</t>
        </is>
      </c>
      <c r="H1587" t="inlineStr">
        <is>
          <t>Claremont</t>
        </is>
      </c>
      <c r="I1587" t="inlineStr">
        <is>
          <t>Los Angeles</t>
        </is>
      </c>
      <c r="J1587" t="inlineStr">
        <is>
          <t>Claremont Manor Care Center</t>
        </is>
      </c>
    </row>
    <row r="1588">
      <c r="A1588">
        <f>--ISNUMBER(IFERROR(SEARCH($C$5,Inputs!$D1588,1),""))</f>
        <v/>
      </c>
      <c r="B1588">
        <f>IF(A1588=1,COUNTIF($A$6:A1588,1),"")</f>
        <v/>
      </c>
      <c r="C1588">
        <f>IFERROR(INDEX($D$6:$D$1750,MATCH(ROWS($B$6:B1588),$B$6:$B$1750,0)),"")</f>
        <v/>
      </c>
      <c r="D1588">
        <f>J1588&amp;" ("&amp;E1588&amp;")"</f>
        <v/>
      </c>
      <c r="E1588" t="n">
        <v>27718</v>
      </c>
      <c r="F1588" t="inlineStr">
        <is>
          <t>Skilled Nursing and Interm. Care Facility</t>
        </is>
      </c>
      <c r="G1588" t="inlineStr">
        <is>
          <t>3034 E Herndon Ave</t>
        </is>
      </c>
      <c r="H1588" t="inlineStr">
        <is>
          <t>Fresno</t>
        </is>
      </c>
      <c r="I1588" t="inlineStr">
        <is>
          <t>Fresno</t>
        </is>
      </c>
      <c r="J1588" t="inlineStr">
        <is>
          <t>Horizon Health And Subacute Center</t>
        </is>
      </c>
    </row>
    <row r="1589">
      <c r="A1589">
        <f>--ISNUMBER(IFERROR(SEARCH($C$5,Inputs!$D1589,1),""))</f>
        <v/>
      </c>
      <c r="B1589">
        <f>IF(A1589=1,COUNTIF($A$6:A1589,1),"")</f>
        <v/>
      </c>
      <c r="C1589">
        <f>IFERROR(INDEX($D$6:$D$1750,MATCH(ROWS($B$6:B1589),$B$6:$B$1750,0)),"")</f>
        <v/>
      </c>
      <c r="D1589">
        <f>J1589&amp;" ("&amp;E1589&amp;")"</f>
        <v/>
      </c>
      <c r="E1589" t="n">
        <v>27747</v>
      </c>
      <c r="F1589" t="inlineStr">
        <is>
          <t>Skilled Nursing and Interm. Care Facility</t>
        </is>
      </c>
      <c r="G1589" t="inlineStr">
        <is>
          <t>233 Prospect Pl</t>
        </is>
      </c>
      <c r="H1589" t="inlineStr">
        <is>
          <t>Coronado</t>
        </is>
      </c>
      <c r="I1589" t="inlineStr">
        <is>
          <t>San Diego</t>
        </is>
      </c>
      <c r="J1589" t="inlineStr">
        <is>
          <t>Villa Coronado D/P SNF</t>
        </is>
      </c>
    </row>
    <row r="1590">
      <c r="A1590">
        <f>--ISNUMBER(IFERROR(SEARCH($C$5,Inputs!$D1590,1),""))</f>
        <v/>
      </c>
      <c r="B1590">
        <f>IF(A1590=1,COUNTIF($A$6:A1590,1),"")</f>
        <v/>
      </c>
      <c r="C1590">
        <f>IFERROR(INDEX($D$6:$D$1750,MATCH(ROWS($B$6:B1590),$B$6:$B$1750,0)),"")</f>
        <v/>
      </c>
      <c r="D1590">
        <f>J1590&amp;" ("&amp;E1590&amp;")"</f>
        <v/>
      </c>
      <c r="E1590" t="n">
        <v>27753</v>
      </c>
      <c r="F1590" t="inlineStr">
        <is>
          <t>Skilled Nursing and Interm. Care Facility</t>
        </is>
      </c>
      <c r="G1590" t="inlineStr">
        <is>
          <t>250 Fairview Rd</t>
        </is>
      </c>
      <c r="H1590" t="inlineStr">
        <is>
          <t>Thousand Oaks</t>
        </is>
      </c>
      <c r="I1590" t="inlineStr">
        <is>
          <t>Ventura</t>
        </is>
      </c>
      <c r="J1590" t="inlineStr">
        <is>
          <t>Sherwood Oaks Post Acute</t>
        </is>
      </c>
    </row>
    <row r="1591">
      <c r="A1591">
        <f>--ISNUMBER(IFERROR(SEARCH($C$5,Inputs!$D1591,1),""))</f>
        <v/>
      </c>
      <c r="B1591">
        <f>IF(A1591=1,COUNTIF($A$6:A1591,1),"")</f>
        <v/>
      </c>
      <c r="C1591">
        <f>IFERROR(INDEX($D$6:$D$1750,MATCH(ROWS($B$6:B1591),$B$6:$B$1750,0)),"")</f>
        <v/>
      </c>
      <c r="D1591">
        <f>J1591&amp;" ("&amp;E1591&amp;")"</f>
        <v/>
      </c>
      <c r="E1591" t="n">
        <v>27767</v>
      </c>
      <c r="F1591" t="inlineStr">
        <is>
          <t>Skilled Nursing and Interm. Care Facility</t>
        </is>
      </c>
      <c r="G1591" t="inlineStr">
        <is>
          <t>151 Pioneer Ln</t>
        </is>
      </c>
      <c r="H1591" t="inlineStr">
        <is>
          <t>Bishop</t>
        </is>
      </c>
      <c r="I1591" t="inlineStr">
        <is>
          <t>Inyo</t>
        </is>
      </c>
      <c r="J1591" t="inlineStr">
        <is>
          <t>Bishop Care Center</t>
        </is>
      </c>
    </row>
    <row r="1592">
      <c r="A1592">
        <f>--ISNUMBER(IFERROR(SEARCH($C$5,Inputs!$D1592,1),""))</f>
        <v/>
      </c>
      <c r="B1592">
        <f>IF(A1592=1,COUNTIF($A$6:A1592,1),"")</f>
        <v/>
      </c>
      <c r="C1592">
        <f>IFERROR(INDEX($D$6:$D$1750,MATCH(ROWS($B$6:B1592),$B$6:$B$1750,0)),"")</f>
        <v/>
      </c>
      <c r="D1592">
        <f>J1592&amp;" ("&amp;E1592&amp;")"</f>
        <v/>
      </c>
      <c r="E1592" t="n">
        <v>27775</v>
      </c>
      <c r="F1592" t="inlineStr">
        <is>
          <t>Skilled Nursing and Interm. Care Facility</t>
        </is>
      </c>
      <c r="G1592" t="inlineStr">
        <is>
          <t>17650 Devonshire St.</t>
        </is>
      </c>
      <c r="H1592" t="inlineStr">
        <is>
          <t>Northridge</t>
        </is>
      </c>
      <c r="I1592" t="inlineStr">
        <is>
          <t>Los Angeles</t>
        </is>
      </c>
      <c r="J1592" t="inlineStr">
        <is>
          <t>Brookdale Northridge</t>
        </is>
      </c>
    </row>
    <row r="1593">
      <c r="A1593">
        <f>--ISNUMBER(IFERROR(SEARCH($C$5,Inputs!$D1593,1),""))</f>
        <v/>
      </c>
      <c r="B1593">
        <f>IF(A1593=1,COUNTIF($A$6:A1593,1),"")</f>
        <v/>
      </c>
      <c r="C1593">
        <f>IFERROR(INDEX($D$6:$D$1750,MATCH(ROWS($B$6:B1593),$B$6:$B$1750,0)),"")</f>
        <v/>
      </c>
      <c r="D1593">
        <f>J1593&amp;" ("&amp;E1593&amp;")"</f>
        <v/>
      </c>
      <c r="E1593" t="n">
        <v>27779</v>
      </c>
      <c r="F1593" t="inlineStr">
        <is>
          <t>Skilled Nursing and Interm. Care Facility</t>
        </is>
      </c>
      <c r="G1593" t="inlineStr">
        <is>
          <t>50 Concordia Ln</t>
        </is>
      </c>
      <c r="H1593" t="inlineStr">
        <is>
          <t>Oroville</t>
        </is>
      </c>
      <c r="I1593" t="inlineStr">
        <is>
          <t>Butte</t>
        </is>
      </c>
      <c r="J1593" t="inlineStr">
        <is>
          <t>Country Crest Post Acute</t>
        </is>
      </c>
    </row>
    <row r="1594">
      <c r="A1594">
        <f>--ISNUMBER(IFERROR(SEARCH($C$5,Inputs!$D1594,1),""))</f>
        <v/>
      </c>
      <c r="B1594">
        <f>IF(A1594=1,COUNTIF($A$6:A1594,1),"")</f>
        <v/>
      </c>
      <c r="C1594">
        <f>IFERROR(INDEX($D$6:$D$1750,MATCH(ROWS($B$6:B1594),$B$6:$B$1750,0)),"")</f>
        <v/>
      </c>
      <c r="D1594">
        <f>J1594&amp;" ("&amp;E1594&amp;")"</f>
        <v/>
      </c>
      <c r="E1594" t="n">
        <v>27786</v>
      </c>
      <c r="F1594" t="inlineStr">
        <is>
          <t>Skilled Nursing and Interm. Care Facility</t>
        </is>
      </c>
      <c r="G1594" t="inlineStr">
        <is>
          <t>4171 Las Palmas Sq</t>
        </is>
      </c>
      <c r="H1594" t="inlineStr">
        <is>
          <t>San Diego</t>
        </is>
      </c>
      <c r="I1594" t="inlineStr">
        <is>
          <t>San Diego</t>
        </is>
      </c>
      <c r="J1594" t="inlineStr">
        <is>
          <t>VI At La Jolla Village</t>
        </is>
      </c>
    </row>
    <row r="1595">
      <c r="A1595">
        <f>--ISNUMBER(IFERROR(SEARCH($C$5,Inputs!$D1595,1),""))</f>
        <v/>
      </c>
      <c r="B1595">
        <f>IF(A1595=1,COUNTIF($A$6:A1595,1),"")</f>
        <v/>
      </c>
      <c r="C1595">
        <f>IFERROR(INDEX($D$6:$D$1750,MATCH(ROWS($B$6:B1595),$B$6:$B$1750,0)),"")</f>
        <v/>
      </c>
      <c r="D1595">
        <f>J1595&amp;" ("&amp;E1595&amp;")"</f>
        <v/>
      </c>
      <c r="E1595" t="n">
        <v>27815</v>
      </c>
      <c r="F1595" t="inlineStr">
        <is>
          <t>Skilled Nursing and Interm. Care Facility</t>
        </is>
      </c>
      <c r="G1595" t="inlineStr">
        <is>
          <t>3 Pursuit Road</t>
        </is>
      </c>
      <c r="H1595" t="inlineStr">
        <is>
          <t>Aliso Viejo</t>
        </is>
      </c>
      <c r="I1595" t="inlineStr">
        <is>
          <t>Orange</t>
        </is>
      </c>
      <c r="J1595" t="inlineStr">
        <is>
          <t>The Covington Care Center</t>
        </is>
      </c>
    </row>
    <row r="1596">
      <c r="A1596">
        <f>--ISNUMBER(IFERROR(SEARCH($C$5,Inputs!$D1596,1),""))</f>
        <v/>
      </c>
      <c r="B1596">
        <f>IF(A1596=1,COUNTIF($A$6:A1596,1),"")</f>
        <v/>
      </c>
      <c r="C1596">
        <f>IFERROR(INDEX($D$6:$D$1750,MATCH(ROWS($B$6:B1596),$B$6:$B$1750,0)),"")</f>
        <v/>
      </c>
      <c r="D1596">
        <f>J1596&amp;" ("&amp;E1596&amp;")"</f>
        <v/>
      </c>
      <c r="E1596" t="n">
        <v>27878</v>
      </c>
      <c r="F1596" t="inlineStr">
        <is>
          <t>Skilled Nursing and Interm. Care Facility</t>
        </is>
      </c>
      <c r="G1596" t="inlineStr">
        <is>
          <t>1428 W North Ave</t>
        </is>
      </c>
      <c r="H1596" t="inlineStr">
        <is>
          <t>Lompoc</t>
        </is>
      </c>
      <c r="I1596" t="inlineStr">
        <is>
          <t>Santa Barbara</t>
        </is>
      </c>
      <c r="J1596" t="inlineStr">
        <is>
          <t>Lompoc Skilled Nursing &amp; Rehabilitation Center</t>
        </is>
      </c>
    </row>
    <row r="1597">
      <c r="A1597">
        <f>--ISNUMBER(IFERROR(SEARCH($C$5,Inputs!$D1597,1),""))</f>
        <v/>
      </c>
      <c r="B1597">
        <f>IF(A1597=1,COUNTIF($A$6:A1597,1),"")</f>
        <v/>
      </c>
      <c r="C1597">
        <f>IFERROR(INDEX($D$6:$D$1750,MATCH(ROWS($B$6:B1597),$B$6:$B$1750,0)),"")</f>
        <v/>
      </c>
      <c r="D1597">
        <f>J1597&amp;" ("&amp;E1597&amp;")"</f>
        <v/>
      </c>
      <c r="E1597" t="n">
        <v>27886</v>
      </c>
      <c r="F1597" t="inlineStr">
        <is>
          <t>Skilled Nursing and Interm. Care Facility</t>
        </is>
      </c>
      <c r="G1597" t="inlineStr">
        <is>
          <t>703 W Herbert Ave</t>
        </is>
      </c>
      <c r="H1597" t="inlineStr">
        <is>
          <t>Reedley</t>
        </is>
      </c>
      <c r="I1597" t="inlineStr">
        <is>
          <t>Fresno</t>
        </is>
      </c>
      <c r="J1597" t="inlineStr">
        <is>
          <t>Palm Village Retirement Community Health Care Ctr.</t>
        </is>
      </c>
    </row>
    <row r="1598">
      <c r="A1598">
        <f>--ISNUMBER(IFERROR(SEARCH($C$5,Inputs!$D1598,1),""))</f>
        <v/>
      </c>
      <c r="B1598">
        <f>IF(A1598=1,COUNTIF($A$6:A1598,1),"")</f>
        <v/>
      </c>
      <c r="C1598">
        <f>IFERROR(INDEX($D$6:$D$1750,MATCH(ROWS($B$6:B1598),$B$6:$B$1750,0)),"")</f>
        <v/>
      </c>
      <c r="D1598">
        <f>J1598&amp;" ("&amp;E1598&amp;")"</f>
        <v/>
      </c>
      <c r="E1598" t="n">
        <v>27935</v>
      </c>
      <c r="F1598" t="inlineStr">
        <is>
          <t>Skilled Nursing and Interm. Care Facility</t>
        </is>
      </c>
      <c r="G1598" t="inlineStr">
        <is>
          <t>600 Sand Hill Rd</t>
        </is>
      </c>
      <c r="H1598" t="inlineStr">
        <is>
          <t>Palo Alto</t>
        </is>
      </c>
      <c r="I1598" t="inlineStr">
        <is>
          <t>Santa Clara</t>
        </is>
      </c>
      <c r="J1598" t="inlineStr">
        <is>
          <t>VI At Palo Alto</t>
        </is>
      </c>
    </row>
    <row r="1599">
      <c r="A1599">
        <f>--ISNUMBER(IFERROR(SEARCH($C$5,Inputs!$D1599,1),""))</f>
        <v/>
      </c>
      <c r="B1599">
        <f>IF(A1599=1,COUNTIF($A$6:A1599,1),"")</f>
        <v/>
      </c>
      <c r="C1599">
        <f>IFERROR(INDEX($D$6:$D$1750,MATCH(ROWS($B$6:B1599),$B$6:$B$1750,0)),"")</f>
        <v/>
      </c>
      <c r="D1599">
        <f>J1599&amp;" ("&amp;E1599&amp;")"</f>
        <v/>
      </c>
      <c r="E1599" t="n">
        <v>28149</v>
      </c>
      <c r="F1599" t="inlineStr">
        <is>
          <t>Skilled Nursing and Interm. Care Facility</t>
        </is>
      </c>
      <c r="G1599" t="inlineStr">
        <is>
          <t>551 Gibson Avenue</t>
        </is>
      </c>
      <c r="H1599" t="inlineStr">
        <is>
          <t>Pacific Grove</t>
        </is>
      </c>
      <c r="I1599" t="inlineStr">
        <is>
          <t>Monterey</t>
        </is>
      </c>
      <c r="J1599" t="inlineStr">
        <is>
          <t>Forest Hill Manor Health Center</t>
        </is>
      </c>
    </row>
    <row r="1600">
      <c r="A1600">
        <f>--ISNUMBER(IFERROR(SEARCH($C$5,Inputs!$D1600,1),""))</f>
        <v/>
      </c>
      <c r="B1600">
        <f>IF(A1600=1,COUNTIF($A$6:A1600,1),"")</f>
        <v/>
      </c>
      <c r="C1600">
        <f>IFERROR(INDEX($D$6:$D$1750,MATCH(ROWS($B$6:B1600),$B$6:$B$1750,0)),"")</f>
        <v/>
      </c>
      <c r="D1600">
        <f>J1600&amp;" ("&amp;E1600&amp;")"</f>
        <v/>
      </c>
      <c r="E1600" t="n">
        <v>28161</v>
      </c>
      <c r="F1600" t="inlineStr">
        <is>
          <t>Skilled Nursing and Interm. Care Facility</t>
        </is>
      </c>
      <c r="G1600" t="inlineStr">
        <is>
          <t>1950 Calle Barcelona</t>
        </is>
      </c>
      <c r="H1600" t="inlineStr">
        <is>
          <t>Carlsbad</t>
        </is>
      </c>
      <c r="I1600" t="inlineStr">
        <is>
          <t>San Diego</t>
        </is>
      </c>
      <c r="J1600" t="inlineStr">
        <is>
          <t>Glenbrook</t>
        </is>
      </c>
    </row>
    <row r="1601">
      <c r="A1601">
        <f>--ISNUMBER(IFERROR(SEARCH($C$5,Inputs!$D1601,1),""))</f>
        <v/>
      </c>
      <c r="B1601">
        <f>IF(A1601=1,COUNTIF($A$6:A1601,1),"")</f>
        <v/>
      </c>
      <c r="C1601">
        <f>IFERROR(INDEX($D$6:$D$1750,MATCH(ROWS($B$6:B1601),$B$6:$B$1750,0)),"")</f>
        <v/>
      </c>
      <c r="D1601">
        <f>J1601&amp;" ("&amp;E1601&amp;")"</f>
        <v/>
      </c>
      <c r="E1601" t="n">
        <v>28166</v>
      </c>
      <c r="F1601" t="inlineStr">
        <is>
          <t>Skilled Nursing and Interm. Care Facility</t>
        </is>
      </c>
      <c r="G1601" t="inlineStr">
        <is>
          <t>3557 Campus Dr</t>
        </is>
      </c>
      <c r="H1601" t="inlineStr">
        <is>
          <t>Thousand Oaks</t>
        </is>
      </c>
      <c r="I1601" t="inlineStr">
        <is>
          <t>Ventura</t>
        </is>
      </c>
      <c r="J1601" t="inlineStr">
        <is>
          <t>Oakview Skilled Nursing</t>
        </is>
      </c>
    </row>
    <row r="1602">
      <c r="A1602">
        <f>--ISNUMBER(IFERROR(SEARCH($C$5,Inputs!$D1602,1),""))</f>
        <v/>
      </c>
      <c r="B1602">
        <f>IF(A1602=1,COUNTIF($A$6:A1602,1),"")</f>
        <v/>
      </c>
      <c r="C1602">
        <f>IFERROR(INDEX($D$6:$D$1750,MATCH(ROWS($B$6:B1602),$B$6:$B$1750,0)),"")</f>
        <v/>
      </c>
      <c r="D1602">
        <f>J1602&amp;" ("&amp;E1602&amp;")"</f>
        <v/>
      </c>
      <c r="E1602" t="n">
        <v>28167</v>
      </c>
      <c r="F1602" t="inlineStr">
        <is>
          <t>Skilled Nursing and Interm. Care Facility</t>
        </is>
      </c>
      <c r="G1602" t="inlineStr">
        <is>
          <t>819 Buena Vista St</t>
        </is>
      </c>
      <c r="H1602" t="inlineStr">
        <is>
          <t>Duarte</t>
        </is>
      </c>
      <c r="I1602" t="inlineStr">
        <is>
          <t>Los Angeles</t>
        </is>
      </c>
      <c r="J1602" t="inlineStr">
        <is>
          <t>Santa Teresita Manor</t>
        </is>
      </c>
    </row>
    <row r="1603">
      <c r="A1603">
        <f>--ISNUMBER(IFERROR(SEARCH($C$5,Inputs!$D1603,1),""))</f>
        <v/>
      </c>
      <c r="B1603">
        <f>IF(A1603=1,COUNTIF($A$6:A1603,1),"")</f>
        <v/>
      </c>
      <c r="C1603">
        <f>IFERROR(INDEX($D$6:$D$1750,MATCH(ROWS($B$6:B1603),$B$6:$B$1750,0)),"")</f>
        <v/>
      </c>
      <c r="D1603">
        <f>J1603&amp;" ("&amp;E1603&amp;")"</f>
        <v/>
      </c>
      <c r="E1603" t="n">
        <v>28172</v>
      </c>
      <c r="F1603" t="inlineStr">
        <is>
          <t>Skilled Nursing and Interm. Care Facility</t>
        </is>
      </c>
      <c r="G1603" t="inlineStr">
        <is>
          <t>1338 20th St</t>
        </is>
      </c>
      <c r="H1603" t="inlineStr">
        <is>
          <t>Santa Monica</t>
        </is>
      </c>
      <c r="I1603" t="inlineStr">
        <is>
          <t>Los Angeles</t>
        </is>
      </c>
      <c r="J1603" t="inlineStr">
        <is>
          <t>The Rehabilitation Center Of Santa Monica</t>
        </is>
      </c>
    </row>
    <row r="1604">
      <c r="A1604">
        <f>--ISNUMBER(IFERROR(SEARCH($C$5,Inputs!$D1604,1),""))</f>
        <v/>
      </c>
      <c r="B1604">
        <f>IF(A1604=1,COUNTIF($A$6:A1604,1),"")</f>
        <v/>
      </c>
      <c r="C1604">
        <f>IFERROR(INDEX($D$6:$D$1750,MATCH(ROWS($B$6:B1604),$B$6:$B$1750,0)),"")</f>
        <v/>
      </c>
      <c r="D1604">
        <f>J1604&amp;" ("&amp;E1604&amp;")"</f>
        <v/>
      </c>
      <c r="E1604" t="n">
        <v>28173</v>
      </c>
      <c r="F1604" t="inlineStr">
        <is>
          <t>Skilled Nursing and Interm. Care Facility</t>
        </is>
      </c>
      <c r="G1604" t="inlineStr">
        <is>
          <t>3688 Nye Avenue</t>
        </is>
      </c>
      <c r="H1604" t="inlineStr">
        <is>
          <t>Riverside</t>
        </is>
      </c>
      <c r="I1604" t="inlineStr">
        <is>
          <t>Riverside</t>
        </is>
      </c>
      <c r="J1604" t="inlineStr">
        <is>
          <t>Arlington Gardens Care Center</t>
        </is>
      </c>
    </row>
    <row r="1605">
      <c r="A1605">
        <f>--ISNUMBER(IFERROR(SEARCH($C$5,Inputs!$D1605,1),""))</f>
        <v/>
      </c>
      <c r="B1605">
        <f>IF(A1605=1,COUNTIF($A$6:A1605,1),"")</f>
        <v/>
      </c>
      <c r="C1605">
        <f>IFERROR(INDEX($D$6:$D$1750,MATCH(ROWS($B$6:B1605),$B$6:$B$1750,0)),"")</f>
        <v/>
      </c>
      <c r="D1605">
        <f>J1605&amp;" ("&amp;E1605&amp;")"</f>
        <v/>
      </c>
      <c r="E1605" t="n">
        <v>28174</v>
      </c>
      <c r="F1605" t="inlineStr">
        <is>
          <t>Skilled Nursing and Interm. Care Facility</t>
        </is>
      </c>
      <c r="G1605" t="inlineStr">
        <is>
          <t>10716 La Tuna Canyon Rd</t>
        </is>
      </c>
      <c r="H1605" t="inlineStr">
        <is>
          <t>Sun Valley</t>
        </is>
      </c>
      <c r="I1605" t="inlineStr">
        <is>
          <t>Los Angeles</t>
        </is>
      </c>
      <c r="J1605" t="inlineStr">
        <is>
          <t>Totally Kids Specialty Healthcare-Sun Valley</t>
        </is>
      </c>
    </row>
    <row r="1606">
      <c r="A1606">
        <f>--ISNUMBER(IFERROR(SEARCH($C$5,Inputs!$D1606,1),""))</f>
        <v/>
      </c>
      <c r="B1606">
        <f>IF(A1606=1,COUNTIF($A$6:A1606,1),"")</f>
        <v/>
      </c>
      <c r="C1606">
        <f>IFERROR(INDEX($D$6:$D$1750,MATCH(ROWS($B$6:B1606),$B$6:$B$1750,0)),"")</f>
        <v/>
      </c>
      <c r="D1606">
        <f>J1606&amp;" ("&amp;E1606&amp;")"</f>
        <v/>
      </c>
      <c r="E1606" t="n">
        <v>28182</v>
      </c>
      <c r="F1606" t="inlineStr">
        <is>
          <t>Skilled Nursing and Interm. Care Facility</t>
        </is>
      </c>
      <c r="G1606" t="inlineStr">
        <is>
          <t>8151 Bruceville Road</t>
        </is>
      </c>
      <c r="H1606" t="inlineStr">
        <is>
          <t>Sacramento</t>
        </is>
      </c>
      <c r="I1606" t="inlineStr">
        <is>
          <t>Sacramento</t>
        </is>
      </c>
      <c r="J1606" t="inlineStr">
        <is>
          <t>Bruceville Terrace</t>
        </is>
      </c>
    </row>
    <row r="1607">
      <c r="A1607">
        <f>--ISNUMBER(IFERROR(SEARCH($C$5,Inputs!$D1607,1),""))</f>
        <v/>
      </c>
      <c r="B1607">
        <f>IF(A1607=1,COUNTIF($A$6:A1607,1),"")</f>
        <v/>
      </c>
      <c r="C1607">
        <f>IFERROR(INDEX($D$6:$D$1750,MATCH(ROWS($B$6:B1607),$B$6:$B$1750,0)),"")</f>
        <v/>
      </c>
      <c r="D1607">
        <f>J1607&amp;" ("&amp;E1607&amp;")"</f>
        <v/>
      </c>
      <c r="E1607" t="n">
        <v>28185</v>
      </c>
      <c r="F1607" t="inlineStr">
        <is>
          <t>Skilled Nursing and Interm. Care Facility</t>
        </is>
      </c>
      <c r="G1607" t="inlineStr">
        <is>
          <t>1104 Ventura Ave</t>
        </is>
      </c>
      <c r="H1607" t="inlineStr">
        <is>
          <t>Chowchilla</t>
        </is>
      </c>
      <c r="I1607" t="inlineStr">
        <is>
          <t>Madera</t>
        </is>
      </c>
      <c r="J1607" t="inlineStr">
        <is>
          <t>Chowchilla Memorial Healthcare District</t>
        </is>
      </c>
    </row>
    <row r="1608">
      <c r="A1608">
        <f>--ISNUMBER(IFERROR(SEARCH($C$5,Inputs!$D1608,1),""))</f>
        <v/>
      </c>
      <c r="B1608">
        <f>IF(A1608=1,COUNTIF($A$6:A1608,1),"")</f>
        <v/>
      </c>
      <c r="C1608">
        <f>IFERROR(INDEX($D$6:$D$1750,MATCH(ROWS($B$6:B1608),$B$6:$B$1750,0)),"")</f>
        <v/>
      </c>
      <c r="D1608">
        <f>J1608&amp;" ("&amp;E1608&amp;")"</f>
        <v/>
      </c>
      <c r="E1608" t="n">
        <v>28187</v>
      </c>
      <c r="F1608" t="inlineStr">
        <is>
          <t>Skilled Nursing and Interm. Care Facility</t>
        </is>
      </c>
      <c r="G1608" t="inlineStr">
        <is>
          <t>1000 West Yosemite Ave</t>
        </is>
      </c>
      <c r="H1608" t="inlineStr">
        <is>
          <t>Merced</t>
        </is>
      </c>
      <c r="I1608" t="inlineStr">
        <is>
          <t>Merced</t>
        </is>
      </c>
      <c r="J1608" t="inlineStr">
        <is>
          <t>Anberry Transitional Care</t>
        </is>
      </c>
    </row>
    <row r="1609">
      <c r="A1609">
        <f>--ISNUMBER(IFERROR(SEARCH($C$5,Inputs!$D1609,1),""))</f>
        <v/>
      </c>
      <c r="B1609">
        <f>IF(A1609=1,COUNTIF($A$6:A1609,1),"")</f>
        <v/>
      </c>
      <c r="C1609">
        <f>IFERROR(INDEX($D$6:$D$1750,MATCH(ROWS($B$6:B1609),$B$6:$B$1750,0)),"")</f>
        <v/>
      </c>
      <c r="D1609">
        <f>J1609&amp;" ("&amp;E1609&amp;")"</f>
        <v/>
      </c>
      <c r="E1609" t="n">
        <v>28199</v>
      </c>
      <c r="F1609" t="inlineStr">
        <is>
          <t>Skilled Nursing and Interm. Care Facility</t>
        </is>
      </c>
      <c r="G1609" t="inlineStr">
        <is>
          <t>21966 Delores St.</t>
        </is>
      </c>
      <c r="H1609" t="inlineStr">
        <is>
          <t>Castro Valley</t>
        </is>
      </c>
      <c r="I1609" t="inlineStr">
        <is>
          <t>Alameda</t>
        </is>
      </c>
      <c r="J1609" t="inlineStr">
        <is>
          <t>Baywood Court Health Center</t>
        </is>
      </c>
    </row>
    <row r="1610">
      <c r="A1610">
        <f>--ISNUMBER(IFERROR(SEARCH($C$5,Inputs!$D1610,1),""))</f>
        <v/>
      </c>
      <c r="B1610">
        <f>IF(A1610=1,COUNTIF($A$6:A1610,1),"")</f>
        <v/>
      </c>
      <c r="C1610">
        <f>IFERROR(INDEX($D$6:$D$1750,MATCH(ROWS($B$6:B1610),$B$6:$B$1750,0)),"")</f>
        <v/>
      </c>
      <c r="D1610">
        <f>J1610&amp;" ("&amp;E1610&amp;")"</f>
        <v/>
      </c>
      <c r="E1610" t="n">
        <v>28207</v>
      </c>
      <c r="F1610" t="inlineStr">
        <is>
          <t>Skilled Nursing and Interm. Care Facility</t>
        </is>
      </c>
      <c r="G1610" t="inlineStr">
        <is>
          <t>897 North M Street</t>
        </is>
      </c>
      <c r="H1610" t="inlineStr">
        <is>
          <t>Tulare</t>
        </is>
      </c>
      <c r="I1610" t="inlineStr">
        <is>
          <t>Tulare</t>
        </is>
      </c>
      <c r="J1610" t="inlineStr">
        <is>
          <t>Twin Oaks Rehabilitation &amp; Nursing Center</t>
        </is>
      </c>
    </row>
    <row r="1611">
      <c r="A1611">
        <f>--ISNUMBER(IFERROR(SEARCH($C$5,Inputs!$D1611,1),""))</f>
        <v/>
      </c>
      <c r="B1611">
        <f>IF(A1611=1,COUNTIF($A$6:A1611,1),"")</f>
        <v/>
      </c>
      <c r="C1611">
        <f>IFERROR(INDEX($D$6:$D$1750,MATCH(ROWS($B$6:B1611),$B$6:$B$1750,0)),"")</f>
        <v/>
      </c>
      <c r="D1611">
        <f>J1611&amp;" ("&amp;E1611&amp;")"</f>
        <v/>
      </c>
      <c r="E1611" t="n">
        <v>28208</v>
      </c>
      <c r="F1611" t="inlineStr">
        <is>
          <t>Skilled Nursing and Interm. Care Facility</t>
        </is>
      </c>
      <c r="G1611" t="inlineStr">
        <is>
          <t>26940 Hospital Dr.</t>
        </is>
      </c>
      <c r="H1611" t="inlineStr">
        <is>
          <t>Moreno Valley</t>
        </is>
      </c>
      <c r="I1611" t="inlineStr">
        <is>
          <t>Riverside</t>
        </is>
      </c>
      <c r="J1611" t="inlineStr">
        <is>
          <t>Rancho Bellagio Post Acute</t>
        </is>
      </c>
    </row>
    <row r="1612">
      <c r="A1612">
        <f>--ISNUMBER(IFERROR(SEARCH($C$5,Inputs!$D1612,1),""))</f>
        <v/>
      </c>
      <c r="B1612">
        <f>IF(A1612=1,COUNTIF($A$6:A1612,1),"")</f>
        <v/>
      </c>
      <c r="C1612">
        <f>IFERROR(INDEX($D$6:$D$1750,MATCH(ROWS($B$6:B1612),$B$6:$B$1750,0)),"")</f>
        <v/>
      </c>
      <c r="D1612">
        <f>J1612&amp;" ("&amp;E1612&amp;")"</f>
        <v/>
      </c>
      <c r="E1612" t="n">
        <v>28211</v>
      </c>
      <c r="F1612" t="inlineStr">
        <is>
          <t>Skilled Nursing and Interm. Care Facility</t>
        </is>
      </c>
      <c r="G1612" t="inlineStr">
        <is>
          <t>7227 Oleander Avenue</t>
        </is>
      </c>
      <c r="H1612" t="inlineStr">
        <is>
          <t>Fontana</t>
        </is>
      </c>
      <c r="I1612" t="inlineStr">
        <is>
          <t>San Bernardino</t>
        </is>
      </c>
      <c r="J1612" t="inlineStr">
        <is>
          <t>Fontana Skilled Nursing Facility</t>
        </is>
      </c>
    </row>
    <row r="1613">
      <c r="A1613">
        <f>--ISNUMBER(IFERROR(SEARCH($C$5,Inputs!$D1613,1),""))</f>
        <v/>
      </c>
      <c r="B1613">
        <f>IF(A1613=1,COUNTIF($A$6:A1613,1),"")</f>
        <v/>
      </c>
      <c r="C1613">
        <f>IFERROR(INDEX($D$6:$D$1750,MATCH(ROWS($B$6:B1613),$B$6:$B$1750,0)),"")</f>
        <v/>
      </c>
      <c r="D1613">
        <f>J1613&amp;" ("&amp;E1613&amp;")"</f>
        <v/>
      </c>
      <c r="E1613" t="n">
        <v>28218</v>
      </c>
      <c r="F1613" t="inlineStr">
        <is>
          <t>Skilled Nursing and Interm. Care Facility</t>
        </is>
      </c>
      <c r="G1613" t="inlineStr">
        <is>
          <t>100 Holland Glen</t>
        </is>
      </c>
      <c r="H1613" t="inlineStr">
        <is>
          <t>Escondido</t>
        </is>
      </c>
      <c r="I1613" t="inlineStr">
        <is>
          <t>San Diego</t>
        </is>
      </c>
      <c r="J1613" t="inlineStr">
        <is>
          <t>Meadowbrook Village Christian Retirement Community</t>
        </is>
      </c>
    </row>
    <row r="1614">
      <c r="A1614">
        <f>--ISNUMBER(IFERROR(SEARCH($C$5,Inputs!$D1614,1),""))</f>
        <v/>
      </c>
      <c r="B1614">
        <f>IF(A1614=1,COUNTIF($A$6:A1614,1),"")</f>
        <v/>
      </c>
      <c r="C1614">
        <f>IFERROR(INDEX($D$6:$D$1750,MATCH(ROWS($B$6:B1614),$B$6:$B$1750,0)),"")</f>
        <v/>
      </c>
      <c r="D1614">
        <f>J1614&amp;" ("&amp;E1614&amp;")"</f>
        <v/>
      </c>
      <c r="E1614" t="n">
        <v>28223</v>
      </c>
      <c r="F1614" t="inlineStr">
        <is>
          <t>Skilled Nursing and Interm. Care Facility</t>
        </is>
      </c>
      <c r="G1614" t="inlineStr">
        <is>
          <t>752 Holmes St.</t>
        </is>
      </c>
      <c r="H1614" t="inlineStr">
        <is>
          <t>Livermore</t>
        </is>
      </c>
      <c r="I1614" t="inlineStr">
        <is>
          <t>Alameda</t>
        </is>
      </c>
      <c r="J1614" t="inlineStr">
        <is>
          <t>Stratford Villa Post-Acute</t>
        </is>
      </c>
    </row>
    <row r="1615">
      <c r="A1615">
        <f>--ISNUMBER(IFERROR(SEARCH($C$5,Inputs!$D1615,1),""))</f>
        <v/>
      </c>
      <c r="B1615">
        <f>IF(A1615=1,COUNTIF($A$6:A1615,1),"")</f>
        <v/>
      </c>
      <c r="C1615">
        <f>IFERROR(INDEX($D$6:$D$1750,MATCH(ROWS($B$6:B1615),$B$6:$B$1750,0)),"")</f>
        <v/>
      </c>
      <c r="D1615">
        <f>J1615&amp;" ("&amp;E1615&amp;")"</f>
        <v/>
      </c>
      <c r="E1615" t="n">
        <v>28224</v>
      </c>
      <c r="F1615" t="inlineStr">
        <is>
          <t>Skilled Nursing and Interm. Care Facility</t>
        </is>
      </c>
      <c r="G1615" t="inlineStr">
        <is>
          <t>43830 10th Street West</t>
        </is>
      </c>
      <c r="H1615" t="inlineStr">
        <is>
          <t>Lancaster</t>
        </is>
      </c>
      <c r="I1615" t="inlineStr">
        <is>
          <t>Los Angeles</t>
        </is>
      </c>
      <c r="J1615" t="inlineStr">
        <is>
          <t>The Ellison John Transitional Care Center</t>
        </is>
      </c>
    </row>
    <row r="1616">
      <c r="A1616">
        <f>--ISNUMBER(IFERROR(SEARCH($C$5,Inputs!$D1616,1),""))</f>
        <v/>
      </c>
      <c r="B1616">
        <f>IF(A1616=1,COUNTIF($A$6:A1616,1),"")</f>
        <v/>
      </c>
      <c r="C1616">
        <f>IFERROR(INDEX($D$6:$D$1750,MATCH(ROWS($B$6:B1616),$B$6:$B$1750,0)),"")</f>
        <v/>
      </c>
      <c r="D1616">
        <f>J1616&amp;" ("&amp;E1616&amp;")"</f>
        <v/>
      </c>
      <c r="E1616" t="n">
        <v>28231</v>
      </c>
      <c r="F1616" t="inlineStr">
        <is>
          <t>Skilled Nursing and Interm. Care Facility</t>
        </is>
      </c>
      <c r="G1616" t="inlineStr">
        <is>
          <t>15731 Maubert Ave</t>
        </is>
      </c>
      <c r="H1616" t="inlineStr">
        <is>
          <t>San Leandro</t>
        </is>
      </c>
      <c r="I1616" t="inlineStr">
        <is>
          <t>Alameda</t>
        </is>
      </c>
      <c r="J1616" t="inlineStr">
        <is>
          <t>All Saint's Maubert</t>
        </is>
      </c>
    </row>
    <row r="1617">
      <c r="A1617">
        <f>--ISNUMBER(IFERROR(SEARCH($C$5,Inputs!$D1617,1),""))</f>
        <v/>
      </c>
      <c r="B1617">
        <f>IF(A1617=1,COUNTIF($A$6:A1617,1),"")</f>
        <v/>
      </c>
      <c r="C1617">
        <f>IFERROR(INDEX($D$6:$D$1750,MATCH(ROWS($B$6:B1617),$B$6:$B$1750,0)),"")</f>
        <v/>
      </c>
      <c r="D1617">
        <f>J1617&amp;" ("&amp;E1617&amp;")"</f>
        <v/>
      </c>
      <c r="E1617" t="n">
        <v>28237</v>
      </c>
      <c r="F1617" t="inlineStr">
        <is>
          <t>Skilled Nursing and Interm. Care Facility</t>
        </is>
      </c>
      <c r="G1617" t="inlineStr">
        <is>
          <t>13300 Eleventh Ave.</t>
        </is>
      </c>
      <c r="H1617" t="inlineStr">
        <is>
          <t>Victorville</t>
        </is>
      </c>
      <c r="I1617" t="inlineStr">
        <is>
          <t>San Bernardino</t>
        </is>
      </c>
      <c r="J1617" t="inlineStr">
        <is>
          <t>Desert Ridge Transitional Care Center</t>
        </is>
      </c>
    </row>
    <row r="1618">
      <c r="A1618">
        <f>--ISNUMBER(IFERROR(SEARCH($C$5,Inputs!$D1618,1),""))</f>
        <v/>
      </c>
      <c r="B1618">
        <f>IF(A1618=1,COUNTIF($A$6:A1618,1),"")</f>
        <v/>
      </c>
      <c r="C1618">
        <f>IFERROR(INDEX($D$6:$D$1750,MATCH(ROWS($B$6:B1618),$B$6:$B$1750,0)),"")</f>
        <v/>
      </c>
      <c r="D1618">
        <f>J1618&amp;" ("&amp;E1618&amp;")"</f>
        <v/>
      </c>
      <c r="E1618" t="n">
        <v>28241</v>
      </c>
      <c r="F1618" t="inlineStr">
        <is>
          <t>Skilled Nursing and Interm. Care Facility</t>
        </is>
      </c>
      <c r="G1618" t="inlineStr">
        <is>
          <t>655 Park Center Dr</t>
        </is>
      </c>
      <c r="H1618" t="inlineStr">
        <is>
          <t>Santee</t>
        </is>
      </c>
      <c r="I1618" t="inlineStr">
        <is>
          <t>San Diego</t>
        </is>
      </c>
      <c r="J1618" t="inlineStr">
        <is>
          <t>Edgemoor Hospital DP/SNF</t>
        </is>
      </c>
    </row>
    <row r="1619">
      <c r="A1619">
        <f>--ISNUMBER(IFERROR(SEARCH($C$5,Inputs!$D1619,1),""))</f>
        <v/>
      </c>
      <c r="B1619">
        <f>IF(A1619=1,COUNTIF($A$6:A1619,1),"")</f>
        <v/>
      </c>
      <c r="C1619">
        <f>IFERROR(INDEX($D$6:$D$1750,MATCH(ROWS($B$6:B1619),$B$6:$B$1750,0)),"")</f>
        <v/>
      </c>
      <c r="D1619">
        <f>J1619&amp;" ("&amp;E1619&amp;")"</f>
        <v/>
      </c>
      <c r="E1619" t="n">
        <v>28243</v>
      </c>
      <c r="F1619" t="inlineStr">
        <is>
          <t>Skilled Nursing and Interm. Care Facility</t>
        </is>
      </c>
      <c r="G1619" t="inlineStr">
        <is>
          <t>700 Third St</t>
        </is>
      </c>
      <c r="H1619" t="inlineStr">
        <is>
          <t>Loyalton</t>
        </is>
      </c>
      <c r="I1619" t="inlineStr">
        <is>
          <t>Sierra</t>
        </is>
      </c>
      <c r="J1619" t="inlineStr">
        <is>
          <t>Eastern Plumas Hospital - Loyalton Campus D/P SNF</t>
        </is>
      </c>
    </row>
    <row r="1620">
      <c r="A1620">
        <f>--ISNUMBER(IFERROR(SEARCH($C$5,Inputs!$D1620,1),""))</f>
        <v/>
      </c>
      <c r="B1620">
        <f>IF(A1620=1,COUNTIF($A$6:A1620,1),"")</f>
        <v/>
      </c>
      <c r="C1620">
        <f>IFERROR(INDEX($D$6:$D$1750,MATCH(ROWS($B$6:B1620),$B$6:$B$1750,0)),"")</f>
        <v/>
      </c>
      <c r="D1620">
        <f>J1620&amp;" ("&amp;E1620&amp;")"</f>
        <v/>
      </c>
      <c r="E1620" t="n">
        <v>28260</v>
      </c>
      <c r="F1620" t="inlineStr">
        <is>
          <t>Skilled Nursing and Interm. Care Facility</t>
        </is>
      </c>
      <c r="G1620" t="inlineStr">
        <is>
          <t>25924 Jackson Avenue</t>
        </is>
      </c>
      <c r="H1620" t="inlineStr">
        <is>
          <t>Murrieta</t>
        </is>
      </c>
      <c r="I1620" t="inlineStr">
        <is>
          <t>Riverside</t>
        </is>
      </c>
      <c r="J1620" t="inlineStr">
        <is>
          <t>The Springs Health And Rehabilitation Center</t>
        </is>
      </c>
    </row>
    <row r="1621">
      <c r="A1621">
        <f>--ISNUMBER(IFERROR(SEARCH($C$5,Inputs!$D1621,1),""))</f>
        <v/>
      </c>
      <c r="B1621">
        <f>IF(A1621=1,COUNTIF($A$6:A1621,1),"")</f>
        <v/>
      </c>
      <c r="C1621">
        <f>IFERROR(INDEX($D$6:$D$1750,MATCH(ROWS($B$6:B1621),$B$6:$B$1750,0)),"")</f>
        <v/>
      </c>
      <c r="D1621">
        <f>J1621&amp;" ("&amp;E1621&amp;")"</f>
        <v/>
      </c>
      <c r="E1621" t="n">
        <v>28261</v>
      </c>
      <c r="F1621" t="inlineStr">
        <is>
          <t>Skilled Nursing and Interm. Care Facility</t>
        </is>
      </c>
      <c r="G1621" t="inlineStr">
        <is>
          <t>44280 Campanula Way</t>
        </is>
      </c>
      <c r="H1621" t="inlineStr">
        <is>
          <t>Temecula</t>
        </is>
      </c>
      <c r="I1621" t="inlineStr">
        <is>
          <t>Riverside</t>
        </is>
      </c>
      <c r="J1621" t="inlineStr">
        <is>
          <t>Temecula Healthcare Center</t>
        </is>
      </c>
    </row>
    <row r="1622">
      <c r="A1622">
        <f>--ISNUMBER(IFERROR(SEARCH($C$5,Inputs!$D1622,1),""))</f>
        <v/>
      </c>
      <c r="B1622">
        <f>IF(A1622=1,COUNTIF($A$6:A1622,1),"")</f>
        <v/>
      </c>
      <c r="C1622">
        <f>IFERROR(INDEX($D$6:$D$1750,MATCH(ROWS($B$6:B1622),$B$6:$B$1750,0)),"")</f>
        <v/>
      </c>
      <c r="D1622">
        <f>J1622&amp;" ("&amp;E1622&amp;")"</f>
        <v/>
      </c>
      <c r="E1622" t="n">
        <v>28265</v>
      </c>
      <c r="F1622" t="inlineStr">
        <is>
          <t>Skilled Nursing and Interm. Care Facility</t>
        </is>
      </c>
      <c r="G1622" t="inlineStr">
        <is>
          <t>1411 Expo Parkway</t>
        </is>
      </c>
      <c r="H1622" t="inlineStr">
        <is>
          <t>Sacramento</t>
        </is>
      </c>
      <c r="I1622" t="inlineStr">
        <is>
          <t>Sacramento</t>
        </is>
      </c>
      <c r="J1622" t="inlineStr">
        <is>
          <t>AHC Healthcare Of Sacramento</t>
        </is>
      </c>
    </row>
    <row r="1623">
      <c r="A1623">
        <f>--ISNUMBER(IFERROR(SEARCH($C$5,Inputs!$D1623,1),""))</f>
        <v/>
      </c>
      <c r="B1623">
        <f>IF(A1623=1,COUNTIF($A$6:A1623,1),"")</f>
        <v/>
      </c>
      <c r="C1623">
        <f>IFERROR(INDEX($D$6:$D$1750,MATCH(ROWS($B$6:B1623),$B$6:$B$1750,0)),"")</f>
        <v/>
      </c>
      <c r="D1623">
        <f>J1623&amp;" ("&amp;E1623&amp;")"</f>
        <v/>
      </c>
      <c r="E1623" t="n">
        <v>28273</v>
      </c>
      <c r="F1623" t="inlineStr">
        <is>
          <t>Skilled Nursing and Interm. Care Facility</t>
        </is>
      </c>
      <c r="G1623" t="inlineStr">
        <is>
          <t>82161 Dr Carreon Blvd</t>
        </is>
      </c>
      <c r="H1623" t="inlineStr">
        <is>
          <t>Indio</t>
        </is>
      </c>
      <c r="I1623" t="inlineStr">
        <is>
          <t>Riverside</t>
        </is>
      </c>
      <c r="J1623" t="inlineStr">
        <is>
          <t>Coachella Valley Medical Center</t>
        </is>
      </c>
    </row>
    <row r="1624">
      <c r="A1624">
        <f>--ISNUMBER(IFERROR(SEARCH($C$5,Inputs!$D1624,1),""))</f>
        <v/>
      </c>
      <c r="B1624">
        <f>IF(A1624=1,COUNTIF($A$6:A1624,1),"")</f>
        <v/>
      </c>
      <c r="C1624">
        <f>IFERROR(INDEX($D$6:$D$1750,MATCH(ROWS($B$6:B1624),$B$6:$B$1750,0)),"")</f>
        <v/>
      </c>
      <c r="D1624">
        <f>J1624&amp;" ("&amp;E1624&amp;")"</f>
        <v/>
      </c>
      <c r="E1624" t="n">
        <v>28279</v>
      </c>
      <c r="F1624" t="inlineStr">
        <is>
          <t>Skilled Nursing and Interm. Care Facility</t>
        </is>
      </c>
      <c r="G1624" t="inlineStr">
        <is>
          <t>5454 Walnut Ave</t>
        </is>
      </c>
      <c r="H1624" t="inlineStr">
        <is>
          <t>Chino</t>
        </is>
      </c>
      <c r="I1624" t="inlineStr">
        <is>
          <t>San Bernardino</t>
        </is>
      </c>
      <c r="J1624" t="inlineStr">
        <is>
          <t>Trellis Chino</t>
        </is>
      </c>
    </row>
    <row r="1625">
      <c r="A1625">
        <f>--ISNUMBER(IFERROR(SEARCH($C$5,Inputs!$D1625,1),""))</f>
        <v/>
      </c>
      <c r="B1625">
        <f>IF(A1625=1,COUNTIF($A$6:A1625,1),"")</f>
        <v/>
      </c>
      <c r="C1625">
        <f>IFERROR(INDEX($D$6:$D$1750,MATCH(ROWS($B$6:B1625),$B$6:$B$1750,0)),"")</f>
        <v/>
      </c>
      <c r="D1625">
        <f>J1625&amp;" ("&amp;E1625&amp;")"</f>
        <v/>
      </c>
      <c r="E1625" t="n">
        <v>28283</v>
      </c>
      <c r="F1625" t="inlineStr">
        <is>
          <t>Skilled Nursing and Interm. Care Facility</t>
        </is>
      </c>
      <c r="G1625" t="inlineStr">
        <is>
          <t>5151 Knudsen Dr</t>
        </is>
      </c>
      <c r="H1625" t="inlineStr">
        <is>
          <t>Bakersfield</t>
        </is>
      </c>
      <c r="I1625" t="inlineStr">
        <is>
          <t>Kern</t>
        </is>
      </c>
      <c r="J1625" t="inlineStr">
        <is>
          <t>Kern River Transitional Care</t>
        </is>
      </c>
    </row>
    <row r="1626">
      <c r="A1626">
        <f>--ISNUMBER(IFERROR(SEARCH($C$5,Inputs!$D1626,1),""))</f>
        <v/>
      </c>
      <c r="B1626">
        <f>IF(A1626=1,COUNTIF($A$6:A1626,1),"")</f>
        <v/>
      </c>
      <c r="C1626">
        <f>IFERROR(INDEX($D$6:$D$1750,MATCH(ROWS($B$6:B1626),$B$6:$B$1750,0)),"")</f>
        <v/>
      </c>
      <c r="D1626">
        <f>J1626&amp;" ("&amp;E1626&amp;")"</f>
        <v/>
      </c>
      <c r="E1626" t="n">
        <v>28288</v>
      </c>
      <c r="F1626" t="inlineStr">
        <is>
          <t>Skilled Nursing and Interm. Care Facility</t>
        </is>
      </c>
      <c r="G1626" t="inlineStr">
        <is>
          <t>2900 Stoneridge Drive</t>
        </is>
      </c>
      <c r="H1626" t="inlineStr">
        <is>
          <t>Pleasanton</t>
        </is>
      </c>
      <c r="I1626" t="inlineStr">
        <is>
          <t>Alameda</t>
        </is>
      </c>
      <c r="J1626" t="inlineStr">
        <is>
          <t>Creekview Skilled Nursing</t>
        </is>
      </c>
    </row>
    <row r="1627">
      <c r="A1627">
        <f>--ISNUMBER(IFERROR(SEARCH($C$5,Inputs!$D1627,1),""))</f>
        <v/>
      </c>
      <c r="B1627">
        <f>IF(A1627=1,COUNTIF($A$6:A1627,1),"")</f>
        <v/>
      </c>
      <c r="C1627">
        <f>IFERROR(INDEX($D$6:$D$1750,MATCH(ROWS($B$6:B1627),$B$6:$B$1750,0)),"")</f>
        <v/>
      </c>
      <c r="D1627">
        <f>J1627&amp;" ("&amp;E1627&amp;")"</f>
        <v/>
      </c>
      <c r="E1627" t="n">
        <v>28301</v>
      </c>
      <c r="F1627" t="inlineStr">
        <is>
          <t>Skilled Nursing and Interm. Care Facility</t>
        </is>
      </c>
      <c r="G1627" t="inlineStr">
        <is>
          <t>161 S Reeder Ave</t>
        </is>
      </c>
      <c r="H1627" t="inlineStr">
        <is>
          <t>Covina</t>
        </is>
      </c>
      <c r="I1627" t="inlineStr">
        <is>
          <t>Los Angeles</t>
        </is>
      </c>
      <c r="J1627" t="inlineStr">
        <is>
          <t>Masonic Homes of California - Covina</t>
        </is>
      </c>
    </row>
    <row r="1628">
      <c r="A1628">
        <f>--ISNUMBER(IFERROR(SEARCH($C$5,Inputs!$D1628,1),""))</f>
        <v/>
      </c>
      <c r="B1628">
        <f>IF(A1628=1,COUNTIF($A$6:A1628,1),"")</f>
        <v/>
      </c>
      <c r="C1628">
        <f>IFERROR(INDEX($D$6:$D$1750,MATCH(ROWS($B$6:B1628),$B$6:$B$1750,0)),"")</f>
        <v/>
      </c>
      <c r="D1628">
        <f>J1628&amp;" ("&amp;E1628&amp;")"</f>
        <v/>
      </c>
      <c r="E1628" t="n">
        <v>28319</v>
      </c>
      <c r="F1628" t="inlineStr">
        <is>
          <t>Skilled Nursing and Interm. Care Facility</t>
        </is>
      </c>
      <c r="G1628" t="inlineStr">
        <is>
          <t>4120 Waring Rd</t>
        </is>
      </c>
      <c r="H1628" t="inlineStr">
        <is>
          <t>Oceanside</t>
        </is>
      </c>
      <c r="I1628" t="inlineStr">
        <is>
          <t>San Diego</t>
        </is>
      </c>
      <c r="J1628" t="inlineStr">
        <is>
          <t>Oceanside Transitional Care</t>
        </is>
      </c>
    </row>
    <row r="1629">
      <c r="A1629">
        <f>--ISNUMBER(IFERROR(SEARCH($C$5,Inputs!$D1629,1),""))</f>
        <v/>
      </c>
      <c r="B1629">
        <f>IF(A1629=1,COUNTIF($A$6:A1629,1),"")</f>
        <v/>
      </c>
      <c r="C1629">
        <f>IFERROR(INDEX($D$6:$D$1750,MATCH(ROWS($B$6:B1629),$B$6:$B$1750,0)),"")</f>
        <v/>
      </c>
      <c r="D1629">
        <f>J1629&amp;" ("&amp;E1629&amp;")"</f>
        <v/>
      </c>
      <c r="E1629" t="n">
        <v>28324</v>
      </c>
      <c r="F1629" t="inlineStr">
        <is>
          <t>Skilled Nursing and Interm. Care Facility</t>
        </is>
      </c>
      <c r="G1629" t="inlineStr">
        <is>
          <t>5915 Dewey Dr</t>
        </is>
      </c>
      <c r="H1629" t="inlineStr">
        <is>
          <t>Fair Oaks</t>
        </is>
      </c>
      <c r="I1629" t="inlineStr">
        <is>
          <t>Sacramento</t>
        </is>
      </c>
      <c r="J1629" t="inlineStr">
        <is>
          <t>Shadowbrook Gardens</t>
        </is>
      </c>
    </row>
    <row r="1630">
      <c r="A1630">
        <f>--ISNUMBER(IFERROR(SEARCH($C$5,Inputs!$D1630,1),""))</f>
        <v/>
      </c>
      <c r="B1630">
        <f>IF(A1630=1,COUNTIF($A$6:A1630,1),"")</f>
        <v/>
      </c>
      <c r="C1630">
        <f>IFERROR(INDEX($D$6:$D$1750,MATCH(ROWS($B$6:B1630),$B$6:$B$1750,0)),"")</f>
        <v/>
      </c>
      <c r="D1630">
        <f>J1630&amp;" ("&amp;E1630&amp;")"</f>
        <v/>
      </c>
      <c r="E1630" t="n">
        <v>28332</v>
      </c>
      <c r="F1630" t="inlineStr">
        <is>
          <t>Skilled Nursing and Interm. Care Facility</t>
        </is>
      </c>
      <c r="G1630" t="inlineStr">
        <is>
          <t>1 Amistad Drive</t>
        </is>
      </c>
      <c r="H1630" t="inlineStr">
        <is>
          <t>Rancho Mission Viejo</t>
        </is>
      </c>
      <c r="I1630" t="inlineStr">
        <is>
          <t>Orange</t>
        </is>
      </c>
      <c r="J1630" t="inlineStr">
        <is>
          <t>Orchards Skilled Nursing</t>
        </is>
      </c>
    </row>
    <row r="1631">
      <c r="A1631">
        <f>--ISNUMBER(IFERROR(SEARCH($C$5,Inputs!$D1631,1),""))</f>
        <v/>
      </c>
      <c r="B1631">
        <f>IF(A1631=1,COUNTIF($A$6:A1631,1),"")</f>
        <v/>
      </c>
      <c r="C1631">
        <f>IFERROR(INDEX($D$6:$D$1750,MATCH(ROWS($B$6:B1631),$B$6:$B$1750,0)),"")</f>
        <v/>
      </c>
      <c r="D1631">
        <f>J1631&amp;" ("&amp;E1631&amp;")"</f>
        <v/>
      </c>
      <c r="E1631" t="n">
        <v>28342</v>
      </c>
      <c r="F1631" t="inlineStr">
        <is>
          <t>Skilled Nursing and Interm. Care Facility</t>
        </is>
      </c>
      <c r="G1631" t="inlineStr">
        <is>
          <t>2765 Mitchell Dr</t>
        </is>
      </c>
      <c r="H1631" t="inlineStr">
        <is>
          <t>Walnut Creek</t>
        </is>
      </c>
      <c r="I1631" t="inlineStr">
        <is>
          <t>Contra Costa</t>
        </is>
      </c>
      <c r="J1631" t="inlineStr">
        <is>
          <t>Shadelands Post Acute</t>
        </is>
      </c>
    </row>
    <row r="1632">
      <c r="A1632">
        <f>--ISNUMBER(IFERROR(SEARCH($C$5,Inputs!$D1632,1),""))</f>
        <v/>
      </c>
      <c r="B1632">
        <f>IF(A1632=1,COUNTIF($A$6:A1632,1),"")</f>
        <v/>
      </c>
      <c r="C1632">
        <f>IFERROR(INDEX($D$6:$D$1750,MATCH(ROWS($B$6:B1632),$B$6:$B$1750,0)),"")</f>
        <v/>
      </c>
      <c r="D1632">
        <f>J1632&amp;" ("&amp;E1632&amp;")"</f>
        <v/>
      </c>
      <c r="E1632" t="n">
        <v>28350</v>
      </c>
      <c r="F1632" t="inlineStr">
        <is>
          <t>Skilled Nursing and Interm. Care Facility</t>
        </is>
      </c>
      <c r="G1632" t="inlineStr">
        <is>
          <t>26650 Valley Center Drive</t>
        </is>
      </c>
      <c r="H1632" t="inlineStr">
        <is>
          <t>Santa Clarita</t>
        </is>
      </c>
      <c r="I1632" t="inlineStr">
        <is>
          <t>Los Angeles</t>
        </is>
      </c>
      <c r="J1632" t="inlineStr">
        <is>
          <t>Santa Clarita Skilled Nursing Center</t>
        </is>
      </c>
    </row>
    <row r="1633">
      <c r="A1633">
        <f>--ISNUMBER(IFERROR(SEARCH($C$5,Inputs!$D1633,1),""))</f>
        <v/>
      </c>
      <c r="B1633">
        <f>IF(A1633=1,COUNTIF($A$6:A1633,1),"")</f>
        <v/>
      </c>
      <c r="C1633">
        <f>IFERROR(INDEX($D$6:$D$1750,MATCH(ROWS($B$6:B1633),$B$6:$B$1750,0)),"")</f>
        <v/>
      </c>
      <c r="D1633">
        <f>J1633&amp;" ("&amp;E1633&amp;")"</f>
        <v/>
      </c>
      <c r="E1633" t="n">
        <v>28383</v>
      </c>
      <c r="F1633" t="inlineStr">
        <is>
          <t>Skilled Nursing and Interm. Care Facility</t>
        </is>
      </c>
      <c r="G1633" t="inlineStr">
        <is>
          <t>1930 E Hatch Rd</t>
        </is>
      </c>
      <c r="H1633" t="inlineStr">
        <is>
          <t>Ceres</t>
        </is>
      </c>
      <c r="I1633" t="inlineStr">
        <is>
          <t>Stanislaus</t>
        </is>
      </c>
      <c r="J1633" t="inlineStr">
        <is>
          <t>American Post Acute Care Rehab Center</t>
        </is>
      </c>
    </row>
    <row r="1634">
      <c r="A1634">
        <f>--ISNUMBER(IFERROR(SEARCH($C$5,Inputs!$D1634,1),""))</f>
        <v/>
      </c>
      <c r="B1634">
        <f>IF(A1634=1,COUNTIF($A$6:A1634,1),"")</f>
        <v/>
      </c>
      <c r="C1634">
        <f>IFERROR(INDEX($D$6:$D$1750,MATCH(ROWS($B$6:B1634),$B$6:$B$1750,0)),"")</f>
        <v/>
      </c>
      <c r="D1634">
        <f>J1634&amp;" ("&amp;E1634&amp;")"</f>
        <v/>
      </c>
      <c r="E1634" t="n">
        <v>28387</v>
      </c>
      <c r="F1634" t="inlineStr">
        <is>
          <t>Skilled Nursing and Interm. Care Facility</t>
        </is>
      </c>
      <c r="G1634" t="inlineStr">
        <is>
          <t>9825 Glen Center Drive</t>
        </is>
      </c>
      <c r="H1634" t="inlineStr">
        <is>
          <t>San Diego</t>
        </is>
      </c>
      <c r="I1634" t="inlineStr">
        <is>
          <t>San Diego</t>
        </is>
      </c>
      <c r="J1634" t="inlineStr">
        <is>
          <t>Crestview Health Center Skilled Nursing Facility</t>
        </is>
      </c>
    </row>
    <row r="1635">
      <c r="A1635">
        <f>--ISNUMBER(IFERROR(SEARCH($C$5,Inputs!$D1635,1),""))</f>
        <v/>
      </c>
      <c r="B1635">
        <f>IF(A1635=1,COUNTIF($A$6:A1635,1),"")</f>
        <v/>
      </c>
      <c r="C1635">
        <f>IFERROR(INDEX($D$6:$D$1750,MATCH(ROWS($B$6:B1635),$B$6:$B$1750,0)),"")</f>
        <v/>
      </c>
    </row>
    <row r="1636">
      <c r="A1636">
        <f>--ISNUMBER(IFERROR(SEARCH($C$5,Inputs!$D1636,1),""))</f>
        <v/>
      </c>
      <c r="B1636">
        <f>IF(A1636=1,COUNTIF($A$6:A1636,1),"")</f>
        <v/>
      </c>
      <c r="C1636">
        <f>IFERROR(INDEX($D$6:$D$1750,MATCH(ROWS($B$6:B1636),$B$6:$B$1750,0)),"")</f>
        <v/>
      </c>
    </row>
    <row r="1637">
      <c r="A1637">
        <f>--ISNUMBER(IFERROR(SEARCH($C$5,Inputs!$D1637,1),""))</f>
        <v/>
      </c>
      <c r="B1637">
        <f>IF(A1637=1,COUNTIF($A$6:A1637,1),"")</f>
        <v/>
      </c>
      <c r="C1637">
        <f>IFERROR(INDEX($D$6:$D$1750,MATCH(ROWS($B$6:B1637),$B$6:$B$1750,0)),"")</f>
        <v/>
      </c>
    </row>
    <row r="1638">
      <c r="A1638">
        <f>--ISNUMBER(IFERROR(SEARCH($C$5,Inputs!$D1638,1),""))</f>
        <v/>
      </c>
      <c r="B1638">
        <f>IF(A1638=1,COUNTIF($A$6:A1638,1),"")</f>
        <v/>
      </c>
      <c r="C1638">
        <f>IFERROR(INDEX($D$6:$D$1750,MATCH(ROWS($B$6:B1638),$B$6:$B$1750,0)),"")</f>
        <v/>
      </c>
    </row>
    <row r="1639">
      <c r="A1639">
        <f>--ISNUMBER(IFERROR(SEARCH($C$5,Inputs!$D1639,1),""))</f>
        <v/>
      </c>
      <c r="B1639">
        <f>IF(A1639=1,COUNTIF($A$6:A1639,1),"")</f>
        <v/>
      </c>
      <c r="C1639">
        <f>IFERROR(INDEX($D$6:$D$1750,MATCH(ROWS($B$6:B1639),$B$6:$B$1750,0)),"")</f>
        <v/>
      </c>
    </row>
    <row r="1640">
      <c r="A1640">
        <f>--ISNUMBER(IFERROR(SEARCH($C$5,Inputs!$D1640,1),""))</f>
        <v/>
      </c>
      <c r="B1640">
        <f>IF(A1640=1,COUNTIF($A$6:A1640,1),"")</f>
        <v/>
      </c>
      <c r="C1640">
        <f>IFERROR(INDEX($D$6:$D$1750,MATCH(ROWS($B$6:B1640),$B$6:$B$1750,0)),"")</f>
        <v/>
      </c>
    </row>
    <row r="1641">
      <c r="A1641">
        <f>--ISNUMBER(IFERROR(SEARCH($C$5,Inputs!$D1641,1),""))</f>
        <v/>
      </c>
      <c r="B1641">
        <f>IF(A1641=1,COUNTIF($A$6:A1641,1),"")</f>
        <v/>
      </c>
      <c r="C1641">
        <f>IFERROR(INDEX($D$6:$D$1750,MATCH(ROWS($B$6:B1641),$B$6:$B$1750,0)),"")</f>
        <v/>
      </c>
    </row>
    <row r="1642">
      <c r="A1642">
        <f>--ISNUMBER(IFERROR(SEARCH($C$5,Inputs!$D1642,1),""))</f>
        <v/>
      </c>
      <c r="B1642">
        <f>IF(A1642=1,COUNTIF($A$6:A1642,1),"")</f>
        <v/>
      </c>
      <c r="C1642">
        <f>IFERROR(INDEX($D$6:$D$1750,MATCH(ROWS($B$6:B1642),$B$6:$B$1750,0)),"")</f>
        <v/>
      </c>
    </row>
    <row r="1643">
      <c r="A1643">
        <f>--ISNUMBER(IFERROR(SEARCH($C$5,Inputs!$D1643,1),""))</f>
        <v/>
      </c>
      <c r="B1643">
        <f>IF(A1643=1,COUNTIF($A$6:A1643,1),"")</f>
        <v/>
      </c>
      <c r="C1643">
        <f>IFERROR(INDEX($D$6:$D$1750,MATCH(ROWS($B$6:B1643),$B$6:$B$1750,0)),"")</f>
        <v/>
      </c>
    </row>
    <row r="1644">
      <c r="A1644">
        <f>--ISNUMBER(IFERROR(SEARCH($C$5,Inputs!$D1644,1),""))</f>
        <v/>
      </c>
      <c r="B1644">
        <f>IF(A1644=1,COUNTIF($A$6:A1644,1),"")</f>
        <v/>
      </c>
      <c r="C1644">
        <f>IFERROR(INDEX($D$6:$D$1750,MATCH(ROWS($B$6:B1644),$B$6:$B$1750,0)),"")</f>
        <v/>
      </c>
    </row>
    <row r="1645">
      <c r="A1645">
        <f>--ISNUMBER(IFERROR(SEARCH($C$5,Inputs!$D1645,1),""))</f>
        <v/>
      </c>
      <c r="B1645">
        <f>IF(A1645=1,COUNTIF($A$6:A1645,1),"")</f>
        <v/>
      </c>
      <c r="C1645">
        <f>IFERROR(INDEX($D$6:$D$1750,MATCH(ROWS($B$6:B1645),$B$6:$B$1750,0)),"")</f>
        <v/>
      </c>
    </row>
    <row r="1646">
      <c r="A1646">
        <f>--ISNUMBER(IFERROR(SEARCH($C$5,Inputs!$D1646,1),""))</f>
        <v/>
      </c>
      <c r="B1646">
        <f>IF(A1646=1,COUNTIF($A$6:A1646,1),"")</f>
        <v/>
      </c>
      <c r="C1646">
        <f>IFERROR(INDEX($D$6:$D$1750,MATCH(ROWS($B$6:B1646),$B$6:$B$1750,0)),"")</f>
        <v/>
      </c>
    </row>
    <row r="1647">
      <c r="A1647">
        <f>--ISNUMBER(IFERROR(SEARCH($C$5,Inputs!$D1647,1),""))</f>
        <v/>
      </c>
      <c r="B1647">
        <f>IF(A1647=1,COUNTIF($A$6:A1647,1),"")</f>
        <v/>
      </c>
      <c r="C1647">
        <f>IFERROR(INDEX($D$6:$D$1750,MATCH(ROWS($B$6:B1647),$B$6:$B$1750,0)),"")</f>
        <v/>
      </c>
    </row>
    <row r="1648">
      <c r="A1648">
        <f>--ISNUMBER(IFERROR(SEARCH($C$5,Inputs!$D1648,1),""))</f>
        <v/>
      </c>
      <c r="B1648">
        <f>IF(A1648=1,COUNTIF($A$6:A1648,1),"")</f>
        <v/>
      </c>
      <c r="C1648">
        <f>IFERROR(INDEX($D$6:$D$1750,MATCH(ROWS($B$6:B1648),$B$6:$B$1750,0)),"")</f>
        <v/>
      </c>
    </row>
    <row r="1649">
      <c r="A1649">
        <f>--ISNUMBER(IFERROR(SEARCH($C$5,Inputs!$D1649,1),""))</f>
        <v/>
      </c>
      <c r="B1649">
        <f>IF(A1649=1,COUNTIF($A$6:A1649,1),"")</f>
        <v/>
      </c>
      <c r="C1649">
        <f>IFERROR(INDEX($D$6:$D$1750,MATCH(ROWS($B$6:B1649),$B$6:$B$1750,0)),"")</f>
        <v/>
      </c>
    </row>
    <row r="1650">
      <c r="A1650">
        <f>--ISNUMBER(IFERROR(SEARCH($C$5,Inputs!$D1650,1),""))</f>
        <v/>
      </c>
      <c r="B1650">
        <f>IF(A1650=1,COUNTIF($A$6:A1650,1),"")</f>
        <v/>
      </c>
      <c r="C1650">
        <f>IFERROR(INDEX($D$6:$D$1750,MATCH(ROWS($B$6:B1650),$B$6:$B$1750,0)),"")</f>
        <v/>
      </c>
    </row>
    <row r="1651">
      <c r="A1651">
        <f>--ISNUMBER(IFERROR(SEARCH($C$5,Inputs!$D1651,1),""))</f>
        <v/>
      </c>
      <c r="B1651">
        <f>IF(A1651=1,COUNTIF($A$6:A1651,1),"")</f>
        <v/>
      </c>
      <c r="C1651">
        <f>IFERROR(INDEX($D$6:$D$1750,MATCH(ROWS($B$6:B1651),$B$6:$B$1750,0)),"")</f>
        <v/>
      </c>
    </row>
    <row r="1652">
      <c r="A1652">
        <f>--ISNUMBER(IFERROR(SEARCH($C$5,Inputs!$D1652,1),""))</f>
        <v/>
      </c>
      <c r="B1652">
        <f>IF(A1652=1,COUNTIF($A$6:A1652,1),"")</f>
        <v/>
      </c>
      <c r="C1652">
        <f>IFERROR(INDEX($D$6:$D$1750,MATCH(ROWS($B$6:B1652),$B$6:$B$1750,0)),"")</f>
        <v/>
      </c>
    </row>
    <row r="1653">
      <c r="A1653">
        <f>--ISNUMBER(IFERROR(SEARCH($C$5,Inputs!$D1653,1),""))</f>
        <v/>
      </c>
      <c r="B1653">
        <f>IF(A1653=1,COUNTIF($A$6:A1653,1),"")</f>
        <v/>
      </c>
      <c r="C1653">
        <f>IFERROR(INDEX($D$6:$D$1750,MATCH(ROWS($B$6:B1653),$B$6:$B$1750,0)),"")</f>
        <v/>
      </c>
    </row>
    <row r="1654">
      <c r="A1654">
        <f>--ISNUMBER(IFERROR(SEARCH($C$5,Inputs!$D1654,1),""))</f>
        <v/>
      </c>
      <c r="B1654">
        <f>IF(A1654=1,COUNTIF($A$6:A1654,1),"")</f>
        <v/>
      </c>
      <c r="C1654">
        <f>IFERROR(INDEX($D$6:$D$1750,MATCH(ROWS($B$6:B1654),$B$6:$B$1750,0)),"")</f>
        <v/>
      </c>
    </row>
    <row r="1655">
      <c r="A1655">
        <f>--ISNUMBER(IFERROR(SEARCH($C$5,Inputs!$D1655,1),""))</f>
        <v/>
      </c>
      <c r="B1655">
        <f>IF(A1655=1,COUNTIF($A$6:A1655,1),"")</f>
        <v/>
      </c>
      <c r="C1655">
        <f>IFERROR(INDEX($D$6:$D$1750,MATCH(ROWS($B$6:B1655),$B$6:$B$1750,0)),"")</f>
        <v/>
      </c>
    </row>
    <row r="1656">
      <c r="A1656">
        <f>--ISNUMBER(IFERROR(SEARCH($C$5,Inputs!$D1656,1),""))</f>
        <v/>
      </c>
      <c r="B1656">
        <f>IF(A1656=1,COUNTIF($A$6:A1656,1),"")</f>
        <v/>
      </c>
      <c r="C1656">
        <f>IFERROR(INDEX($D$6:$D$1750,MATCH(ROWS($B$6:B1656),$B$6:$B$1750,0)),"")</f>
        <v/>
      </c>
    </row>
    <row r="1657">
      <c r="A1657">
        <f>--ISNUMBER(IFERROR(SEARCH($C$5,Inputs!$D1657,1),""))</f>
        <v/>
      </c>
      <c r="B1657">
        <f>IF(A1657=1,COUNTIF($A$6:A1657,1),"")</f>
        <v/>
      </c>
      <c r="C1657">
        <f>IFERROR(INDEX($D$6:$D$1750,MATCH(ROWS($B$6:B1657),$B$6:$B$1750,0)),"")</f>
        <v/>
      </c>
    </row>
    <row r="1658">
      <c r="A1658">
        <f>--ISNUMBER(IFERROR(SEARCH($C$5,Inputs!$D1658,1),""))</f>
        <v/>
      </c>
      <c r="B1658">
        <f>IF(A1658=1,COUNTIF($A$6:A1658,1),"")</f>
        <v/>
      </c>
      <c r="C1658">
        <f>IFERROR(INDEX($D$6:$D$1750,MATCH(ROWS($B$6:B1658),$B$6:$B$1750,0)),"")</f>
        <v/>
      </c>
    </row>
    <row r="1659">
      <c r="A1659">
        <f>--ISNUMBER(IFERROR(SEARCH($C$5,Inputs!$D1659,1),""))</f>
        <v/>
      </c>
      <c r="B1659">
        <f>IF(A1659=1,COUNTIF($A$6:A1659,1),"")</f>
        <v/>
      </c>
      <c r="C1659">
        <f>IFERROR(INDEX($D$6:$D$1750,MATCH(ROWS($B$6:B1659),$B$6:$B$1750,0)),"")</f>
        <v/>
      </c>
    </row>
    <row r="1660">
      <c r="A1660">
        <f>--ISNUMBER(IFERROR(SEARCH($C$5,Inputs!$D1660,1),""))</f>
        <v/>
      </c>
      <c r="B1660">
        <f>IF(A1660=1,COUNTIF($A$6:A1660,1),"")</f>
        <v/>
      </c>
      <c r="C1660">
        <f>IFERROR(INDEX($D$6:$D$1750,MATCH(ROWS($B$6:B1660),$B$6:$B$1750,0)),"")</f>
        <v/>
      </c>
    </row>
    <row r="1661">
      <c r="A1661">
        <f>--ISNUMBER(IFERROR(SEARCH($C$5,Inputs!$D1661,1),""))</f>
        <v/>
      </c>
      <c r="B1661">
        <f>IF(A1661=1,COUNTIF($A$6:A1661,1),"")</f>
        <v/>
      </c>
      <c r="C1661">
        <f>IFERROR(INDEX($D$6:$D$1750,MATCH(ROWS($B$6:B1661),$B$6:$B$1750,0)),"")</f>
        <v/>
      </c>
    </row>
    <row r="1662">
      <c r="A1662">
        <f>--ISNUMBER(IFERROR(SEARCH($C$5,Inputs!$D1662,1),""))</f>
        <v/>
      </c>
      <c r="B1662">
        <f>IF(A1662=1,COUNTIF($A$6:A1662,1),"")</f>
        <v/>
      </c>
      <c r="C1662">
        <f>IFERROR(INDEX($D$6:$D$1750,MATCH(ROWS($B$6:B1662),$B$6:$B$1750,0)),"")</f>
        <v/>
      </c>
    </row>
    <row r="1663">
      <c r="A1663">
        <f>--ISNUMBER(IFERROR(SEARCH($C$5,Inputs!$D1663,1),""))</f>
        <v/>
      </c>
      <c r="B1663">
        <f>IF(A1663=1,COUNTIF($A$6:A1663,1),"")</f>
        <v/>
      </c>
      <c r="C1663">
        <f>IFERROR(INDEX($D$6:$D$1750,MATCH(ROWS($B$6:B1663),$B$6:$B$1750,0)),"")</f>
        <v/>
      </c>
    </row>
    <row r="1664">
      <c r="A1664">
        <f>--ISNUMBER(IFERROR(SEARCH($C$5,Inputs!$D1664,1),""))</f>
        <v/>
      </c>
      <c r="B1664">
        <f>IF(A1664=1,COUNTIF($A$6:A1664,1),"")</f>
        <v/>
      </c>
      <c r="C1664">
        <f>IFERROR(INDEX($D$6:$D$1750,MATCH(ROWS($B$6:B1664),$B$6:$B$1750,0)),"")</f>
        <v/>
      </c>
    </row>
    <row r="1665">
      <c r="A1665">
        <f>--ISNUMBER(IFERROR(SEARCH($C$5,Inputs!$D1665,1),""))</f>
        <v/>
      </c>
      <c r="B1665">
        <f>IF(A1665=1,COUNTIF($A$6:A1665,1),"")</f>
        <v/>
      </c>
      <c r="C1665">
        <f>IFERROR(INDEX($D$6:$D$1750,MATCH(ROWS($B$6:B1665),$B$6:$B$1750,0)),"")</f>
        <v/>
      </c>
    </row>
    <row r="1666">
      <c r="A1666">
        <f>--ISNUMBER(IFERROR(SEARCH($C$5,Inputs!$D1666,1),""))</f>
        <v/>
      </c>
      <c r="B1666">
        <f>IF(A1666=1,COUNTIF($A$6:A1666,1),"")</f>
        <v/>
      </c>
      <c r="C1666">
        <f>IFERROR(INDEX($D$6:$D$1750,MATCH(ROWS($B$6:B1666),$B$6:$B$1750,0)),"")</f>
        <v/>
      </c>
    </row>
    <row r="1667">
      <c r="A1667">
        <f>--ISNUMBER(IFERROR(SEARCH($C$5,Inputs!$D1667,1),""))</f>
        <v/>
      </c>
      <c r="B1667">
        <f>IF(A1667=1,COUNTIF($A$6:A1667,1),"")</f>
        <v/>
      </c>
      <c r="C1667">
        <f>IFERROR(INDEX($D$6:$D$1750,MATCH(ROWS($B$6:B1667),$B$6:$B$1750,0)),"")</f>
        <v/>
      </c>
    </row>
    <row r="1668">
      <c r="A1668">
        <f>--ISNUMBER(IFERROR(SEARCH($C$5,Inputs!$D1668,1),""))</f>
        <v/>
      </c>
      <c r="B1668">
        <f>IF(A1668=1,COUNTIF($A$6:A1668,1),"")</f>
        <v/>
      </c>
      <c r="C1668">
        <f>IFERROR(INDEX($D$6:$D$1750,MATCH(ROWS($B$6:B1668),$B$6:$B$1750,0)),"")</f>
        <v/>
      </c>
    </row>
    <row r="1669">
      <c r="A1669">
        <f>--ISNUMBER(IFERROR(SEARCH($C$5,Inputs!$D1669,1),""))</f>
        <v/>
      </c>
      <c r="B1669">
        <f>IF(A1669=1,COUNTIF($A$6:A1669,1),"")</f>
        <v/>
      </c>
      <c r="C1669">
        <f>IFERROR(INDEX($D$6:$D$1750,MATCH(ROWS($B$6:B1669),$B$6:$B$1750,0)),"")</f>
        <v/>
      </c>
    </row>
    <row r="1670">
      <c r="A1670">
        <f>--ISNUMBER(IFERROR(SEARCH($C$5,Inputs!$D1670,1),""))</f>
        <v/>
      </c>
      <c r="B1670">
        <f>IF(A1670=1,COUNTIF($A$6:A1670,1),"")</f>
        <v/>
      </c>
      <c r="C1670">
        <f>IFERROR(INDEX($D$6:$D$1750,MATCH(ROWS($B$6:B1670),$B$6:$B$1750,0)),"")</f>
        <v/>
      </c>
    </row>
    <row r="1671">
      <c r="A1671">
        <f>--ISNUMBER(IFERROR(SEARCH($C$5,Inputs!$D1671,1),""))</f>
        <v/>
      </c>
      <c r="B1671">
        <f>IF(A1671=1,COUNTIF($A$6:A1671,1),"")</f>
        <v/>
      </c>
      <c r="C1671">
        <f>IFERROR(INDEX($D$6:$D$1750,MATCH(ROWS($B$6:B1671),$B$6:$B$1750,0)),"")</f>
        <v/>
      </c>
    </row>
    <row r="1672">
      <c r="A1672">
        <f>--ISNUMBER(IFERROR(SEARCH($C$5,Inputs!$D1672,1),""))</f>
        <v/>
      </c>
      <c r="B1672">
        <f>IF(A1672=1,COUNTIF($A$6:A1672,1),"")</f>
        <v/>
      </c>
      <c r="C1672">
        <f>IFERROR(INDEX($D$6:$D$1750,MATCH(ROWS($B$6:B1672),$B$6:$B$1750,0)),"")</f>
        <v/>
      </c>
    </row>
    <row r="1673">
      <c r="A1673">
        <f>--ISNUMBER(IFERROR(SEARCH($C$5,Inputs!$D1673,1),""))</f>
        <v/>
      </c>
      <c r="B1673">
        <f>IF(A1673=1,COUNTIF($A$6:A1673,1),"")</f>
        <v/>
      </c>
      <c r="C1673">
        <f>IFERROR(INDEX($D$6:$D$1750,MATCH(ROWS($B$6:B1673),$B$6:$B$1750,0)),"")</f>
        <v/>
      </c>
    </row>
    <row r="1674">
      <c r="A1674">
        <f>--ISNUMBER(IFERROR(SEARCH($C$5,Inputs!$D1674,1),""))</f>
        <v/>
      </c>
      <c r="B1674">
        <f>IF(A1674=1,COUNTIF($A$6:A1674,1),"")</f>
        <v/>
      </c>
      <c r="C1674">
        <f>IFERROR(INDEX($D$6:$D$1750,MATCH(ROWS($B$6:B1674),$B$6:$B$1750,0)),"")</f>
        <v/>
      </c>
    </row>
    <row r="1675">
      <c r="A1675">
        <f>--ISNUMBER(IFERROR(SEARCH($C$5,Inputs!$D1675,1),""))</f>
        <v/>
      </c>
      <c r="B1675">
        <f>IF(A1675=1,COUNTIF($A$6:A1675,1),"")</f>
        <v/>
      </c>
      <c r="C1675">
        <f>IFERROR(INDEX($D$6:$D$1750,MATCH(ROWS($B$6:B1675),$B$6:$B$1750,0)),"")</f>
        <v/>
      </c>
    </row>
    <row r="1676">
      <c r="A1676">
        <f>--ISNUMBER(IFERROR(SEARCH($C$5,Inputs!$D1676,1),""))</f>
        <v/>
      </c>
      <c r="B1676">
        <f>IF(A1676=1,COUNTIF($A$6:A1676,1),"")</f>
        <v/>
      </c>
      <c r="C1676">
        <f>IFERROR(INDEX($D$6:$D$1750,MATCH(ROWS($B$6:B1676),$B$6:$B$1750,0)),"")</f>
        <v/>
      </c>
    </row>
    <row r="1677">
      <c r="A1677">
        <f>--ISNUMBER(IFERROR(SEARCH($C$5,Inputs!$D1677,1),""))</f>
        <v/>
      </c>
      <c r="B1677">
        <f>IF(A1677=1,COUNTIF($A$6:A1677,1),"")</f>
        <v/>
      </c>
      <c r="C1677">
        <f>IFERROR(INDEX($D$6:$D$1750,MATCH(ROWS($B$6:B1677),$B$6:$B$1750,0)),"")</f>
        <v/>
      </c>
    </row>
    <row r="1678">
      <c r="A1678">
        <f>--ISNUMBER(IFERROR(SEARCH($C$5,Inputs!$D1678,1),""))</f>
        <v/>
      </c>
      <c r="B1678">
        <f>IF(A1678=1,COUNTIF($A$6:A1678,1),"")</f>
        <v/>
      </c>
      <c r="C1678">
        <f>IFERROR(INDEX($D$6:$D$1750,MATCH(ROWS($B$6:B1678),$B$6:$B$1750,0)),"")</f>
        <v/>
      </c>
    </row>
    <row r="1679">
      <c r="A1679">
        <f>--ISNUMBER(IFERROR(SEARCH($C$5,Inputs!$D1679,1),""))</f>
        <v/>
      </c>
      <c r="B1679">
        <f>IF(A1679=1,COUNTIF($A$6:A1679,1),"")</f>
        <v/>
      </c>
      <c r="C1679">
        <f>IFERROR(INDEX($D$6:$D$1750,MATCH(ROWS($B$6:B1679),$B$6:$B$1750,0)),"")</f>
        <v/>
      </c>
    </row>
    <row r="1680">
      <c r="A1680">
        <f>--ISNUMBER(IFERROR(SEARCH($C$5,Inputs!$D1680,1),""))</f>
        <v/>
      </c>
      <c r="B1680">
        <f>IF(A1680=1,COUNTIF($A$6:A1680,1),"")</f>
        <v/>
      </c>
      <c r="C1680">
        <f>IFERROR(INDEX($D$6:$D$1750,MATCH(ROWS($B$6:B1680),$B$6:$B$1750,0)),"")</f>
        <v/>
      </c>
    </row>
    <row r="1681">
      <c r="A1681">
        <f>--ISNUMBER(IFERROR(SEARCH($C$5,Inputs!$D1681,1),""))</f>
        <v/>
      </c>
      <c r="B1681">
        <f>IF(A1681=1,COUNTIF($A$6:A1681,1),"")</f>
        <v/>
      </c>
      <c r="C1681">
        <f>IFERROR(INDEX($D$6:$D$1750,MATCH(ROWS($B$6:B1681),$B$6:$B$1750,0)),"")</f>
        <v/>
      </c>
    </row>
    <row r="1682">
      <c r="A1682">
        <f>--ISNUMBER(IFERROR(SEARCH($C$5,Inputs!$D1682,1),""))</f>
        <v/>
      </c>
      <c r="B1682">
        <f>IF(A1682=1,COUNTIF($A$6:A1682,1),"")</f>
        <v/>
      </c>
      <c r="C1682">
        <f>IFERROR(INDEX($D$6:$D$1750,MATCH(ROWS($B$6:B1682),$B$6:$B$1750,0)),"")</f>
        <v/>
      </c>
    </row>
    <row r="1683">
      <c r="A1683">
        <f>--ISNUMBER(IFERROR(SEARCH($C$5,Inputs!$D1683,1),""))</f>
        <v/>
      </c>
      <c r="B1683">
        <f>IF(A1683=1,COUNTIF($A$6:A1683,1),"")</f>
        <v/>
      </c>
      <c r="C1683">
        <f>IFERROR(INDEX($D$6:$D$1750,MATCH(ROWS($B$6:B1683),$B$6:$B$1750,0)),"")</f>
        <v/>
      </c>
    </row>
    <row r="1684">
      <c r="A1684">
        <f>--ISNUMBER(IFERROR(SEARCH($C$5,Inputs!$D1684,1),""))</f>
        <v/>
      </c>
      <c r="B1684">
        <f>IF(A1684=1,COUNTIF($A$6:A1684,1),"")</f>
        <v/>
      </c>
      <c r="C1684">
        <f>IFERROR(INDEX($D$6:$D$1750,MATCH(ROWS($B$6:B1684),$B$6:$B$1750,0)),"")</f>
        <v/>
      </c>
    </row>
    <row r="1685">
      <c r="A1685">
        <f>--ISNUMBER(IFERROR(SEARCH($C$5,Inputs!$D1685,1),""))</f>
        <v/>
      </c>
      <c r="B1685">
        <f>IF(A1685=1,COUNTIF($A$6:A1685,1),"")</f>
        <v/>
      </c>
      <c r="C1685">
        <f>IFERROR(INDEX($D$6:$D$1750,MATCH(ROWS($B$6:B1685),$B$6:$B$1750,0)),"")</f>
        <v/>
      </c>
    </row>
    <row r="1686">
      <c r="A1686">
        <f>--ISNUMBER(IFERROR(SEARCH($C$5,Inputs!$D1686,1),""))</f>
        <v/>
      </c>
      <c r="B1686">
        <f>IF(A1686=1,COUNTIF($A$6:A1686,1),"")</f>
        <v/>
      </c>
      <c r="C1686">
        <f>IFERROR(INDEX($D$6:$D$1750,MATCH(ROWS($B$6:B1686),$B$6:$B$1750,0)),"")</f>
        <v/>
      </c>
    </row>
    <row r="1687">
      <c r="A1687">
        <f>--ISNUMBER(IFERROR(SEARCH($C$5,Inputs!$D1687,1),""))</f>
        <v/>
      </c>
      <c r="B1687">
        <f>IF(A1687=1,COUNTIF($A$6:A1687,1),"")</f>
        <v/>
      </c>
      <c r="C1687">
        <f>IFERROR(INDEX($D$6:$D$1750,MATCH(ROWS($B$6:B1687),$B$6:$B$1750,0)),"")</f>
        <v/>
      </c>
    </row>
    <row r="1688">
      <c r="A1688">
        <f>--ISNUMBER(IFERROR(SEARCH($C$5,Inputs!$D1688,1),""))</f>
        <v/>
      </c>
      <c r="B1688">
        <f>IF(A1688=1,COUNTIF($A$6:A1688,1),"")</f>
        <v/>
      </c>
      <c r="C1688">
        <f>IFERROR(INDEX($D$6:$D$1750,MATCH(ROWS($B$6:B1688),$B$6:$B$1750,0)),"")</f>
        <v/>
      </c>
    </row>
    <row r="1689">
      <c r="A1689">
        <f>--ISNUMBER(IFERROR(SEARCH($C$5,Inputs!$D1689,1),""))</f>
        <v/>
      </c>
      <c r="B1689">
        <f>IF(A1689=1,COUNTIF($A$6:A1689,1),"")</f>
        <v/>
      </c>
      <c r="C1689">
        <f>IFERROR(INDEX($D$6:$D$1750,MATCH(ROWS($B$6:B1689),$B$6:$B$1750,0)),"")</f>
        <v/>
      </c>
    </row>
    <row r="1690">
      <c r="A1690">
        <f>--ISNUMBER(IFERROR(SEARCH($C$5,Inputs!$D1690,1),""))</f>
        <v/>
      </c>
      <c r="B1690">
        <f>IF(A1690=1,COUNTIF($A$6:A1690,1),"")</f>
        <v/>
      </c>
      <c r="C1690">
        <f>IFERROR(INDEX($D$6:$D$1750,MATCH(ROWS($B$6:B1690),$B$6:$B$1750,0)),"")</f>
        <v/>
      </c>
    </row>
    <row r="1691">
      <c r="A1691">
        <f>--ISNUMBER(IFERROR(SEARCH($C$5,Inputs!$D1691,1),""))</f>
        <v/>
      </c>
      <c r="B1691">
        <f>IF(A1691=1,COUNTIF($A$6:A1691,1),"")</f>
        <v/>
      </c>
      <c r="C1691">
        <f>IFERROR(INDEX($D$6:$D$1750,MATCH(ROWS($B$6:B1691),$B$6:$B$1750,0)),"")</f>
        <v/>
      </c>
    </row>
    <row r="1692">
      <c r="A1692">
        <f>--ISNUMBER(IFERROR(SEARCH($C$5,Inputs!$D1692,1),""))</f>
        <v/>
      </c>
      <c r="B1692">
        <f>IF(A1692=1,COUNTIF($A$6:A1692,1),"")</f>
        <v/>
      </c>
      <c r="C1692">
        <f>IFERROR(INDEX($D$6:$D$1750,MATCH(ROWS($B$6:B1692),$B$6:$B$1750,0)),"")</f>
        <v/>
      </c>
    </row>
    <row r="1693">
      <c r="A1693">
        <f>--ISNUMBER(IFERROR(SEARCH($C$5,Inputs!$D1693,1),""))</f>
        <v/>
      </c>
      <c r="B1693">
        <f>IF(A1693=1,COUNTIF($A$6:A1693,1),"")</f>
        <v/>
      </c>
      <c r="C1693">
        <f>IFERROR(INDEX($D$6:$D$1750,MATCH(ROWS($B$6:B1693),$B$6:$B$1750,0)),"")</f>
        <v/>
      </c>
    </row>
    <row r="1694">
      <c r="A1694">
        <f>--ISNUMBER(IFERROR(SEARCH($C$5,Inputs!$D1694,1),""))</f>
        <v/>
      </c>
      <c r="B1694">
        <f>IF(A1694=1,COUNTIF($A$6:A1694,1),"")</f>
        <v/>
      </c>
      <c r="C1694">
        <f>IFERROR(INDEX($D$6:$D$1750,MATCH(ROWS($B$6:B1694),$B$6:$B$1750,0)),"")</f>
        <v/>
      </c>
    </row>
    <row r="1695">
      <c r="A1695">
        <f>--ISNUMBER(IFERROR(SEARCH($C$5,Inputs!$D1695,1),""))</f>
        <v/>
      </c>
      <c r="B1695">
        <f>IF(A1695=1,COUNTIF($A$6:A1695,1),"")</f>
        <v/>
      </c>
      <c r="C1695">
        <f>IFERROR(INDEX($D$6:$D$1750,MATCH(ROWS($B$6:B1695),$B$6:$B$1750,0)),"")</f>
        <v/>
      </c>
    </row>
    <row r="1696">
      <c r="A1696">
        <f>--ISNUMBER(IFERROR(SEARCH($C$5,Inputs!$D1696,1),""))</f>
        <v/>
      </c>
      <c r="B1696">
        <f>IF(A1696=1,COUNTIF($A$6:A1696,1),"")</f>
        <v/>
      </c>
      <c r="C1696">
        <f>IFERROR(INDEX($D$6:$D$1750,MATCH(ROWS($B$6:B1696),$B$6:$B$1750,0)),"")</f>
        <v/>
      </c>
    </row>
    <row r="1697">
      <c r="A1697">
        <f>--ISNUMBER(IFERROR(SEARCH($C$5,Inputs!$D1697,1),""))</f>
        <v/>
      </c>
      <c r="B1697">
        <f>IF(A1697=1,COUNTIF($A$6:A1697,1),"")</f>
        <v/>
      </c>
      <c r="C1697">
        <f>IFERROR(INDEX($D$6:$D$1750,MATCH(ROWS($B$6:B1697),$B$6:$B$1750,0)),"")</f>
        <v/>
      </c>
    </row>
    <row r="1698">
      <c r="A1698">
        <f>--ISNUMBER(IFERROR(SEARCH($C$5,Inputs!$D1698,1),""))</f>
        <v/>
      </c>
      <c r="B1698">
        <f>IF(A1698=1,COUNTIF($A$6:A1698,1),"")</f>
        <v/>
      </c>
      <c r="C1698">
        <f>IFERROR(INDEX($D$6:$D$1750,MATCH(ROWS($B$6:B1698),$B$6:$B$1750,0)),"")</f>
        <v/>
      </c>
    </row>
    <row r="1699">
      <c r="A1699">
        <f>--ISNUMBER(IFERROR(SEARCH($C$5,Inputs!$D1699,1),""))</f>
        <v/>
      </c>
      <c r="B1699">
        <f>IF(A1699=1,COUNTIF($A$6:A1699,1),"")</f>
        <v/>
      </c>
      <c r="C1699">
        <f>IFERROR(INDEX($D$6:$D$1750,MATCH(ROWS($B$6:B1699),$B$6:$B$1750,0)),"")</f>
        <v/>
      </c>
    </row>
    <row r="1700">
      <c r="A1700">
        <f>--ISNUMBER(IFERROR(SEARCH($C$5,Inputs!$D1700,1),""))</f>
        <v/>
      </c>
      <c r="B1700">
        <f>IF(A1700=1,COUNTIF($A$6:A1700,1),"")</f>
        <v/>
      </c>
      <c r="C1700">
        <f>IFERROR(INDEX($D$6:$D$1750,MATCH(ROWS($B$6:B1700),$B$6:$B$1750,0)),"")</f>
        <v/>
      </c>
    </row>
    <row r="1701">
      <c r="A1701">
        <f>--ISNUMBER(IFERROR(SEARCH($C$5,Inputs!$D1701,1),""))</f>
        <v/>
      </c>
      <c r="B1701">
        <f>IF(A1701=1,COUNTIF($A$6:A1701,1),"")</f>
        <v/>
      </c>
      <c r="C1701">
        <f>IFERROR(INDEX($D$6:$D$1750,MATCH(ROWS($B$6:B1701),$B$6:$B$1750,0)),"")</f>
        <v/>
      </c>
    </row>
    <row r="1702">
      <c r="A1702">
        <f>--ISNUMBER(IFERROR(SEARCH($C$5,Inputs!$D1702,1),""))</f>
        <v/>
      </c>
      <c r="B1702">
        <f>IF(A1702=1,COUNTIF($A$6:A1702,1),"")</f>
        <v/>
      </c>
      <c r="C1702">
        <f>IFERROR(INDEX($D$6:$D$1750,MATCH(ROWS($B$6:B1702),$B$6:$B$1750,0)),"")</f>
        <v/>
      </c>
    </row>
    <row r="1703">
      <c r="A1703">
        <f>--ISNUMBER(IFERROR(SEARCH($C$5,Inputs!$D1703,1),""))</f>
        <v/>
      </c>
      <c r="B1703">
        <f>IF(A1703=1,COUNTIF($A$6:A1703,1),"")</f>
        <v/>
      </c>
      <c r="C1703">
        <f>IFERROR(INDEX($D$6:$D$1750,MATCH(ROWS($B$6:B1703),$B$6:$B$1750,0)),"")</f>
        <v/>
      </c>
    </row>
    <row r="1704">
      <c r="A1704">
        <f>--ISNUMBER(IFERROR(SEARCH($C$5,Inputs!$D1704,1),""))</f>
        <v/>
      </c>
      <c r="B1704">
        <f>IF(A1704=1,COUNTIF($A$6:A1704,1),"")</f>
        <v/>
      </c>
      <c r="C1704">
        <f>IFERROR(INDEX($D$6:$D$1750,MATCH(ROWS($B$6:B1704),$B$6:$B$1750,0)),"")</f>
        <v/>
      </c>
    </row>
    <row r="1705">
      <c r="A1705">
        <f>--ISNUMBER(IFERROR(SEARCH($C$5,Inputs!$D1705,1),""))</f>
        <v/>
      </c>
      <c r="B1705">
        <f>IF(A1705=1,COUNTIF($A$6:A1705,1),"")</f>
        <v/>
      </c>
      <c r="C1705">
        <f>IFERROR(INDEX($D$6:$D$1750,MATCH(ROWS($B$6:B1705),$B$6:$B$1750,0)),"")</f>
        <v/>
      </c>
    </row>
    <row r="1706">
      <c r="A1706">
        <f>--ISNUMBER(IFERROR(SEARCH($C$5,Inputs!$D1706,1),""))</f>
        <v/>
      </c>
      <c r="B1706">
        <f>IF(A1706=1,COUNTIF($A$6:A1706,1),"")</f>
        <v/>
      </c>
      <c r="C1706">
        <f>IFERROR(INDEX($D$6:$D$1750,MATCH(ROWS($B$6:B1706),$B$6:$B$1750,0)),"")</f>
        <v/>
      </c>
    </row>
    <row r="1707">
      <c r="A1707">
        <f>--ISNUMBER(IFERROR(SEARCH($C$5,Inputs!$D1707,1),""))</f>
        <v/>
      </c>
      <c r="B1707">
        <f>IF(A1707=1,COUNTIF($A$6:A1707,1),"")</f>
        <v/>
      </c>
      <c r="C1707">
        <f>IFERROR(INDEX($D$6:$D$1750,MATCH(ROWS($B$6:B1707),$B$6:$B$1750,0)),"")</f>
        <v/>
      </c>
    </row>
    <row r="1708">
      <c r="A1708">
        <f>--ISNUMBER(IFERROR(SEARCH($C$5,Inputs!$D1708,1),""))</f>
        <v/>
      </c>
      <c r="B1708">
        <f>IF(A1708=1,COUNTIF($A$6:A1708,1),"")</f>
        <v/>
      </c>
      <c r="C1708">
        <f>IFERROR(INDEX($D$6:$D$1750,MATCH(ROWS($B$6:B1708),$B$6:$B$1750,0)),"")</f>
        <v/>
      </c>
    </row>
    <row r="1709">
      <c r="A1709">
        <f>--ISNUMBER(IFERROR(SEARCH($C$5,Inputs!$D1709,1),""))</f>
        <v/>
      </c>
      <c r="B1709">
        <f>IF(A1709=1,COUNTIF($A$6:A1709,1),"")</f>
        <v/>
      </c>
      <c r="C1709">
        <f>IFERROR(INDEX($D$6:$D$1750,MATCH(ROWS($B$6:B1709),$B$6:$B$1750,0)),"")</f>
        <v/>
      </c>
    </row>
    <row r="1710">
      <c r="A1710">
        <f>--ISNUMBER(IFERROR(SEARCH($C$5,Inputs!$D1710,1),""))</f>
        <v/>
      </c>
      <c r="B1710">
        <f>IF(A1710=1,COUNTIF($A$6:A1710,1),"")</f>
        <v/>
      </c>
      <c r="C1710">
        <f>IFERROR(INDEX($D$6:$D$1750,MATCH(ROWS($B$6:B1710),$B$6:$B$1750,0)),"")</f>
        <v/>
      </c>
    </row>
    <row r="1711">
      <c r="A1711">
        <f>--ISNUMBER(IFERROR(SEARCH($C$5,Inputs!$D1711,1),""))</f>
        <v/>
      </c>
      <c r="B1711">
        <f>IF(A1711=1,COUNTIF($A$6:A1711,1),"")</f>
        <v/>
      </c>
      <c r="C1711">
        <f>IFERROR(INDEX($D$6:$D$1750,MATCH(ROWS($B$6:B1711),$B$6:$B$1750,0)),"")</f>
        <v/>
      </c>
    </row>
    <row r="1712">
      <c r="A1712">
        <f>--ISNUMBER(IFERROR(SEARCH($C$5,Inputs!$D1712,1),""))</f>
        <v/>
      </c>
      <c r="B1712">
        <f>IF(A1712=1,COUNTIF($A$6:A1712,1),"")</f>
        <v/>
      </c>
      <c r="C1712">
        <f>IFERROR(INDEX($D$6:$D$1750,MATCH(ROWS($B$6:B1712),$B$6:$B$1750,0)),"")</f>
        <v/>
      </c>
    </row>
    <row r="1713">
      <c r="A1713">
        <f>--ISNUMBER(IFERROR(SEARCH($C$5,Inputs!$D1713,1),""))</f>
        <v/>
      </c>
      <c r="B1713">
        <f>IF(A1713=1,COUNTIF($A$6:A1713,1),"")</f>
        <v/>
      </c>
      <c r="C1713">
        <f>IFERROR(INDEX($D$6:$D$1750,MATCH(ROWS($B$6:B1713),$B$6:$B$1750,0)),"")</f>
        <v/>
      </c>
    </row>
    <row r="1714">
      <c r="A1714">
        <f>--ISNUMBER(IFERROR(SEARCH($C$5,Inputs!$D1714,1),""))</f>
        <v/>
      </c>
      <c r="B1714">
        <f>IF(A1714=1,COUNTIF($A$6:A1714,1),"")</f>
        <v/>
      </c>
      <c r="C1714">
        <f>IFERROR(INDEX($D$6:$D$1750,MATCH(ROWS($B$6:B1714),$B$6:$B$1750,0)),"")</f>
        <v/>
      </c>
    </row>
    <row r="1715">
      <c r="A1715">
        <f>--ISNUMBER(IFERROR(SEARCH($C$5,Inputs!$D1715,1),""))</f>
        <v/>
      </c>
      <c r="B1715">
        <f>IF(A1715=1,COUNTIF($A$6:A1715,1),"")</f>
        <v/>
      </c>
      <c r="C1715">
        <f>IFERROR(INDEX($D$6:$D$1750,MATCH(ROWS($B$6:B1715),$B$6:$B$1750,0)),"")</f>
        <v/>
      </c>
    </row>
    <row r="1716">
      <c r="A1716">
        <f>--ISNUMBER(IFERROR(SEARCH($C$5,Inputs!$D1716,1),""))</f>
        <v/>
      </c>
      <c r="B1716">
        <f>IF(A1716=1,COUNTIF($A$6:A1716,1),"")</f>
        <v/>
      </c>
      <c r="C1716">
        <f>IFERROR(INDEX($D$6:$D$1750,MATCH(ROWS($B$6:B1716),$B$6:$B$1750,0)),"")</f>
        <v/>
      </c>
    </row>
    <row r="1717">
      <c r="A1717">
        <f>--ISNUMBER(IFERROR(SEARCH($C$5,Inputs!$D1717,1),""))</f>
        <v/>
      </c>
      <c r="B1717">
        <f>IF(A1717=1,COUNTIF($A$6:A1717,1),"")</f>
        <v/>
      </c>
      <c r="C1717">
        <f>IFERROR(INDEX($D$6:$D$1750,MATCH(ROWS($B$6:B1717),$B$6:$B$1750,0)),"")</f>
        <v/>
      </c>
    </row>
    <row r="1718">
      <c r="A1718">
        <f>--ISNUMBER(IFERROR(SEARCH($C$5,Inputs!$D1718,1),""))</f>
        <v/>
      </c>
      <c r="B1718">
        <f>IF(A1718=1,COUNTIF($A$6:A1718,1),"")</f>
        <v/>
      </c>
      <c r="C1718">
        <f>IFERROR(INDEX($D$6:$D$1750,MATCH(ROWS($B$6:B1718),$B$6:$B$1750,0)),"")</f>
        <v/>
      </c>
    </row>
    <row r="1719">
      <c r="A1719">
        <f>--ISNUMBER(IFERROR(SEARCH($C$5,Inputs!$D1719,1),""))</f>
        <v/>
      </c>
      <c r="B1719">
        <f>IF(A1719=1,COUNTIF($A$6:A1719,1),"")</f>
        <v/>
      </c>
      <c r="C1719">
        <f>IFERROR(INDEX($D$6:$D$1750,MATCH(ROWS($B$6:B1719),$B$6:$B$1750,0)),"")</f>
        <v/>
      </c>
    </row>
    <row r="1720">
      <c r="A1720">
        <f>--ISNUMBER(IFERROR(SEARCH($C$5,Inputs!$D1720,1),""))</f>
        <v/>
      </c>
      <c r="B1720">
        <f>IF(A1720=1,COUNTIF($A$6:A1720,1),"")</f>
        <v/>
      </c>
      <c r="C1720">
        <f>IFERROR(INDEX($D$6:$D$1750,MATCH(ROWS($B$6:B1720),$B$6:$B$1750,0)),"")</f>
        <v/>
      </c>
    </row>
    <row r="1721">
      <c r="A1721">
        <f>--ISNUMBER(IFERROR(SEARCH($C$5,Inputs!$D1721,1),""))</f>
        <v/>
      </c>
      <c r="B1721">
        <f>IF(A1721=1,COUNTIF($A$6:A1721,1),"")</f>
        <v/>
      </c>
      <c r="C1721">
        <f>IFERROR(INDEX($D$6:$D$1750,MATCH(ROWS($B$6:B1721),$B$6:$B$1750,0)),"")</f>
        <v/>
      </c>
    </row>
    <row r="1722">
      <c r="A1722">
        <f>--ISNUMBER(IFERROR(SEARCH($C$5,Inputs!$D1722,1),""))</f>
        <v/>
      </c>
      <c r="B1722">
        <f>IF(A1722=1,COUNTIF($A$6:A1722,1),"")</f>
        <v/>
      </c>
      <c r="C1722">
        <f>IFERROR(INDEX($D$6:$D$1750,MATCH(ROWS($B$6:B1722),$B$6:$B$1750,0)),"")</f>
        <v/>
      </c>
    </row>
    <row r="1723">
      <c r="A1723">
        <f>--ISNUMBER(IFERROR(SEARCH($C$5,Inputs!$D1723,1),""))</f>
        <v/>
      </c>
      <c r="B1723">
        <f>IF(A1723=1,COUNTIF($A$6:A1723,1),"")</f>
        <v/>
      </c>
      <c r="C1723">
        <f>IFERROR(INDEX($D$6:$D$1750,MATCH(ROWS($B$6:B1723),$B$6:$B$1750,0)),"")</f>
        <v/>
      </c>
    </row>
    <row r="1724">
      <c r="A1724">
        <f>--ISNUMBER(IFERROR(SEARCH($C$5,Inputs!$D1724,1),""))</f>
        <v/>
      </c>
      <c r="B1724">
        <f>IF(A1724=1,COUNTIF($A$6:A1724,1),"")</f>
        <v/>
      </c>
      <c r="C1724">
        <f>IFERROR(INDEX($D$6:$D$1750,MATCH(ROWS($B$6:B1724),$B$6:$B$1750,0)),"")</f>
        <v/>
      </c>
    </row>
    <row r="1725">
      <c r="A1725">
        <f>--ISNUMBER(IFERROR(SEARCH($C$5,Inputs!$D1725,1),""))</f>
        <v/>
      </c>
      <c r="B1725">
        <f>IF(A1725=1,COUNTIF($A$6:A1725,1),"")</f>
        <v/>
      </c>
      <c r="C1725">
        <f>IFERROR(INDEX($D$6:$D$1750,MATCH(ROWS($B$6:B1725),$B$6:$B$1750,0)),"")</f>
        <v/>
      </c>
    </row>
    <row r="1726">
      <c r="A1726">
        <f>--ISNUMBER(IFERROR(SEARCH($C$5,Inputs!$D1726,1),""))</f>
        <v/>
      </c>
      <c r="B1726">
        <f>IF(A1726=1,COUNTIF($A$6:A1726,1),"")</f>
        <v/>
      </c>
      <c r="C1726">
        <f>IFERROR(INDEX($D$6:$D$1750,MATCH(ROWS($B$6:B1726),$B$6:$B$1750,0)),"")</f>
        <v/>
      </c>
    </row>
    <row r="1727">
      <c r="A1727">
        <f>--ISNUMBER(IFERROR(SEARCH($C$5,Inputs!$D1727,1),""))</f>
        <v/>
      </c>
      <c r="B1727">
        <f>IF(A1727=1,COUNTIF($A$6:A1727,1),"")</f>
        <v/>
      </c>
      <c r="C1727">
        <f>IFERROR(INDEX($D$6:$D$1750,MATCH(ROWS($B$6:B1727),$B$6:$B$1750,0)),"")</f>
        <v/>
      </c>
    </row>
    <row r="1728">
      <c r="A1728">
        <f>--ISNUMBER(IFERROR(SEARCH($C$5,Inputs!$D1728,1),""))</f>
        <v/>
      </c>
      <c r="B1728">
        <f>IF(A1728=1,COUNTIF($A$6:A1728,1),"")</f>
        <v/>
      </c>
      <c r="C1728">
        <f>IFERROR(INDEX($D$6:$D$1750,MATCH(ROWS($B$6:B1728),$B$6:$B$1750,0)),"")</f>
        <v/>
      </c>
    </row>
    <row r="1729">
      <c r="A1729">
        <f>--ISNUMBER(IFERROR(SEARCH($C$5,Inputs!$D1729,1),""))</f>
        <v/>
      </c>
      <c r="B1729">
        <f>IF(A1729=1,COUNTIF($A$6:A1729,1),"")</f>
        <v/>
      </c>
      <c r="C1729">
        <f>IFERROR(INDEX($D$6:$D$1750,MATCH(ROWS($B$6:B1729),$B$6:$B$1750,0)),"")</f>
        <v/>
      </c>
    </row>
    <row r="1730">
      <c r="A1730">
        <f>--ISNUMBER(IFERROR(SEARCH($C$5,Inputs!$D1730,1),""))</f>
        <v/>
      </c>
      <c r="B1730">
        <f>IF(A1730=1,COUNTIF($A$6:A1730,1),"")</f>
        <v/>
      </c>
      <c r="C1730">
        <f>IFERROR(INDEX($D$6:$D$1750,MATCH(ROWS($B$6:B1730),$B$6:$B$1750,0)),"")</f>
        <v/>
      </c>
    </row>
    <row r="1731">
      <c r="A1731">
        <f>--ISNUMBER(IFERROR(SEARCH($C$5,Inputs!$D1731,1),""))</f>
        <v/>
      </c>
      <c r="B1731">
        <f>IF(A1731=1,COUNTIF($A$6:A1731,1),"")</f>
        <v/>
      </c>
      <c r="C1731">
        <f>IFERROR(INDEX($D$6:$D$1750,MATCH(ROWS($B$6:B1731),$B$6:$B$1750,0)),"")</f>
        <v/>
      </c>
    </row>
    <row r="1732">
      <c r="A1732">
        <f>--ISNUMBER(IFERROR(SEARCH($C$5,Inputs!$D1732,1),""))</f>
        <v/>
      </c>
      <c r="B1732">
        <f>IF(A1732=1,COUNTIF($A$6:A1732,1),"")</f>
        <v/>
      </c>
      <c r="C1732">
        <f>IFERROR(INDEX($D$6:$D$1750,MATCH(ROWS($B$6:B1732),$B$6:$B$1750,0)),"")</f>
        <v/>
      </c>
    </row>
    <row r="1733">
      <c r="A1733">
        <f>--ISNUMBER(IFERROR(SEARCH($C$5,Inputs!$D1733,1),""))</f>
        <v/>
      </c>
      <c r="B1733">
        <f>IF(A1733=1,COUNTIF($A$6:A1733,1),"")</f>
        <v/>
      </c>
      <c r="C1733">
        <f>IFERROR(INDEX($D$6:$D$1750,MATCH(ROWS($B$6:B1733),$B$6:$B$1750,0)),"")</f>
        <v/>
      </c>
    </row>
    <row r="1734">
      <c r="A1734">
        <f>--ISNUMBER(IFERROR(SEARCH($C$5,Inputs!$D1734,1),""))</f>
        <v/>
      </c>
      <c r="B1734">
        <f>IF(A1734=1,COUNTIF($A$6:A1734,1),"")</f>
        <v/>
      </c>
      <c r="C1734">
        <f>IFERROR(INDEX($D$6:$D$1750,MATCH(ROWS($B$6:B1734),$B$6:$B$1750,0)),"")</f>
        <v/>
      </c>
    </row>
    <row r="1735">
      <c r="A1735">
        <f>--ISNUMBER(IFERROR(SEARCH($C$5,Inputs!$D1735,1),""))</f>
        <v/>
      </c>
      <c r="B1735">
        <f>IF(A1735=1,COUNTIF($A$6:A1735,1),"")</f>
        <v/>
      </c>
      <c r="C1735">
        <f>IFERROR(INDEX($D$6:$D$1750,MATCH(ROWS($B$6:B1735),$B$6:$B$1750,0)),"")</f>
        <v/>
      </c>
    </row>
    <row r="1736">
      <c r="A1736">
        <f>--ISNUMBER(IFERROR(SEARCH($C$5,Inputs!$D1736,1),""))</f>
        <v/>
      </c>
      <c r="B1736">
        <f>IF(A1736=1,COUNTIF($A$6:A1736,1),"")</f>
        <v/>
      </c>
      <c r="C1736">
        <f>IFERROR(INDEX($D$6:$D$1750,MATCH(ROWS($B$6:B1736),$B$6:$B$1750,0)),"")</f>
        <v/>
      </c>
    </row>
    <row r="1737">
      <c r="A1737">
        <f>--ISNUMBER(IFERROR(SEARCH($C$5,Inputs!$D1737,1),""))</f>
        <v/>
      </c>
      <c r="B1737">
        <f>IF(A1737=1,COUNTIF($A$6:A1737,1),"")</f>
        <v/>
      </c>
      <c r="C1737">
        <f>IFERROR(INDEX($D$6:$D$1750,MATCH(ROWS($B$6:B1737),$B$6:$B$1750,0)),"")</f>
        <v/>
      </c>
    </row>
    <row r="1738">
      <c r="A1738">
        <f>--ISNUMBER(IFERROR(SEARCH($C$5,Inputs!$D1738,1),""))</f>
        <v/>
      </c>
      <c r="B1738">
        <f>IF(A1738=1,COUNTIF($A$6:A1738,1),"")</f>
        <v/>
      </c>
      <c r="C1738">
        <f>IFERROR(INDEX($D$6:$D$1750,MATCH(ROWS($B$6:B1738),$B$6:$B$1750,0)),"")</f>
        <v/>
      </c>
    </row>
    <row r="1739">
      <c r="A1739">
        <f>--ISNUMBER(IFERROR(SEARCH($C$5,Inputs!$D1739,1),""))</f>
        <v/>
      </c>
      <c r="B1739">
        <f>IF(A1739=1,COUNTIF($A$6:A1739,1),"")</f>
        <v/>
      </c>
      <c r="C1739">
        <f>IFERROR(INDEX($D$6:$D$1750,MATCH(ROWS($B$6:B1739),$B$6:$B$1750,0)),"")</f>
        <v/>
      </c>
    </row>
    <row r="1740">
      <c r="A1740">
        <f>--ISNUMBER(IFERROR(SEARCH($C$5,Inputs!$D1740,1),""))</f>
        <v/>
      </c>
      <c r="B1740">
        <f>IF(A1740=1,COUNTIF($A$6:A1740,1),"")</f>
        <v/>
      </c>
      <c r="C1740">
        <f>IFERROR(INDEX($D$6:$D$1750,MATCH(ROWS($B$6:B1740),$B$6:$B$1750,0)),"")</f>
        <v/>
      </c>
    </row>
    <row r="1741">
      <c r="A1741">
        <f>--ISNUMBER(IFERROR(SEARCH($C$5,Inputs!$D1741,1),""))</f>
        <v/>
      </c>
      <c r="B1741">
        <f>IF(A1741=1,COUNTIF($A$6:A1741,1),"")</f>
        <v/>
      </c>
      <c r="C1741">
        <f>IFERROR(INDEX($D$6:$D$1750,MATCH(ROWS($B$6:B1741),$B$6:$B$1750,0)),"")</f>
        <v/>
      </c>
    </row>
    <row r="1742">
      <c r="A1742">
        <f>--ISNUMBER(IFERROR(SEARCH($C$5,Inputs!$D1742,1),""))</f>
        <v/>
      </c>
      <c r="B1742">
        <f>IF(A1742=1,COUNTIF($A$6:A1742,1),"")</f>
        <v/>
      </c>
      <c r="C1742">
        <f>IFERROR(INDEX($D$6:$D$1750,MATCH(ROWS($B$6:B1742),$B$6:$B$1750,0)),"")</f>
        <v/>
      </c>
    </row>
    <row r="1743">
      <c r="A1743">
        <f>--ISNUMBER(IFERROR(SEARCH($C$5,Inputs!$D1743,1),""))</f>
        <v/>
      </c>
      <c r="B1743">
        <f>IF(A1743=1,COUNTIF($A$6:A1743,1),"")</f>
        <v/>
      </c>
      <c r="C1743">
        <f>IFERROR(INDEX($D$6:$D$1750,MATCH(ROWS($B$6:B1743),$B$6:$B$1750,0)),"")</f>
        <v/>
      </c>
    </row>
    <row r="1744">
      <c r="A1744">
        <f>--ISNUMBER(IFERROR(SEARCH($C$5,Inputs!$D1744,1),""))</f>
        <v/>
      </c>
      <c r="B1744">
        <f>IF(A1744=1,COUNTIF($A$6:A1744,1),"")</f>
        <v/>
      </c>
      <c r="C1744">
        <f>IFERROR(INDEX($D$6:$D$1750,MATCH(ROWS($B$6:B1744),$B$6:$B$1750,0)),"")</f>
        <v/>
      </c>
    </row>
    <row r="1745">
      <c r="A1745">
        <f>--ISNUMBER(IFERROR(SEARCH($C$5,Inputs!$D1745,1),""))</f>
        <v/>
      </c>
      <c r="B1745">
        <f>IF(A1745=1,COUNTIF($A$6:A1745,1),"")</f>
        <v/>
      </c>
      <c r="C1745">
        <f>IFERROR(INDEX($D$6:$D$1750,MATCH(ROWS($B$6:B1745),$B$6:$B$1750,0)),"")</f>
        <v/>
      </c>
    </row>
    <row r="1746">
      <c r="A1746">
        <f>--ISNUMBER(IFERROR(SEARCH($C$5,Inputs!$D1746,1),""))</f>
        <v/>
      </c>
      <c r="B1746">
        <f>IF(A1746=1,COUNTIF($A$6:A1746,1),"")</f>
        <v/>
      </c>
      <c r="C1746">
        <f>IFERROR(INDEX($D$6:$D$1750,MATCH(ROWS($B$6:B1746),$B$6:$B$1750,0)),"")</f>
        <v/>
      </c>
    </row>
    <row r="1747">
      <c r="A1747">
        <f>--ISNUMBER(IFERROR(SEARCH($C$5,Inputs!$D1747,1),""))</f>
        <v/>
      </c>
      <c r="B1747">
        <f>IF(A1747=1,COUNTIF($A$6:A1747,1),"")</f>
        <v/>
      </c>
      <c r="C1747">
        <f>IFERROR(INDEX($D$6:$D$1750,MATCH(ROWS($B$6:B1747),$B$6:$B$1750,0)),"")</f>
        <v/>
      </c>
    </row>
    <row r="1748">
      <c r="A1748">
        <f>--ISNUMBER(IFERROR(SEARCH($C$5,Inputs!$D1748,1),""))</f>
        <v/>
      </c>
      <c r="B1748">
        <f>IF(A1748=1,COUNTIF($A$6:A1748,1),"")</f>
        <v/>
      </c>
      <c r="C1748">
        <f>IFERROR(INDEX($D$6:$D$1750,MATCH(ROWS($B$6:B1748),$B$6:$B$1750,0)),"")</f>
        <v/>
      </c>
    </row>
    <row r="1749">
      <c r="A1749">
        <f>--ISNUMBER(IFERROR(SEARCH($C$5,Inputs!$D1749,1),""))</f>
        <v/>
      </c>
      <c r="B1749">
        <f>IF(A1749=1,COUNTIF($A$6:A1749,1),"")</f>
        <v/>
      </c>
      <c r="C1749">
        <f>IFERROR(INDEX($D$6:$D$1750,MATCH(ROWS($B$6:B1749),$B$6:$B$1750,0)),"")</f>
        <v/>
      </c>
    </row>
    <row r="1750">
      <c r="A1750">
        <f>--ISNUMBER(IFERROR(SEARCH($C$5,Inputs!$D1750,1),""))</f>
        <v/>
      </c>
      <c r="B1750">
        <f>IF(A1750=1,COUNTIF($A$6:A1750,1),"")</f>
        <v/>
      </c>
      <c r="C1750">
        <f>IFERROR(INDEX($D$6:$D$1750,MATCH(ROWS($B$6:B1750),$B$6:$B$1750,0)),"")</f>
        <v/>
      </c>
    </row>
  </sheetData>
  <hyperlinks>
    <hyperlink xmlns:r="http://schemas.openxmlformats.org/officeDocument/2006/relationships" ref="E1" display="https://sft.oshpd.ca.gov/s/NcX76NxTSBzHq9T" r:id="rId1"/>
  </hyperlinks>
  <pageMargins left="0.7" right="0.7" top="0.75" bottom="0.75" header="0.3" footer="0.3"/>
  <pageSetup orientation="portrait" useFirstPageNumber="1" horizontalDpi="300" verticalDpi="300"/>
  <headerFooter>
    <oddHeader>&amp;C&amp;"-,Regular"&amp;15 &amp;G_x000a_Testing, Inspection, and Observation Program_x000a_2019 California Building Standards Code - OSHPD 1</oddHeader>
    <oddFooter>&amp;RS-I&amp;P&amp;LOSH-FD-303A (R04.26)</oddFooter>
    <evenHeader/>
    <evenFooter/>
    <firstHeader/>
    <firstFooter/>
  </headerFooter>
  <legacyDrawing xmlns:r="http://schemas.openxmlformats.org/officeDocument/2006/relationships" r:id="anysvml"/>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Chris.Davis@hcai.ca.gov</dc:creator>
  <dcterms:created xsi:type="dcterms:W3CDTF">2015-02-13T17:38:33Z</dcterms:created>
  <dcterms:modified xsi:type="dcterms:W3CDTF">2026-07-04T01:21:59Z</dcterms:modified>
  <cp:lastModifiedBy>Marcus Duggs</cp:lastModifiedBy>
  <cp:lastPrinted>2026-07-01T15:22:48Z</cp:lastPrinted>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0x0101009E3FD0C3FD136A48A44A4EC29EB07A61</vt:lpwstr>
  </property>
  <property name="MSIP_Label_b530ee07-aa2b-47c7-bd4c-7cc545b5d455_Enabled" fmtid="{D5CDD505-2E9C-101B-9397-08002B2CF9AE}" pid="3">
    <vt:lpwstr>true</vt:lpwstr>
  </property>
  <property name="MSIP_Label_b530ee07-aa2b-47c7-bd4c-7cc545b5d455_SetDate" fmtid="{D5CDD505-2E9C-101B-9397-08002B2CF9AE}" pid="4">
    <vt:lpwstr>2024-05-17T05:34:09Z</vt:lpwstr>
  </property>
  <property name="MSIP_Label_b530ee07-aa2b-47c7-bd4c-7cc545b5d455_Method" fmtid="{D5CDD505-2E9C-101B-9397-08002B2CF9AE}" pid="5">
    <vt:lpwstr>Standard</vt:lpwstr>
  </property>
  <property name="MSIP_Label_b530ee07-aa2b-47c7-bd4c-7cc545b5d455_Name" fmtid="{D5CDD505-2E9C-101B-9397-08002B2CF9AE}" pid="6">
    <vt:lpwstr>HDR General Label</vt:lpwstr>
  </property>
  <property name="MSIP_Label_b530ee07-aa2b-47c7-bd4c-7cc545b5d455_SiteId" fmtid="{D5CDD505-2E9C-101B-9397-08002B2CF9AE}" pid="7">
    <vt:lpwstr>3667e201-cbdc-48b3-9b42-5d2d3f16e2a9</vt:lpwstr>
  </property>
  <property name="MSIP_Label_b530ee07-aa2b-47c7-bd4c-7cc545b5d455_ActionId" fmtid="{D5CDD505-2E9C-101B-9397-08002B2CF9AE}" pid="8">
    <vt:lpwstr>dfd4c0ea-8c05-42ac-ab28-cbdaa7d3d426</vt:lpwstr>
  </property>
  <property name="MSIP_Label_b530ee07-aa2b-47c7-bd4c-7cc545b5d455_ContentBits" fmtid="{D5CDD505-2E9C-101B-9397-08002B2CF9AE}" pid="9">
    <vt:lpwstr>0</vt:lpwstr>
  </property>
</Properties>
</file>